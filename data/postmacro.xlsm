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3" codeName="{2415A153-8570-D804-BEE2-DBEC5437C898}"/>
  <workbookPr codeName="ThisWorkbook" defaultThemeVersion="166925"/>
  <mc:AlternateContent xmlns:mc="http://schemas.openxmlformats.org/markup-compatibility/2006">
    <mc:Choice Requires="x15">
      <x15ac:absPath xmlns:x15ac="http://schemas.microsoft.com/office/spreadsheetml/2010/11/ac" url="/Users/joban/Desktop/fball copies/"/>
    </mc:Choice>
  </mc:AlternateContent>
  <xr:revisionPtr revIDLastSave="0" documentId="13_ncr:1_{B871D6A7-0EDF-BF4A-9702-B15F0D510DF9}" xr6:coauthVersionLast="45" xr6:coauthVersionMax="45" xr10:uidLastSave="{00000000-0000-0000-0000-000000000000}"/>
  <bookViews>
    <workbookView xWindow="-20" yWindow="460" windowWidth="28800" windowHeight="17540" activeTab="12" xr2:uid="{4E6A16BB-4286-1043-8898-F41C52EA6564}"/>
  </bookViews>
  <sheets>
    <sheet name="All" sheetId="29" r:id="rId1"/>
    <sheet name="All Teams" sheetId="24" r:id="rId2"/>
    <sheet name="Joban" sheetId="2" r:id="rId3"/>
    <sheet name="Arsh" sheetId="3" r:id="rId4"/>
    <sheet name="Angad" sheetId="4" r:id="rId5"/>
    <sheet name="Ajay" sheetId="5" r:id="rId6"/>
    <sheet name="Sartaj" sheetId="6" r:id="rId7"/>
    <sheet name="Harvir" sheetId="7" r:id="rId8"/>
    <sheet name="Jatin" sheetId="8" r:id="rId9"/>
    <sheet name="Karnvir" sheetId="9" r:id="rId10"/>
    <sheet name="Harman" sheetId="10" r:id="rId11"/>
    <sheet name="Justin" sheetId="11" r:id="rId12"/>
    <sheet name="Rankings" sheetId="12" r:id="rId13"/>
    <sheet name="Trade Ting" sheetId="13" r:id="rId14"/>
    <sheet name="Bball ref" sheetId="20" r:id="rId15"/>
    <sheet name="Math" sheetId="15" r:id="rId16"/>
    <sheet name="Schedule" sheetId="22" r:id="rId17"/>
  </sheets>
  <definedNames>
    <definedName name="projections.iqy" localSheetId="14">'Bball ref'!$A$1:$P$222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9" i="13" l="1"/>
  <c r="Y31" i="13"/>
  <c r="X31" i="13"/>
  <c r="W31" i="13"/>
  <c r="V31" i="13"/>
  <c r="U31" i="13"/>
  <c r="T31" i="13"/>
  <c r="S31" i="13"/>
  <c r="R31" i="13"/>
  <c r="Q31" i="13"/>
  <c r="P31" i="13"/>
  <c r="O31" i="13"/>
  <c r="N31" i="13"/>
  <c r="M31" i="13"/>
  <c r="L31" i="13"/>
  <c r="K31" i="13"/>
  <c r="J31" i="13"/>
  <c r="I31" i="13"/>
  <c r="H31" i="13"/>
  <c r="G31" i="13"/>
  <c r="F31" i="13"/>
  <c r="E31" i="13"/>
  <c r="D31" i="13"/>
  <c r="C31" i="13"/>
  <c r="B31" i="13"/>
  <c r="Y30" i="13"/>
  <c r="X30" i="13"/>
  <c r="W30" i="13"/>
  <c r="V30" i="13"/>
  <c r="U30" i="13"/>
  <c r="T30" i="13"/>
  <c r="S30" i="13"/>
  <c r="R30" i="13"/>
  <c r="Q30" i="13"/>
  <c r="P30" i="13"/>
  <c r="O30" i="13"/>
  <c r="N30" i="13"/>
  <c r="M30" i="13"/>
  <c r="L30" i="13"/>
  <c r="K30" i="13"/>
  <c r="J30" i="13"/>
  <c r="I30" i="13"/>
  <c r="H30" i="13"/>
  <c r="G30" i="13"/>
  <c r="F30" i="13"/>
  <c r="E30" i="13"/>
  <c r="D30" i="13"/>
  <c r="C30" i="13"/>
  <c r="B30" i="13"/>
  <c r="Y29" i="13"/>
  <c r="X29" i="13"/>
  <c r="W29" i="13"/>
  <c r="V29" i="13"/>
  <c r="U29" i="13"/>
  <c r="T29" i="13"/>
  <c r="S29" i="13"/>
  <c r="R29" i="13"/>
  <c r="Q29" i="13"/>
  <c r="P29" i="13"/>
  <c r="O29" i="13"/>
  <c r="N29" i="13"/>
  <c r="M29" i="13"/>
  <c r="L29" i="13"/>
  <c r="K29" i="13"/>
  <c r="J29" i="13"/>
  <c r="I29" i="13"/>
  <c r="H29" i="13"/>
  <c r="G29" i="13"/>
  <c r="F29" i="13"/>
  <c r="E29" i="13"/>
  <c r="D29" i="13"/>
  <c r="C29" i="13"/>
  <c r="B29" i="13"/>
  <c r="Y28" i="13"/>
  <c r="X28" i="13"/>
  <c r="W28" i="13"/>
  <c r="V28" i="13"/>
  <c r="U28" i="13"/>
  <c r="T28" i="13"/>
  <c r="S28" i="13"/>
  <c r="R28" i="13"/>
  <c r="Q28" i="13"/>
  <c r="P28" i="13"/>
  <c r="O28" i="13"/>
  <c r="N28" i="13"/>
  <c r="M28" i="13"/>
  <c r="L28" i="13"/>
  <c r="K28" i="13"/>
  <c r="J28" i="13"/>
  <c r="I28" i="13"/>
  <c r="H28" i="13"/>
  <c r="G28" i="13"/>
  <c r="F28" i="13"/>
  <c r="E28" i="13"/>
  <c r="D28" i="13"/>
  <c r="C28" i="13"/>
  <c r="B28" i="13"/>
  <c r="Y27" i="13"/>
  <c r="X27" i="13"/>
  <c r="W27" i="13"/>
  <c r="V27" i="13"/>
  <c r="U27" i="13"/>
  <c r="T27" i="13"/>
  <c r="S27" i="13"/>
  <c r="R27" i="13"/>
  <c r="Q27" i="13"/>
  <c r="P27" i="13"/>
  <c r="O27" i="13"/>
  <c r="N27" i="13"/>
  <c r="M27" i="13"/>
  <c r="L27" i="13"/>
  <c r="K27" i="13"/>
  <c r="J27" i="13"/>
  <c r="I27" i="13"/>
  <c r="H27" i="13"/>
  <c r="G27" i="13"/>
  <c r="F27" i="13"/>
  <c r="E27" i="13"/>
  <c r="D27" i="13"/>
  <c r="C27" i="13"/>
  <c r="B27" i="13"/>
  <c r="Y26" i="13"/>
  <c r="X26" i="13"/>
  <c r="W26" i="13"/>
  <c r="V26" i="13"/>
  <c r="U26" i="13"/>
  <c r="T26" i="13"/>
  <c r="S26" i="13"/>
  <c r="R26" i="13"/>
  <c r="Q26" i="13"/>
  <c r="P26" i="13"/>
  <c r="O26" i="13"/>
  <c r="N26" i="13"/>
  <c r="M26" i="13"/>
  <c r="L26" i="13"/>
  <c r="K26" i="13"/>
  <c r="J26" i="13"/>
  <c r="I26" i="13"/>
  <c r="H26" i="13"/>
  <c r="G26" i="13"/>
  <c r="F26" i="13"/>
  <c r="E26" i="13"/>
  <c r="D26" i="13"/>
  <c r="C26" i="13"/>
  <c r="B26" i="13"/>
  <c r="Y25" i="13"/>
  <c r="X25" i="13"/>
  <c r="W25" i="13"/>
  <c r="V25" i="13"/>
  <c r="U25" i="13"/>
  <c r="T25" i="13"/>
  <c r="S25" i="13"/>
  <c r="R25" i="13"/>
  <c r="Q25" i="13"/>
  <c r="P25" i="13"/>
  <c r="O25" i="13"/>
  <c r="N25" i="13"/>
  <c r="M25" i="13"/>
  <c r="L25" i="13"/>
  <c r="K25" i="13"/>
  <c r="J25" i="13"/>
  <c r="I25" i="13"/>
  <c r="H25" i="13"/>
  <c r="G25" i="13"/>
  <c r="F25" i="13"/>
  <c r="E25" i="13"/>
  <c r="D25" i="13"/>
  <c r="C25" i="13"/>
  <c r="B25" i="13"/>
  <c r="Y24" i="13"/>
  <c r="X24" i="13"/>
  <c r="W24" i="13"/>
  <c r="V24" i="13"/>
  <c r="U24" i="13"/>
  <c r="T24" i="13"/>
  <c r="S24" i="13"/>
  <c r="R24" i="13"/>
  <c r="Q24" i="13"/>
  <c r="P24" i="13"/>
  <c r="O24" i="13"/>
  <c r="N24" i="13"/>
  <c r="M24" i="13"/>
  <c r="L24" i="13"/>
  <c r="K24" i="13"/>
  <c r="J24" i="13"/>
  <c r="I24" i="13"/>
  <c r="H24" i="13"/>
  <c r="G24" i="13"/>
  <c r="F24" i="13"/>
  <c r="E24" i="13"/>
  <c r="D24" i="13"/>
  <c r="C24" i="13"/>
  <c r="B24" i="13"/>
  <c r="Y23" i="13"/>
  <c r="X23" i="13"/>
  <c r="W23" i="13"/>
  <c r="V23" i="13"/>
  <c r="U23" i="13"/>
  <c r="T23" i="13"/>
  <c r="S23" i="13"/>
  <c r="R23" i="13"/>
  <c r="Q23" i="13"/>
  <c r="P23" i="13"/>
  <c r="O23" i="13"/>
  <c r="N23" i="13"/>
  <c r="M23" i="13"/>
  <c r="L23" i="13"/>
  <c r="K23" i="13"/>
  <c r="J23" i="13"/>
  <c r="I23" i="13"/>
  <c r="H23" i="13"/>
  <c r="G23" i="13"/>
  <c r="F23" i="13"/>
  <c r="E23" i="13"/>
  <c r="D23" i="13"/>
  <c r="C23" i="13"/>
  <c r="B23" i="13"/>
  <c r="Y22" i="13"/>
  <c r="X22" i="13"/>
  <c r="W22" i="13"/>
  <c r="V22" i="13"/>
  <c r="U22" i="13"/>
  <c r="T22" i="13"/>
  <c r="S22" i="13"/>
  <c r="R22" i="13"/>
  <c r="Q22" i="13"/>
  <c r="P22" i="13"/>
  <c r="O22" i="13"/>
  <c r="N22" i="13"/>
  <c r="M22" i="13"/>
  <c r="L22" i="13"/>
  <c r="K22" i="13"/>
  <c r="J22" i="13"/>
  <c r="I22" i="13"/>
  <c r="H22" i="13"/>
  <c r="G22" i="13"/>
  <c r="F22" i="13"/>
  <c r="E22" i="13"/>
  <c r="D22" i="13"/>
  <c r="C22" i="13"/>
  <c r="B22" i="13"/>
  <c r="Y21" i="13"/>
  <c r="X21" i="13"/>
  <c r="W21" i="13"/>
  <c r="V21" i="13"/>
  <c r="U21" i="13"/>
  <c r="T21" i="13"/>
  <c r="S21" i="13"/>
  <c r="R21" i="13"/>
  <c r="Q21" i="13"/>
  <c r="P21" i="13"/>
  <c r="O21" i="13"/>
  <c r="N21" i="13"/>
  <c r="M21" i="13"/>
  <c r="L21" i="13"/>
  <c r="K21" i="13"/>
  <c r="J21" i="13"/>
  <c r="I21" i="13"/>
  <c r="H21" i="13"/>
  <c r="G21" i="13"/>
  <c r="F21" i="13"/>
  <c r="E21" i="13"/>
  <c r="D21" i="13"/>
  <c r="C21" i="13"/>
  <c r="B21" i="13"/>
  <c r="Y20" i="13"/>
  <c r="X20" i="13"/>
  <c r="W20" i="13"/>
  <c r="V20" i="13"/>
  <c r="U20" i="13"/>
  <c r="T20" i="13"/>
  <c r="S20" i="13"/>
  <c r="R20" i="13"/>
  <c r="Q20" i="13"/>
  <c r="P20" i="13"/>
  <c r="O20" i="13"/>
  <c r="N20" i="13"/>
  <c r="M20" i="13"/>
  <c r="L20" i="13"/>
  <c r="K20" i="13"/>
  <c r="J20" i="13"/>
  <c r="I20" i="13"/>
  <c r="H20" i="13"/>
  <c r="G20" i="13"/>
  <c r="F20" i="13"/>
  <c r="E20" i="13"/>
  <c r="D20" i="13"/>
  <c r="C20" i="13"/>
  <c r="B20" i="13"/>
  <c r="Y19" i="13"/>
  <c r="X19" i="13"/>
  <c r="W19" i="13"/>
  <c r="V19" i="13"/>
  <c r="U19" i="13"/>
  <c r="T19" i="13"/>
  <c r="S19" i="13"/>
  <c r="R19" i="13"/>
  <c r="Q19" i="13"/>
  <c r="P19" i="13"/>
  <c r="O19" i="13"/>
  <c r="N19" i="13"/>
  <c r="M19" i="13"/>
  <c r="L19" i="13"/>
  <c r="K19" i="13"/>
  <c r="J19" i="13"/>
  <c r="I19" i="13"/>
  <c r="H19" i="13"/>
  <c r="G19" i="13"/>
  <c r="F19" i="13"/>
  <c r="E19" i="13"/>
  <c r="D19" i="13"/>
  <c r="C19" i="13"/>
  <c r="B19" i="13"/>
  <c r="B5" i="13"/>
  <c r="C5" i="13"/>
  <c r="D5" i="13"/>
  <c r="E5" i="13"/>
  <c r="F5" i="13"/>
  <c r="G5" i="13"/>
  <c r="H5" i="13"/>
  <c r="I5" i="13"/>
  <c r="J5" i="13"/>
  <c r="K5" i="13"/>
  <c r="L5" i="13"/>
  <c r="M5" i="13"/>
  <c r="N5" i="13"/>
  <c r="O5" i="13"/>
  <c r="P5" i="13"/>
  <c r="Q5" i="13"/>
  <c r="R5" i="13"/>
  <c r="S5" i="13"/>
  <c r="T5" i="13"/>
  <c r="U5" i="13"/>
  <c r="V5" i="13"/>
  <c r="W5" i="13"/>
  <c r="X5" i="13"/>
  <c r="Y5" i="13"/>
  <c r="B6" i="13"/>
  <c r="C6" i="13"/>
  <c r="D6" i="13"/>
  <c r="E6" i="13"/>
  <c r="F6" i="13"/>
  <c r="G6" i="13"/>
  <c r="H6" i="13"/>
  <c r="I6" i="13"/>
  <c r="J6" i="13"/>
  <c r="K6" i="13"/>
  <c r="L6" i="13"/>
  <c r="M6" i="13"/>
  <c r="N6" i="13"/>
  <c r="O6" i="13"/>
  <c r="P6" i="13"/>
  <c r="Q6" i="13"/>
  <c r="R6" i="13"/>
  <c r="S6" i="13"/>
  <c r="T6" i="13"/>
  <c r="U6" i="13"/>
  <c r="V6" i="13"/>
  <c r="W6" i="13"/>
  <c r="X6" i="13"/>
  <c r="Y6" i="13"/>
  <c r="B7" i="13"/>
  <c r="C7" i="13"/>
  <c r="D7" i="13"/>
  <c r="E7" i="13"/>
  <c r="F7" i="13"/>
  <c r="G7" i="13"/>
  <c r="H7" i="13"/>
  <c r="I7" i="13"/>
  <c r="J7" i="13"/>
  <c r="K7" i="13"/>
  <c r="L7" i="13"/>
  <c r="M7" i="13"/>
  <c r="N7" i="13"/>
  <c r="O7" i="13"/>
  <c r="P7" i="13"/>
  <c r="Q7" i="13"/>
  <c r="R7" i="13"/>
  <c r="S7" i="13"/>
  <c r="T7" i="13"/>
  <c r="U7" i="13"/>
  <c r="V7" i="13"/>
  <c r="W7" i="13"/>
  <c r="X7" i="13"/>
  <c r="Y7" i="13"/>
  <c r="B8" i="13"/>
  <c r="C8" i="13"/>
  <c r="D8" i="13"/>
  <c r="E8" i="13"/>
  <c r="F8" i="13"/>
  <c r="G8" i="13"/>
  <c r="H8" i="13"/>
  <c r="I8" i="13"/>
  <c r="J8" i="13"/>
  <c r="K8" i="13"/>
  <c r="L8" i="13"/>
  <c r="M8" i="13"/>
  <c r="N8" i="13"/>
  <c r="O8" i="13"/>
  <c r="P8" i="13"/>
  <c r="Q8" i="13"/>
  <c r="R8" i="13"/>
  <c r="S8" i="13"/>
  <c r="T8" i="13"/>
  <c r="U8" i="13"/>
  <c r="V8" i="13"/>
  <c r="W8" i="13"/>
  <c r="X8" i="13"/>
  <c r="Y8" i="13"/>
  <c r="C9" i="13"/>
  <c r="D9" i="13"/>
  <c r="E9" i="13"/>
  <c r="F9" i="13"/>
  <c r="G9" i="13"/>
  <c r="H9" i="13"/>
  <c r="I9" i="13"/>
  <c r="J9" i="13"/>
  <c r="K9" i="13"/>
  <c r="L9" i="13"/>
  <c r="M9" i="13"/>
  <c r="N9" i="13"/>
  <c r="O9" i="13"/>
  <c r="P9" i="13"/>
  <c r="Q9" i="13"/>
  <c r="R9" i="13"/>
  <c r="S9" i="13"/>
  <c r="T9" i="13"/>
  <c r="U9" i="13"/>
  <c r="V9" i="13"/>
  <c r="W9" i="13"/>
  <c r="X9" i="13"/>
  <c r="Y9" i="13"/>
  <c r="B10" i="13"/>
  <c r="C10" i="13"/>
  <c r="D10" i="13"/>
  <c r="E10" i="13"/>
  <c r="F10" i="13"/>
  <c r="G10" i="13"/>
  <c r="H10" i="13"/>
  <c r="I10" i="13"/>
  <c r="J10" i="13"/>
  <c r="K10" i="13"/>
  <c r="L10" i="13"/>
  <c r="M10" i="13"/>
  <c r="N10" i="13"/>
  <c r="O10" i="13"/>
  <c r="P10" i="13"/>
  <c r="Q10" i="13"/>
  <c r="R10" i="13"/>
  <c r="S10" i="13"/>
  <c r="T10" i="13"/>
  <c r="U10" i="13"/>
  <c r="V10" i="13"/>
  <c r="W10" i="13"/>
  <c r="X10" i="13"/>
  <c r="Y10" i="13"/>
  <c r="B11" i="13"/>
  <c r="C11" i="13"/>
  <c r="D11" i="13"/>
  <c r="E11" i="13"/>
  <c r="F11" i="13"/>
  <c r="G11" i="13"/>
  <c r="H11" i="13"/>
  <c r="I11" i="13"/>
  <c r="J11" i="13"/>
  <c r="K11" i="13"/>
  <c r="L11" i="13"/>
  <c r="M11" i="13"/>
  <c r="N11" i="13"/>
  <c r="O11" i="13"/>
  <c r="P11" i="13"/>
  <c r="Q11" i="13"/>
  <c r="R11" i="13"/>
  <c r="S11" i="13"/>
  <c r="T11" i="13"/>
  <c r="U11" i="13"/>
  <c r="V11" i="13"/>
  <c r="W11" i="13"/>
  <c r="X11" i="13"/>
  <c r="Y11" i="13"/>
  <c r="B12" i="13"/>
  <c r="C12" i="13"/>
  <c r="D12" i="13"/>
  <c r="E12" i="13"/>
  <c r="F12" i="13"/>
  <c r="G12" i="13"/>
  <c r="H12" i="13"/>
  <c r="I12" i="13"/>
  <c r="J12" i="13"/>
  <c r="K12" i="13"/>
  <c r="L12" i="13"/>
  <c r="M12" i="13"/>
  <c r="N12" i="13"/>
  <c r="O12" i="13"/>
  <c r="P12" i="13"/>
  <c r="Q12" i="13"/>
  <c r="R12" i="13"/>
  <c r="S12" i="13"/>
  <c r="T12" i="13"/>
  <c r="U12" i="13"/>
  <c r="V12" i="13"/>
  <c r="W12" i="13"/>
  <c r="X12" i="13"/>
  <c r="Y12" i="13"/>
  <c r="B13" i="13"/>
  <c r="C13" i="13"/>
  <c r="D13" i="13"/>
  <c r="E13" i="13"/>
  <c r="F13" i="13"/>
  <c r="G13" i="13"/>
  <c r="H13" i="13"/>
  <c r="I13" i="13"/>
  <c r="J13" i="13"/>
  <c r="K13" i="13"/>
  <c r="L13" i="13"/>
  <c r="M13" i="13"/>
  <c r="N13" i="13"/>
  <c r="O13" i="13"/>
  <c r="P13" i="13"/>
  <c r="Q13" i="13"/>
  <c r="R13" i="13"/>
  <c r="S13" i="13"/>
  <c r="T13" i="13"/>
  <c r="U13" i="13"/>
  <c r="V13" i="13"/>
  <c r="W13" i="13"/>
  <c r="X13" i="13"/>
  <c r="Y13" i="13"/>
  <c r="B14" i="13"/>
  <c r="C14" i="13"/>
  <c r="D14" i="13"/>
  <c r="E14" i="13"/>
  <c r="F14" i="13"/>
  <c r="G14" i="13"/>
  <c r="H14" i="13"/>
  <c r="I14" i="13"/>
  <c r="J14" i="13"/>
  <c r="K14" i="13"/>
  <c r="L14" i="13"/>
  <c r="M14" i="13"/>
  <c r="N14" i="13"/>
  <c r="O14" i="13"/>
  <c r="P14" i="13"/>
  <c r="Q14" i="13"/>
  <c r="R14" i="13"/>
  <c r="S14" i="13"/>
  <c r="T14" i="13"/>
  <c r="U14" i="13"/>
  <c r="V14" i="13"/>
  <c r="W14" i="13"/>
  <c r="X14" i="13"/>
  <c r="Y14" i="13"/>
  <c r="B15" i="13"/>
  <c r="C15" i="13"/>
  <c r="D15" i="13"/>
  <c r="E15" i="13"/>
  <c r="F15" i="13"/>
  <c r="G15" i="13"/>
  <c r="H15" i="13"/>
  <c r="I15" i="13"/>
  <c r="J15" i="13"/>
  <c r="K15" i="13"/>
  <c r="L15" i="13"/>
  <c r="M15" i="13"/>
  <c r="N15" i="13"/>
  <c r="O15" i="13"/>
  <c r="P15" i="13"/>
  <c r="Q15" i="13"/>
  <c r="R15" i="13"/>
  <c r="S15" i="13"/>
  <c r="T15" i="13"/>
  <c r="U15" i="13"/>
  <c r="V15" i="13"/>
  <c r="W15" i="13"/>
  <c r="X15" i="13"/>
  <c r="Y15" i="13"/>
  <c r="B16" i="13"/>
  <c r="C16" i="13"/>
  <c r="D16" i="13"/>
  <c r="E16" i="13"/>
  <c r="F16" i="13"/>
  <c r="G16" i="13"/>
  <c r="H16" i="13"/>
  <c r="I16" i="13"/>
  <c r="J16" i="13"/>
  <c r="K16" i="13"/>
  <c r="L16" i="13"/>
  <c r="M16" i="13"/>
  <c r="N16" i="13"/>
  <c r="O16" i="13"/>
  <c r="P16" i="13"/>
  <c r="Q16" i="13"/>
  <c r="R16" i="13"/>
  <c r="S16" i="13"/>
  <c r="T16" i="13"/>
  <c r="U16" i="13"/>
  <c r="V16" i="13"/>
  <c r="W16" i="13"/>
  <c r="X16" i="13"/>
  <c r="Y16" i="13"/>
  <c r="Y4" i="13"/>
  <c r="X4" i="13"/>
  <c r="W4" i="13"/>
  <c r="V4" i="13"/>
  <c r="U4" i="13"/>
  <c r="T4" i="13"/>
  <c r="S4" i="13"/>
  <c r="R4" i="13"/>
  <c r="Q4" i="13"/>
  <c r="P4" i="13"/>
  <c r="O4" i="13"/>
  <c r="N4" i="13"/>
  <c r="M4" i="13"/>
  <c r="L4" i="13"/>
  <c r="K4" i="13"/>
  <c r="J4" i="13"/>
  <c r="I4" i="13"/>
  <c r="H4" i="13"/>
  <c r="G4" i="13"/>
  <c r="F4" i="13"/>
  <c r="E4" i="13"/>
  <c r="D4" i="13"/>
  <c r="C4" i="13"/>
  <c r="B4" i="13"/>
  <c r="Y14" i="11"/>
  <c r="X14" i="11"/>
  <c r="W14" i="11"/>
  <c r="V14" i="11"/>
  <c r="U14" i="11"/>
  <c r="T14" i="11"/>
  <c r="S14" i="11"/>
  <c r="R14" i="11"/>
  <c r="Q14" i="11"/>
  <c r="P14" i="11"/>
  <c r="O14" i="11"/>
  <c r="N14" i="11"/>
  <c r="M14" i="11"/>
  <c r="L14" i="11"/>
  <c r="K14" i="11"/>
  <c r="J14" i="11"/>
  <c r="I14" i="11"/>
  <c r="H14" i="11"/>
  <c r="G14" i="11"/>
  <c r="F14" i="11"/>
  <c r="E14" i="11"/>
  <c r="D14" i="11"/>
  <c r="C14" i="11"/>
  <c r="B14" i="11"/>
  <c r="Y13" i="11"/>
  <c r="X13" i="11"/>
  <c r="W13" i="11"/>
  <c r="V13" i="11"/>
  <c r="U13" i="11"/>
  <c r="T13" i="11"/>
  <c r="S13" i="11"/>
  <c r="R13" i="11"/>
  <c r="Q13" i="11"/>
  <c r="P13" i="11"/>
  <c r="O13" i="11"/>
  <c r="N13" i="11"/>
  <c r="M13" i="11"/>
  <c r="L13" i="11"/>
  <c r="K13" i="11"/>
  <c r="J13" i="11"/>
  <c r="I13" i="11"/>
  <c r="H13" i="11"/>
  <c r="G13" i="11"/>
  <c r="F13" i="11"/>
  <c r="E13" i="11"/>
  <c r="D13" i="11"/>
  <c r="C13" i="11"/>
  <c r="B13" i="11"/>
  <c r="Y12" i="11"/>
  <c r="X12" i="11"/>
  <c r="W12" i="11"/>
  <c r="V12" i="11"/>
  <c r="U12" i="11"/>
  <c r="T12" i="11"/>
  <c r="S12" i="11"/>
  <c r="R12" i="11"/>
  <c r="Q12" i="11"/>
  <c r="P12" i="11"/>
  <c r="O12" i="11"/>
  <c r="N12" i="11"/>
  <c r="M12" i="11"/>
  <c r="L12" i="11"/>
  <c r="K12" i="11"/>
  <c r="J12" i="11"/>
  <c r="I12" i="11"/>
  <c r="H12" i="11"/>
  <c r="G12" i="11"/>
  <c r="F12" i="11"/>
  <c r="E12" i="11"/>
  <c r="D12" i="11"/>
  <c r="C12" i="11"/>
  <c r="B12" i="11"/>
  <c r="Y11" i="11"/>
  <c r="X11" i="11"/>
  <c r="W11" i="11"/>
  <c r="V11" i="11"/>
  <c r="U11" i="11"/>
  <c r="T11" i="11"/>
  <c r="S11" i="11"/>
  <c r="R11" i="11"/>
  <c r="Q11" i="11"/>
  <c r="P11" i="11"/>
  <c r="O11" i="11"/>
  <c r="N11" i="11"/>
  <c r="M11" i="11"/>
  <c r="L11" i="11"/>
  <c r="K11" i="11"/>
  <c r="J11" i="11"/>
  <c r="I11" i="11"/>
  <c r="H11" i="11"/>
  <c r="G11" i="11"/>
  <c r="F11" i="11"/>
  <c r="E11" i="11"/>
  <c r="D11" i="11"/>
  <c r="C11" i="11"/>
  <c r="B11" i="11"/>
  <c r="Y10" i="11"/>
  <c r="X10" i="11"/>
  <c r="W10" i="11"/>
  <c r="V10" i="11"/>
  <c r="U10" i="11"/>
  <c r="T10" i="11"/>
  <c r="S10" i="11"/>
  <c r="R10" i="11"/>
  <c r="Q10" i="11"/>
  <c r="P10" i="11"/>
  <c r="O10" i="11"/>
  <c r="N10" i="11"/>
  <c r="M10" i="11"/>
  <c r="L10" i="11"/>
  <c r="K10" i="11"/>
  <c r="J10" i="11"/>
  <c r="I10" i="11"/>
  <c r="H10" i="11"/>
  <c r="G10" i="11"/>
  <c r="F10" i="11"/>
  <c r="E10" i="11"/>
  <c r="D10" i="11"/>
  <c r="C10" i="11"/>
  <c r="B10" i="11"/>
  <c r="Y9" i="11"/>
  <c r="X9" i="11"/>
  <c r="W9" i="11"/>
  <c r="V9" i="11"/>
  <c r="U9" i="11"/>
  <c r="T9" i="11"/>
  <c r="S9" i="11"/>
  <c r="R9" i="11"/>
  <c r="Q9" i="11"/>
  <c r="P9" i="11"/>
  <c r="O9" i="11"/>
  <c r="N9" i="11"/>
  <c r="M9" i="11"/>
  <c r="L9" i="11"/>
  <c r="K9" i="11"/>
  <c r="J9" i="11"/>
  <c r="I9" i="11"/>
  <c r="H9" i="11"/>
  <c r="G9" i="11"/>
  <c r="F9" i="11"/>
  <c r="E9" i="11"/>
  <c r="D9" i="11"/>
  <c r="C9" i="11"/>
  <c r="B9" i="11"/>
  <c r="Y8" i="11"/>
  <c r="X8" i="11"/>
  <c r="W8" i="11"/>
  <c r="V8" i="11"/>
  <c r="U8" i="11"/>
  <c r="T8" i="11"/>
  <c r="S8" i="11"/>
  <c r="R8" i="11"/>
  <c r="Q8" i="11"/>
  <c r="P8" i="11"/>
  <c r="O8" i="11"/>
  <c r="N8" i="11"/>
  <c r="M8" i="11"/>
  <c r="L8" i="11"/>
  <c r="K8" i="11"/>
  <c r="J8" i="11"/>
  <c r="I8" i="11"/>
  <c r="H8" i="11"/>
  <c r="G8" i="11"/>
  <c r="F8" i="11"/>
  <c r="E8" i="11"/>
  <c r="D8" i="11"/>
  <c r="C8" i="11"/>
  <c r="B8" i="11"/>
  <c r="Y7" i="11"/>
  <c r="X7" i="11"/>
  <c r="W7" i="11"/>
  <c r="V7" i="11"/>
  <c r="U7" i="11"/>
  <c r="T7" i="11"/>
  <c r="S7" i="11"/>
  <c r="R7" i="11"/>
  <c r="Q7" i="11"/>
  <c r="P7" i="11"/>
  <c r="O7" i="11"/>
  <c r="N7" i="11"/>
  <c r="M7" i="11"/>
  <c r="L7" i="11"/>
  <c r="K7" i="11"/>
  <c r="J7" i="11"/>
  <c r="I7" i="11"/>
  <c r="H7" i="11"/>
  <c r="G7" i="11"/>
  <c r="F7" i="11"/>
  <c r="E7" i="11"/>
  <c r="D7" i="11"/>
  <c r="C7" i="11"/>
  <c r="B7" i="11"/>
  <c r="Y6" i="11"/>
  <c r="X6" i="11"/>
  <c r="W6" i="11"/>
  <c r="V6" i="11"/>
  <c r="U6" i="11"/>
  <c r="T6" i="11"/>
  <c r="S6" i="11"/>
  <c r="R6" i="11"/>
  <c r="Q6" i="11"/>
  <c r="P6" i="11"/>
  <c r="O6" i="11"/>
  <c r="N6" i="11"/>
  <c r="M6" i="11"/>
  <c r="L6" i="11"/>
  <c r="K6" i="11"/>
  <c r="J6" i="11"/>
  <c r="I6" i="11"/>
  <c r="H6" i="11"/>
  <c r="G6" i="11"/>
  <c r="F6" i="11"/>
  <c r="E6" i="11"/>
  <c r="D6" i="11"/>
  <c r="C6" i="11"/>
  <c r="B6" i="11"/>
  <c r="Y5" i="11"/>
  <c r="X5" i="11"/>
  <c r="W5" i="11"/>
  <c r="V5" i="11"/>
  <c r="U5" i="11"/>
  <c r="T5" i="11"/>
  <c r="S5" i="11"/>
  <c r="R5" i="11"/>
  <c r="Q5" i="11"/>
  <c r="P5" i="11"/>
  <c r="O5" i="11"/>
  <c r="N5" i="11"/>
  <c r="M5" i="11"/>
  <c r="L5" i="11"/>
  <c r="K5" i="11"/>
  <c r="J5" i="11"/>
  <c r="I5" i="11"/>
  <c r="H5" i="11"/>
  <c r="G5" i="11"/>
  <c r="F5" i="11"/>
  <c r="E5" i="11"/>
  <c r="D5" i="11"/>
  <c r="C5" i="11"/>
  <c r="B5" i="11"/>
  <c r="Y4" i="11"/>
  <c r="X4" i="11"/>
  <c r="W4" i="11"/>
  <c r="V4" i="11"/>
  <c r="U4" i="11"/>
  <c r="T4" i="11"/>
  <c r="S4" i="11"/>
  <c r="R4" i="11"/>
  <c r="Q4" i="11"/>
  <c r="P4" i="11"/>
  <c r="O4" i="11"/>
  <c r="N4" i="11"/>
  <c r="M4" i="11"/>
  <c r="L4" i="11"/>
  <c r="K4" i="11"/>
  <c r="J4" i="11"/>
  <c r="I4" i="11"/>
  <c r="H4" i="11"/>
  <c r="G4" i="11"/>
  <c r="F4" i="11"/>
  <c r="E4" i="11"/>
  <c r="D4" i="11"/>
  <c r="C4" i="11"/>
  <c r="B4" i="11"/>
  <c r="Y3" i="11"/>
  <c r="X3" i="11"/>
  <c r="W3" i="11"/>
  <c r="V3" i="11"/>
  <c r="U3" i="11"/>
  <c r="T3" i="11"/>
  <c r="S3" i="11"/>
  <c r="R3" i="11"/>
  <c r="Q3" i="11"/>
  <c r="P3" i="11"/>
  <c r="O3" i="11"/>
  <c r="N3" i="11"/>
  <c r="M3" i="11"/>
  <c r="L3" i="11"/>
  <c r="K3" i="11"/>
  <c r="J3" i="11"/>
  <c r="I3" i="11"/>
  <c r="H3" i="11"/>
  <c r="G3" i="11"/>
  <c r="F3" i="11"/>
  <c r="E3" i="11"/>
  <c r="D3" i="11"/>
  <c r="C3" i="11"/>
  <c r="B3" i="11"/>
  <c r="Y2" i="11"/>
  <c r="X2" i="11"/>
  <c r="W2" i="11"/>
  <c r="V2" i="11"/>
  <c r="U2" i="11"/>
  <c r="T2" i="11"/>
  <c r="S2" i="11"/>
  <c r="R2" i="11"/>
  <c r="Q2" i="11"/>
  <c r="P2" i="11"/>
  <c r="O2" i="11"/>
  <c r="N2" i="11"/>
  <c r="M2" i="11"/>
  <c r="L2" i="11"/>
  <c r="K2" i="11"/>
  <c r="J2" i="11"/>
  <c r="I2" i="11"/>
  <c r="H2" i="11"/>
  <c r="G2" i="11"/>
  <c r="F2" i="11"/>
  <c r="E2" i="11"/>
  <c r="D2" i="11"/>
  <c r="C2" i="11"/>
  <c r="B2" i="11"/>
  <c r="Y14" i="10"/>
  <c r="X14" i="10"/>
  <c r="W14" i="10"/>
  <c r="V14" i="10"/>
  <c r="U14" i="10"/>
  <c r="T14" i="10"/>
  <c r="S14" i="10"/>
  <c r="R14" i="10"/>
  <c r="Q14" i="10"/>
  <c r="P14" i="10"/>
  <c r="O14" i="10"/>
  <c r="N14" i="10"/>
  <c r="M14" i="10"/>
  <c r="L14" i="10"/>
  <c r="K14" i="10"/>
  <c r="J14" i="10"/>
  <c r="I14" i="10"/>
  <c r="H14" i="10"/>
  <c r="G14" i="10"/>
  <c r="F14" i="10"/>
  <c r="E14" i="10"/>
  <c r="D14" i="10"/>
  <c r="C14" i="10"/>
  <c r="B14" i="10"/>
  <c r="Y13" i="10"/>
  <c r="X13" i="10"/>
  <c r="W13" i="10"/>
  <c r="V13" i="10"/>
  <c r="U13" i="10"/>
  <c r="T13" i="10"/>
  <c r="S13" i="10"/>
  <c r="R13" i="10"/>
  <c r="Q13" i="10"/>
  <c r="P13" i="10"/>
  <c r="O13" i="10"/>
  <c r="N13" i="10"/>
  <c r="M13" i="10"/>
  <c r="L13" i="10"/>
  <c r="K13" i="10"/>
  <c r="J13" i="10"/>
  <c r="I13" i="10"/>
  <c r="H13" i="10"/>
  <c r="G13" i="10"/>
  <c r="F13" i="10"/>
  <c r="E13" i="10"/>
  <c r="D13" i="10"/>
  <c r="C13" i="10"/>
  <c r="B13" i="10"/>
  <c r="Y12" i="10"/>
  <c r="X12" i="10"/>
  <c r="W12" i="10"/>
  <c r="V12" i="10"/>
  <c r="U12" i="10"/>
  <c r="T12" i="10"/>
  <c r="S12" i="10"/>
  <c r="R12" i="10"/>
  <c r="Q12" i="10"/>
  <c r="P12" i="10"/>
  <c r="O12" i="10"/>
  <c r="N12" i="10"/>
  <c r="M12" i="10"/>
  <c r="L12" i="10"/>
  <c r="K12" i="10"/>
  <c r="J12" i="10"/>
  <c r="I12" i="10"/>
  <c r="H12" i="10"/>
  <c r="G12" i="10"/>
  <c r="F12" i="10"/>
  <c r="E12" i="10"/>
  <c r="D12" i="10"/>
  <c r="C12" i="10"/>
  <c r="B12" i="10"/>
  <c r="Y11" i="10"/>
  <c r="X11" i="10"/>
  <c r="W11" i="10"/>
  <c r="V11" i="10"/>
  <c r="U11" i="10"/>
  <c r="T11" i="10"/>
  <c r="S11" i="10"/>
  <c r="R11" i="10"/>
  <c r="Q11" i="10"/>
  <c r="P11" i="10"/>
  <c r="O11" i="10"/>
  <c r="N11" i="10"/>
  <c r="M11" i="10"/>
  <c r="L11" i="10"/>
  <c r="K11" i="10"/>
  <c r="J11" i="10"/>
  <c r="I11" i="10"/>
  <c r="H11" i="10"/>
  <c r="G11" i="10"/>
  <c r="F11" i="10"/>
  <c r="E11" i="10"/>
  <c r="D11" i="10"/>
  <c r="C11" i="10"/>
  <c r="B11" i="10"/>
  <c r="Y10" i="10"/>
  <c r="X10" i="10"/>
  <c r="W10" i="10"/>
  <c r="V10" i="10"/>
  <c r="U10" i="10"/>
  <c r="T10" i="10"/>
  <c r="S10" i="10"/>
  <c r="R10" i="10"/>
  <c r="Q10" i="10"/>
  <c r="P10" i="10"/>
  <c r="O10" i="10"/>
  <c r="N10" i="10"/>
  <c r="M10" i="10"/>
  <c r="L10" i="10"/>
  <c r="K10" i="10"/>
  <c r="J10" i="10"/>
  <c r="I10" i="10"/>
  <c r="H10" i="10"/>
  <c r="G10" i="10"/>
  <c r="F10" i="10"/>
  <c r="E10" i="10"/>
  <c r="D10" i="10"/>
  <c r="C10" i="10"/>
  <c r="B10" i="10"/>
  <c r="Y9" i="10"/>
  <c r="X9" i="10"/>
  <c r="W9" i="10"/>
  <c r="V9" i="10"/>
  <c r="U9" i="10"/>
  <c r="T9" i="10"/>
  <c r="S9" i="10"/>
  <c r="R9" i="10"/>
  <c r="Q9" i="10"/>
  <c r="P9" i="10"/>
  <c r="O9" i="10"/>
  <c r="N9" i="10"/>
  <c r="M9" i="10"/>
  <c r="L9" i="10"/>
  <c r="K9" i="10"/>
  <c r="J9" i="10"/>
  <c r="I9" i="10"/>
  <c r="H9" i="10"/>
  <c r="G9" i="10"/>
  <c r="F9" i="10"/>
  <c r="E9" i="10"/>
  <c r="D9" i="10"/>
  <c r="C9" i="10"/>
  <c r="B9" i="10"/>
  <c r="Y8" i="10"/>
  <c r="X8" i="10"/>
  <c r="W8" i="10"/>
  <c r="V8" i="10"/>
  <c r="U8" i="10"/>
  <c r="T8" i="10"/>
  <c r="S8" i="10"/>
  <c r="R8" i="10"/>
  <c r="Q8" i="10"/>
  <c r="P8" i="10"/>
  <c r="O8" i="10"/>
  <c r="N8" i="10"/>
  <c r="M8" i="10"/>
  <c r="L8" i="10"/>
  <c r="K8" i="10"/>
  <c r="J8" i="10"/>
  <c r="I8" i="10"/>
  <c r="H8" i="10"/>
  <c r="G8" i="10"/>
  <c r="F8" i="10"/>
  <c r="E8" i="10"/>
  <c r="D8" i="10"/>
  <c r="C8" i="10"/>
  <c r="B8" i="10"/>
  <c r="Y7" i="10"/>
  <c r="X7" i="10"/>
  <c r="W7" i="10"/>
  <c r="V7" i="10"/>
  <c r="U7" i="10"/>
  <c r="T7" i="10"/>
  <c r="S7" i="10"/>
  <c r="R7" i="10"/>
  <c r="Q7" i="10"/>
  <c r="P7" i="10"/>
  <c r="O7" i="10"/>
  <c r="N7" i="10"/>
  <c r="M7" i="10"/>
  <c r="L7" i="10"/>
  <c r="K7" i="10"/>
  <c r="J7" i="10"/>
  <c r="I7" i="10"/>
  <c r="H7" i="10"/>
  <c r="G7" i="10"/>
  <c r="F7" i="10"/>
  <c r="E7" i="10"/>
  <c r="D7" i="10"/>
  <c r="C7" i="10"/>
  <c r="B7" i="10"/>
  <c r="Y6" i="10"/>
  <c r="X6" i="10"/>
  <c r="W6" i="10"/>
  <c r="V6" i="10"/>
  <c r="U6" i="10"/>
  <c r="T6" i="10"/>
  <c r="S6" i="10"/>
  <c r="R6" i="10"/>
  <c r="Q6" i="10"/>
  <c r="P6" i="10"/>
  <c r="O6" i="10"/>
  <c r="N6" i="10"/>
  <c r="M6" i="10"/>
  <c r="L6" i="10"/>
  <c r="K6" i="10"/>
  <c r="J6" i="10"/>
  <c r="I6" i="10"/>
  <c r="H6" i="10"/>
  <c r="G6" i="10"/>
  <c r="F6" i="10"/>
  <c r="E6" i="10"/>
  <c r="D6" i="10"/>
  <c r="C6" i="10"/>
  <c r="B6" i="10"/>
  <c r="Y5" i="10"/>
  <c r="X5" i="10"/>
  <c r="W5" i="10"/>
  <c r="V5" i="10"/>
  <c r="U5" i="10"/>
  <c r="T5" i="10"/>
  <c r="S5" i="10"/>
  <c r="R5" i="10"/>
  <c r="Q5" i="10"/>
  <c r="P5" i="10"/>
  <c r="O5" i="10"/>
  <c r="N5" i="10"/>
  <c r="M5" i="10"/>
  <c r="L5" i="10"/>
  <c r="K5" i="10"/>
  <c r="J5" i="10"/>
  <c r="I5" i="10"/>
  <c r="H5" i="10"/>
  <c r="G5" i="10"/>
  <c r="F5" i="10"/>
  <c r="E5" i="10"/>
  <c r="D5" i="10"/>
  <c r="C5" i="10"/>
  <c r="B5" i="10"/>
  <c r="Y4" i="10"/>
  <c r="X4" i="10"/>
  <c r="W4" i="10"/>
  <c r="V4" i="10"/>
  <c r="U4" i="10"/>
  <c r="T4" i="10"/>
  <c r="S4" i="10"/>
  <c r="R4" i="10"/>
  <c r="Q4" i="10"/>
  <c r="P4" i="10"/>
  <c r="O4" i="10"/>
  <c r="N4" i="10"/>
  <c r="M4" i="10"/>
  <c r="L4" i="10"/>
  <c r="K4" i="10"/>
  <c r="J4" i="10"/>
  <c r="I4" i="10"/>
  <c r="H4" i="10"/>
  <c r="G4" i="10"/>
  <c r="F4" i="10"/>
  <c r="E4" i="10"/>
  <c r="D4" i="10"/>
  <c r="C4" i="10"/>
  <c r="B4" i="10"/>
  <c r="Y3" i="10"/>
  <c r="X3" i="10"/>
  <c r="W3" i="10"/>
  <c r="V3" i="10"/>
  <c r="U3" i="10"/>
  <c r="T3" i="10"/>
  <c r="S3" i="10"/>
  <c r="R3" i="10"/>
  <c r="Q3" i="10"/>
  <c r="P3" i="10"/>
  <c r="O3" i="10"/>
  <c r="N3" i="10"/>
  <c r="M3" i="10"/>
  <c r="L3" i="10"/>
  <c r="K3" i="10"/>
  <c r="J3" i="10"/>
  <c r="I3" i="10"/>
  <c r="H3" i="10"/>
  <c r="G3" i="10"/>
  <c r="F3" i="10"/>
  <c r="E3" i="10"/>
  <c r="D3" i="10"/>
  <c r="C3" i="10"/>
  <c r="B3" i="10"/>
  <c r="Y2" i="10"/>
  <c r="X2" i="10"/>
  <c r="W2" i="10"/>
  <c r="V2" i="10"/>
  <c r="U2" i="10"/>
  <c r="T2" i="10"/>
  <c r="S2" i="10"/>
  <c r="R2" i="10"/>
  <c r="Q2" i="10"/>
  <c r="P2" i="10"/>
  <c r="O2" i="10"/>
  <c r="N2" i="10"/>
  <c r="M2" i="10"/>
  <c r="L2" i="10"/>
  <c r="K2" i="10"/>
  <c r="J2" i="10"/>
  <c r="I2" i="10"/>
  <c r="H2" i="10"/>
  <c r="G2" i="10"/>
  <c r="F2" i="10"/>
  <c r="E2" i="10"/>
  <c r="D2" i="10"/>
  <c r="C2" i="10"/>
  <c r="B2" i="10"/>
  <c r="Y14" i="9"/>
  <c r="X14" i="9"/>
  <c r="W14" i="9"/>
  <c r="V14" i="9"/>
  <c r="U14" i="9"/>
  <c r="T14" i="9"/>
  <c r="S14" i="9"/>
  <c r="R14" i="9"/>
  <c r="Q14" i="9"/>
  <c r="P14" i="9"/>
  <c r="O14" i="9"/>
  <c r="N14" i="9"/>
  <c r="M14" i="9"/>
  <c r="L14" i="9"/>
  <c r="K14" i="9"/>
  <c r="J14" i="9"/>
  <c r="I14" i="9"/>
  <c r="H14" i="9"/>
  <c r="G14" i="9"/>
  <c r="F14" i="9"/>
  <c r="E14" i="9"/>
  <c r="D14" i="9"/>
  <c r="C14" i="9"/>
  <c r="B14" i="9"/>
  <c r="Y13" i="9"/>
  <c r="X13" i="9"/>
  <c r="W13" i="9"/>
  <c r="V13" i="9"/>
  <c r="U13" i="9"/>
  <c r="T13" i="9"/>
  <c r="S13" i="9"/>
  <c r="R13" i="9"/>
  <c r="Q13" i="9"/>
  <c r="P13" i="9"/>
  <c r="O13" i="9"/>
  <c r="N13" i="9"/>
  <c r="M13" i="9"/>
  <c r="L13" i="9"/>
  <c r="K13" i="9"/>
  <c r="J13" i="9"/>
  <c r="I13" i="9"/>
  <c r="H13" i="9"/>
  <c r="G13" i="9"/>
  <c r="F13" i="9"/>
  <c r="E13" i="9"/>
  <c r="D13" i="9"/>
  <c r="C13" i="9"/>
  <c r="B13" i="9"/>
  <c r="Y12" i="9"/>
  <c r="X12" i="9"/>
  <c r="W12" i="9"/>
  <c r="V12" i="9"/>
  <c r="U12" i="9"/>
  <c r="T12" i="9"/>
  <c r="S12" i="9"/>
  <c r="R12" i="9"/>
  <c r="Q12" i="9"/>
  <c r="P12" i="9"/>
  <c r="O12" i="9"/>
  <c r="N12" i="9"/>
  <c r="M12" i="9"/>
  <c r="L12" i="9"/>
  <c r="K12" i="9"/>
  <c r="J12" i="9"/>
  <c r="I12" i="9"/>
  <c r="H12" i="9"/>
  <c r="G12" i="9"/>
  <c r="F12" i="9"/>
  <c r="E12" i="9"/>
  <c r="D12" i="9"/>
  <c r="C12" i="9"/>
  <c r="B12" i="9"/>
  <c r="Y11" i="9"/>
  <c r="X11" i="9"/>
  <c r="W11" i="9"/>
  <c r="V11" i="9"/>
  <c r="U11" i="9"/>
  <c r="T11" i="9"/>
  <c r="S11" i="9"/>
  <c r="R11" i="9"/>
  <c r="Q11" i="9"/>
  <c r="P11" i="9"/>
  <c r="O11" i="9"/>
  <c r="N11" i="9"/>
  <c r="M11" i="9"/>
  <c r="L11" i="9"/>
  <c r="K11" i="9"/>
  <c r="J11" i="9"/>
  <c r="I11" i="9"/>
  <c r="H11" i="9"/>
  <c r="G11" i="9"/>
  <c r="F11" i="9"/>
  <c r="E11" i="9"/>
  <c r="D11" i="9"/>
  <c r="C11" i="9"/>
  <c r="B11" i="9"/>
  <c r="Y10" i="9"/>
  <c r="X10" i="9"/>
  <c r="W10" i="9"/>
  <c r="V10" i="9"/>
  <c r="U10" i="9"/>
  <c r="T10" i="9"/>
  <c r="S10" i="9"/>
  <c r="R10" i="9"/>
  <c r="Q10" i="9"/>
  <c r="P10" i="9"/>
  <c r="O10" i="9"/>
  <c r="N10" i="9"/>
  <c r="M10" i="9"/>
  <c r="L10" i="9"/>
  <c r="K10" i="9"/>
  <c r="J10" i="9"/>
  <c r="I10" i="9"/>
  <c r="H10" i="9"/>
  <c r="G10" i="9"/>
  <c r="F10" i="9"/>
  <c r="E10" i="9"/>
  <c r="D10" i="9"/>
  <c r="C10" i="9"/>
  <c r="B10" i="9"/>
  <c r="Y9" i="9"/>
  <c r="X9" i="9"/>
  <c r="W9" i="9"/>
  <c r="V9" i="9"/>
  <c r="U9" i="9"/>
  <c r="T9" i="9"/>
  <c r="S9" i="9"/>
  <c r="R9" i="9"/>
  <c r="Q9" i="9"/>
  <c r="P9" i="9"/>
  <c r="O9" i="9"/>
  <c r="N9" i="9"/>
  <c r="M9" i="9"/>
  <c r="L9" i="9"/>
  <c r="K9" i="9"/>
  <c r="J9" i="9"/>
  <c r="I9" i="9"/>
  <c r="H9" i="9"/>
  <c r="G9" i="9"/>
  <c r="F9" i="9"/>
  <c r="E9" i="9"/>
  <c r="D9" i="9"/>
  <c r="C9" i="9"/>
  <c r="B9" i="9"/>
  <c r="Y8" i="9"/>
  <c r="X8" i="9"/>
  <c r="W8" i="9"/>
  <c r="V8" i="9"/>
  <c r="U8" i="9"/>
  <c r="T8" i="9"/>
  <c r="S8" i="9"/>
  <c r="R8" i="9"/>
  <c r="Q8" i="9"/>
  <c r="P8" i="9"/>
  <c r="O8" i="9"/>
  <c r="N8" i="9"/>
  <c r="M8" i="9"/>
  <c r="L8" i="9"/>
  <c r="K8" i="9"/>
  <c r="J8" i="9"/>
  <c r="I8" i="9"/>
  <c r="H8" i="9"/>
  <c r="G8" i="9"/>
  <c r="F8" i="9"/>
  <c r="E8" i="9"/>
  <c r="D8" i="9"/>
  <c r="C8" i="9"/>
  <c r="B8" i="9"/>
  <c r="Y7" i="9"/>
  <c r="X7" i="9"/>
  <c r="W7" i="9"/>
  <c r="V7" i="9"/>
  <c r="U7" i="9"/>
  <c r="T7" i="9"/>
  <c r="S7" i="9"/>
  <c r="R7" i="9"/>
  <c r="Q7" i="9"/>
  <c r="P7" i="9"/>
  <c r="O7" i="9"/>
  <c r="N7" i="9"/>
  <c r="M7" i="9"/>
  <c r="L7" i="9"/>
  <c r="K7" i="9"/>
  <c r="J7" i="9"/>
  <c r="I7" i="9"/>
  <c r="H7" i="9"/>
  <c r="G7" i="9"/>
  <c r="F7" i="9"/>
  <c r="E7" i="9"/>
  <c r="D7" i="9"/>
  <c r="C7" i="9"/>
  <c r="B7" i="9"/>
  <c r="Y6" i="9"/>
  <c r="X6" i="9"/>
  <c r="W6" i="9"/>
  <c r="V6" i="9"/>
  <c r="U6" i="9"/>
  <c r="T6" i="9"/>
  <c r="S6" i="9"/>
  <c r="R6" i="9"/>
  <c r="Q6" i="9"/>
  <c r="P6" i="9"/>
  <c r="O6" i="9"/>
  <c r="N6" i="9"/>
  <c r="M6" i="9"/>
  <c r="L6" i="9"/>
  <c r="K6" i="9"/>
  <c r="J6" i="9"/>
  <c r="I6" i="9"/>
  <c r="H6" i="9"/>
  <c r="G6" i="9"/>
  <c r="F6" i="9"/>
  <c r="E6" i="9"/>
  <c r="D6" i="9"/>
  <c r="C6" i="9"/>
  <c r="B6" i="9"/>
  <c r="Y5" i="9"/>
  <c r="X5" i="9"/>
  <c r="W5" i="9"/>
  <c r="V5" i="9"/>
  <c r="U5" i="9"/>
  <c r="T5" i="9"/>
  <c r="S5" i="9"/>
  <c r="R5" i="9"/>
  <c r="Q5" i="9"/>
  <c r="P5" i="9"/>
  <c r="O5" i="9"/>
  <c r="N5" i="9"/>
  <c r="M5" i="9"/>
  <c r="L5" i="9"/>
  <c r="K5" i="9"/>
  <c r="J5" i="9"/>
  <c r="I5" i="9"/>
  <c r="H5" i="9"/>
  <c r="G5" i="9"/>
  <c r="F5" i="9"/>
  <c r="E5" i="9"/>
  <c r="D5" i="9"/>
  <c r="C5" i="9"/>
  <c r="B5" i="9"/>
  <c r="Y4" i="9"/>
  <c r="X4" i="9"/>
  <c r="W4" i="9"/>
  <c r="V4" i="9"/>
  <c r="U4" i="9"/>
  <c r="T4" i="9"/>
  <c r="S4" i="9"/>
  <c r="R4" i="9"/>
  <c r="Q4" i="9"/>
  <c r="P4" i="9"/>
  <c r="O4" i="9"/>
  <c r="N4" i="9"/>
  <c r="M4" i="9"/>
  <c r="L4" i="9"/>
  <c r="K4" i="9"/>
  <c r="J4" i="9"/>
  <c r="I4" i="9"/>
  <c r="H4" i="9"/>
  <c r="G4" i="9"/>
  <c r="F4" i="9"/>
  <c r="E4" i="9"/>
  <c r="D4" i="9"/>
  <c r="C4" i="9"/>
  <c r="B4" i="9"/>
  <c r="Y3" i="9"/>
  <c r="X3" i="9"/>
  <c r="W3" i="9"/>
  <c r="V3" i="9"/>
  <c r="U3" i="9"/>
  <c r="T3" i="9"/>
  <c r="S3" i="9"/>
  <c r="R3" i="9"/>
  <c r="Q3" i="9"/>
  <c r="P3" i="9"/>
  <c r="O3" i="9"/>
  <c r="N3" i="9"/>
  <c r="M3" i="9"/>
  <c r="L3" i="9"/>
  <c r="K3" i="9"/>
  <c r="J3" i="9"/>
  <c r="I3" i="9"/>
  <c r="H3" i="9"/>
  <c r="G3" i="9"/>
  <c r="F3" i="9"/>
  <c r="E3" i="9"/>
  <c r="D3" i="9"/>
  <c r="C3" i="9"/>
  <c r="B3" i="9"/>
  <c r="Y2" i="9"/>
  <c r="X2" i="9"/>
  <c r="W2" i="9"/>
  <c r="V2" i="9"/>
  <c r="U2" i="9"/>
  <c r="T2" i="9"/>
  <c r="S2" i="9"/>
  <c r="R2" i="9"/>
  <c r="Q2" i="9"/>
  <c r="P2" i="9"/>
  <c r="O2" i="9"/>
  <c r="N2" i="9"/>
  <c r="M2" i="9"/>
  <c r="L2" i="9"/>
  <c r="K2" i="9"/>
  <c r="J2" i="9"/>
  <c r="I2" i="9"/>
  <c r="H2" i="9"/>
  <c r="G2" i="9"/>
  <c r="F2" i="9"/>
  <c r="E2" i="9"/>
  <c r="D2" i="9"/>
  <c r="C2" i="9"/>
  <c r="B2" i="9"/>
  <c r="Y14" i="8"/>
  <c r="X14" i="8"/>
  <c r="W14" i="8"/>
  <c r="V14" i="8"/>
  <c r="U14" i="8"/>
  <c r="T14" i="8"/>
  <c r="S14" i="8"/>
  <c r="R14" i="8"/>
  <c r="Q14" i="8"/>
  <c r="P14" i="8"/>
  <c r="O14" i="8"/>
  <c r="N14" i="8"/>
  <c r="M14" i="8"/>
  <c r="L14" i="8"/>
  <c r="K14" i="8"/>
  <c r="J14" i="8"/>
  <c r="I14" i="8"/>
  <c r="H14" i="8"/>
  <c r="G14" i="8"/>
  <c r="F14" i="8"/>
  <c r="E14" i="8"/>
  <c r="D14" i="8"/>
  <c r="C14" i="8"/>
  <c r="B14" i="8"/>
  <c r="Y13" i="8"/>
  <c r="X13" i="8"/>
  <c r="W13" i="8"/>
  <c r="V13" i="8"/>
  <c r="U13" i="8"/>
  <c r="T13" i="8"/>
  <c r="S13" i="8"/>
  <c r="R13" i="8"/>
  <c r="Q13" i="8"/>
  <c r="P13" i="8"/>
  <c r="O13" i="8"/>
  <c r="N13" i="8"/>
  <c r="M13" i="8"/>
  <c r="L13" i="8"/>
  <c r="K13" i="8"/>
  <c r="J13" i="8"/>
  <c r="I13" i="8"/>
  <c r="H13" i="8"/>
  <c r="G13" i="8"/>
  <c r="F13" i="8"/>
  <c r="E13" i="8"/>
  <c r="D13" i="8"/>
  <c r="C13" i="8"/>
  <c r="B13" i="8"/>
  <c r="Y12" i="8"/>
  <c r="X12" i="8"/>
  <c r="W12" i="8"/>
  <c r="V12" i="8"/>
  <c r="U12" i="8"/>
  <c r="T12" i="8"/>
  <c r="S12" i="8"/>
  <c r="R12" i="8"/>
  <c r="Q12" i="8"/>
  <c r="P12" i="8"/>
  <c r="O12" i="8"/>
  <c r="N12" i="8"/>
  <c r="M12" i="8"/>
  <c r="L12" i="8"/>
  <c r="K12" i="8"/>
  <c r="J12" i="8"/>
  <c r="I12" i="8"/>
  <c r="H12" i="8"/>
  <c r="G12" i="8"/>
  <c r="F12" i="8"/>
  <c r="E12" i="8"/>
  <c r="D12" i="8"/>
  <c r="C12" i="8"/>
  <c r="B12" i="8"/>
  <c r="Y11" i="8"/>
  <c r="X11" i="8"/>
  <c r="W11" i="8"/>
  <c r="V11" i="8"/>
  <c r="U11" i="8"/>
  <c r="T11" i="8"/>
  <c r="S11" i="8"/>
  <c r="R11" i="8"/>
  <c r="Q11" i="8"/>
  <c r="P11" i="8"/>
  <c r="O11" i="8"/>
  <c r="N11" i="8"/>
  <c r="M11" i="8"/>
  <c r="L11" i="8"/>
  <c r="K11" i="8"/>
  <c r="J11" i="8"/>
  <c r="I11" i="8"/>
  <c r="H11" i="8"/>
  <c r="G11" i="8"/>
  <c r="F11" i="8"/>
  <c r="E11" i="8"/>
  <c r="D11" i="8"/>
  <c r="C11" i="8"/>
  <c r="B11" i="8"/>
  <c r="Y10" i="8"/>
  <c r="X10" i="8"/>
  <c r="W10" i="8"/>
  <c r="V10" i="8"/>
  <c r="U10" i="8"/>
  <c r="T10" i="8"/>
  <c r="S10" i="8"/>
  <c r="R10" i="8"/>
  <c r="Q10" i="8"/>
  <c r="P10" i="8"/>
  <c r="O10" i="8"/>
  <c r="N10" i="8"/>
  <c r="M10" i="8"/>
  <c r="L10" i="8"/>
  <c r="K10" i="8"/>
  <c r="J10" i="8"/>
  <c r="I10" i="8"/>
  <c r="H10" i="8"/>
  <c r="G10" i="8"/>
  <c r="F10" i="8"/>
  <c r="E10" i="8"/>
  <c r="D10" i="8"/>
  <c r="C10" i="8"/>
  <c r="B10" i="8"/>
  <c r="Y9" i="8"/>
  <c r="X9" i="8"/>
  <c r="W9" i="8"/>
  <c r="V9" i="8"/>
  <c r="U9" i="8"/>
  <c r="T9" i="8"/>
  <c r="S9" i="8"/>
  <c r="R9" i="8"/>
  <c r="Q9" i="8"/>
  <c r="P9" i="8"/>
  <c r="O9" i="8"/>
  <c r="N9" i="8"/>
  <c r="M9" i="8"/>
  <c r="L9" i="8"/>
  <c r="K9" i="8"/>
  <c r="J9" i="8"/>
  <c r="I9" i="8"/>
  <c r="H9" i="8"/>
  <c r="G9" i="8"/>
  <c r="F9" i="8"/>
  <c r="E9" i="8"/>
  <c r="D9" i="8"/>
  <c r="C9" i="8"/>
  <c r="B9" i="8"/>
  <c r="Y8" i="8"/>
  <c r="X8" i="8"/>
  <c r="W8" i="8"/>
  <c r="V8" i="8"/>
  <c r="U8" i="8"/>
  <c r="T8" i="8"/>
  <c r="S8" i="8"/>
  <c r="R8" i="8"/>
  <c r="Q8" i="8"/>
  <c r="P8" i="8"/>
  <c r="O8" i="8"/>
  <c r="N8" i="8"/>
  <c r="M8" i="8"/>
  <c r="L8" i="8"/>
  <c r="K8" i="8"/>
  <c r="J8" i="8"/>
  <c r="I8" i="8"/>
  <c r="H8" i="8"/>
  <c r="G8" i="8"/>
  <c r="F8" i="8"/>
  <c r="E8" i="8"/>
  <c r="D8" i="8"/>
  <c r="C8" i="8"/>
  <c r="B8" i="8"/>
  <c r="Y7" i="8"/>
  <c r="X7" i="8"/>
  <c r="W7" i="8"/>
  <c r="V7" i="8"/>
  <c r="U7" i="8"/>
  <c r="T7" i="8"/>
  <c r="S7" i="8"/>
  <c r="R7" i="8"/>
  <c r="Q7" i="8"/>
  <c r="P7" i="8"/>
  <c r="O7" i="8"/>
  <c r="N7" i="8"/>
  <c r="M7" i="8"/>
  <c r="L7" i="8"/>
  <c r="K7" i="8"/>
  <c r="J7" i="8"/>
  <c r="I7" i="8"/>
  <c r="H7" i="8"/>
  <c r="G7" i="8"/>
  <c r="F7" i="8"/>
  <c r="E7" i="8"/>
  <c r="D7" i="8"/>
  <c r="C7" i="8"/>
  <c r="B7" i="8"/>
  <c r="Y6" i="8"/>
  <c r="X6" i="8"/>
  <c r="W6" i="8"/>
  <c r="V6" i="8"/>
  <c r="U6" i="8"/>
  <c r="T6" i="8"/>
  <c r="S6" i="8"/>
  <c r="R6" i="8"/>
  <c r="Q6" i="8"/>
  <c r="P6" i="8"/>
  <c r="O6" i="8"/>
  <c r="N6" i="8"/>
  <c r="M6" i="8"/>
  <c r="L6" i="8"/>
  <c r="K6" i="8"/>
  <c r="J6" i="8"/>
  <c r="I6" i="8"/>
  <c r="H6" i="8"/>
  <c r="G6" i="8"/>
  <c r="F6" i="8"/>
  <c r="E6" i="8"/>
  <c r="D6" i="8"/>
  <c r="C6" i="8"/>
  <c r="B6" i="8"/>
  <c r="Y5" i="8"/>
  <c r="X5" i="8"/>
  <c r="W5" i="8"/>
  <c r="V5" i="8"/>
  <c r="U5" i="8"/>
  <c r="T5" i="8"/>
  <c r="S5" i="8"/>
  <c r="R5" i="8"/>
  <c r="Q5" i="8"/>
  <c r="P5" i="8"/>
  <c r="O5" i="8"/>
  <c r="N5" i="8"/>
  <c r="M5" i="8"/>
  <c r="L5" i="8"/>
  <c r="K5" i="8"/>
  <c r="J5" i="8"/>
  <c r="I5" i="8"/>
  <c r="H5" i="8"/>
  <c r="G5" i="8"/>
  <c r="F5" i="8"/>
  <c r="E5" i="8"/>
  <c r="D5" i="8"/>
  <c r="C5" i="8"/>
  <c r="B5" i="8"/>
  <c r="Y4" i="8"/>
  <c r="X4" i="8"/>
  <c r="W4" i="8"/>
  <c r="V4" i="8"/>
  <c r="U4" i="8"/>
  <c r="T4" i="8"/>
  <c r="S4" i="8"/>
  <c r="R4" i="8"/>
  <c r="Q4" i="8"/>
  <c r="P4" i="8"/>
  <c r="O4" i="8"/>
  <c r="N4" i="8"/>
  <c r="M4" i="8"/>
  <c r="L4" i="8"/>
  <c r="K4" i="8"/>
  <c r="J4" i="8"/>
  <c r="I4" i="8"/>
  <c r="H4" i="8"/>
  <c r="G4" i="8"/>
  <c r="F4" i="8"/>
  <c r="E4" i="8"/>
  <c r="D4" i="8"/>
  <c r="C4" i="8"/>
  <c r="B4" i="8"/>
  <c r="Y3" i="8"/>
  <c r="X3" i="8"/>
  <c r="W3" i="8"/>
  <c r="V3" i="8"/>
  <c r="U3" i="8"/>
  <c r="T3" i="8"/>
  <c r="S3" i="8"/>
  <c r="R3" i="8"/>
  <c r="Q3" i="8"/>
  <c r="P3" i="8"/>
  <c r="O3" i="8"/>
  <c r="N3" i="8"/>
  <c r="M3" i="8"/>
  <c r="L3" i="8"/>
  <c r="K3" i="8"/>
  <c r="J3" i="8"/>
  <c r="I3" i="8"/>
  <c r="H3" i="8"/>
  <c r="G3" i="8"/>
  <c r="F3" i="8"/>
  <c r="E3" i="8"/>
  <c r="D3" i="8"/>
  <c r="C3" i="8"/>
  <c r="B3" i="8"/>
  <c r="Y2" i="8"/>
  <c r="X2" i="8"/>
  <c r="W2" i="8"/>
  <c r="V2" i="8"/>
  <c r="U2" i="8"/>
  <c r="T2" i="8"/>
  <c r="S2" i="8"/>
  <c r="R2" i="8"/>
  <c r="Q2" i="8"/>
  <c r="P2" i="8"/>
  <c r="O2" i="8"/>
  <c r="N2" i="8"/>
  <c r="M2" i="8"/>
  <c r="L2" i="8"/>
  <c r="K2" i="8"/>
  <c r="J2" i="8"/>
  <c r="I2" i="8"/>
  <c r="H2" i="8"/>
  <c r="G2" i="8"/>
  <c r="F2" i="8"/>
  <c r="E2" i="8"/>
  <c r="D2" i="8"/>
  <c r="C2" i="8"/>
  <c r="B2" i="8"/>
  <c r="Y14" i="7"/>
  <c r="X14" i="7"/>
  <c r="W14" i="7"/>
  <c r="V14" i="7"/>
  <c r="U14" i="7"/>
  <c r="T14" i="7"/>
  <c r="S14" i="7"/>
  <c r="R14" i="7"/>
  <c r="Q14" i="7"/>
  <c r="P14" i="7"/>
  <c r="O14" i="7"/>
  <c r="N14" i="7"/>
  <c r="M14" i="7"/>
  <c r="L14" i="7"/>
  <c r="K14" i="7"/>
  <c r="J14" i="7"/>
  <c r="I14" i="7"/>
  <c r="H14" i="7"/>
  <c r="G14" i="7"/>
  <c r="F14" i="7"/>
  <c r="E14" i="7"/>
  <c r="D14" i="7"/>
  <c r="C14" i="7"/>
  <c r="B14" i="7"/>
  <c r="Y13" i="7"/>
  <c r="X13" i="7"/>
  <c r="W13" i="7"/>
  <c r="V13" i="7"/>
  <c r="U13" i="7"/>
  <c r="T13" i="7"/>
  <c r="S13" i="7"/>
  <c r="R13" i="7"/>
  <c r="Q13" i="7"/>
  <c r="P13" i="7"/>
  <c r="O13" i="7"/>
  <c r="N13" i="7"/>
  <c r="M13" i="7"/>
  <c r="L13" i="7"/>
  <c r="K13" i="7"/>
  <c r="J13" i="7"/>
  <c r="I13" i="7"/>
  <c r="H13" i="7"/>
  <c r="G13" i="7"/>
  <c r="F13" i="7"/>
  <c r="E13" i="7"/>
  <c r="D13" i="7"/>
  <c r="C13" i="7"/>
  <c r="B13" i="7"/>
  <c r="Y12" i="7"/>
  <c r="X12" i="7"/>
  <c r="W12" i="7"/>
  <c r="V12" i="7"/>
  <c r="U12" i="7"/>
  <c r="T12" i="7"/>
  <c r="S12" i="7"/>
  <c r="R12" i="7"/>
  <c r="Q12" i="7"/>
  <c r="P12" i="7"/>
  <c r="O12" i="7"/>
  <c r="N12" i="7"/>
  <c r="M12" i="7"/>
  <c r="L12" i="7"/>
  <c r="K12" i="7"/>
  <c r="J12" i="7"/>
  <c r="I12" i="7"/>
  <c r="H12" i="7"/>
  <c r="G12" i="7"/>
  <c r="F12" i="7"/>
  <c r="E12" i="7"/>
  <c r="D12" i="7"/>
  <c r="C12" i="7"/>
  <c r="B12" i="7"/>
  <c r="Y11" i="7"/>
  <c r="X11" i="7"/>
  <c r="W11" i="7"/>
  <c r="V11" i="7"/>
  <c r="U11" i="7"/>
  <c r="T11" i="7"/>
  <c r="S11" i="7"/>
  <c r="R11" i="7"/>
  <c r="Q11" i="7"/>
  <c r="P11" i="7"/>
  <c r="O11" i="7"/>
  <c r="N11" i="7"/>
  <c r="M11" i="7"/>
  <c r="L11" i="7"/>
  <c r="K11" i="7"/>
  <c r="J11" i="7"/>
  <c r="I11" i="7"/>
  <c r="H11" i="7"/>
  <c r="G11" i="7"/>
  <c r="F11" i="7"/>
  <c r="E11" i="7"/>
  <c r="D11" i="7"/>
  <c r="C11" i="7"/>
  <c r="B11" i="7"/>
  <c r="Y10" i="7"/>
  <c r="X10" i="7"/>
  <c r="W10" i="7"/>
  <c r="V10" i="7"/>
  <c r="U10" i="7"/>
  <c r="T10" i="7"/>
  <c r="S10" i="7"/>
  <c r="R10" i="7"/>
  <c r="Q10" i="7"/>
  <c r="P10" i="7"/>
  <c r="O10" i="7"/>
  <c r="N10" i="7"/>
  <c r="M10" i="7"/>
  <c r="L10" i="7"/>
  <c r="K10" i="7"/>
  <c r="J10" i="7"/>
  <c r="I10" i="7"/>
  <c r="H10" i="7"/>
  <c r="G10" i="7"/>
  <c r="F10" i="7"/>
  <c r="E10" i="7"/>
  <c r="D10" i="7"/>
  <c r="C10" i="7"/>
  <c r="B10" i="7"/>
  <c r="Y9" i="7"/>
  <c r="X9" i="7"/>
  <c r="W9" i="7"/>
  <c r="V9" i="7"/>
  <c r="U9" i="7"/>
  <c r="T9" i="7"/>
  <c r="S9" i="7"/>
  <c r="R9" i="7"/>
  <c r="Q9" i="7"/>
  <c r="P9" i="7"/>
  <c r="O9" i="7"/>
  <c r="N9" i="7"/>
  <c r="M9" i="7"/>
  <c r="L9" i="7"/>
  <c r="K9" i="7"/>
  <c r="J9" i="7"/>
  <c r="I9" i="7"/>
  <c r="H9" i="7"/>
  <c r="G9" i="7"/>
  <c r="F9" i="7"/>
  <c r="E9" i="7"/>
  <c r="D9" i="7"/>
  <c r="C9" i="7"/>
  <c r="B9" i="7"/>
  <c r="Y8" i="7"/>
  <c r="X8" i="7"/>
  <c r="W8" i="7"/>
  <c r="V8" i="7"/>
  <c r="U8" i="7"/>
  <c r="T8" i="7"/>
  <c r="S8" i="7"/>
  <c r="R8" i="7"/>
  <c r="Q8" i="7"/>
  <c r="P8" i="7"/>
  <c r="O8" i="7"/>
  <c r="N8" i="7"/>
  <c r="M8" i="7"/>
  <c r="L8" i="7"/>
  <c r="K8" i="7"/>
  <c r="J8" i="7"/>
  <c r="I8" i="7"/>
  <c r="H8" i="7"/>
  <c r="G8" i="7"/>
  <c r="F8" i="7"/>
  <c r="E8" i="7"/>
  <c r="D8" i="7"/>
  <c r="C8" i="7"/>
  <c r="B8" i="7"/>
  <c r="Y7" i="7"/>
  <c r="X7" i="7"/>
  <c r="W7" i="7"/>
  <c r="V7" i="7"/>
  <c r="U7" i="7"/>
  <c r="T7" i="7"/>
  <c r="S7" i="7"/>
  <c r="R7" i="7"/>
  <c r="Q7" i="7"/>
  <c r="P7" i="7"/>
  <c r="O7" i="7"/>
  <c r="N7" i="7"/>
  <c r="M7" i="7"/>
  <c r="L7" i="7"/>
  <c r="K7" i="7"/>
  <c r="J7" i="7"/>
  <c r="I7" i="7"/>
  <c r="H7" i="7"/>
  <c r="G7" i="7"/>
  <c r="F7" i="7"/>
  <c r="E7" i="7"/>
  <c r="D7" i="7"/>
  <c r="C7" i="7"/>
  <c r="B7" i="7"/>
  <c r="Y6" i="7"/>
  <c r="X6" i="7"/>
  <c r="W6" i="7"/>
  <c r="V6" i="7"/>
  <c r="U6" i="7"/>
  <c r="T6" i="7"/>
  <c r="S6" i="7"/>
  <c r="R6" i="7"/>
  <c r="Q6" i="7"/>
  <c r="P6" i="7"/>
  <c r="O6" i="7"/>
  <c r="N6" i="7"/>
  <c r="M6" i="7"/>
  <c r="L6" i="7"/>
  <c r="K6" i="7"/>
  <c r="J6" i="7"/>
  <c r="I6" i="7"/>
  <c r="H6" i="7"/>
  <c r="G6" i="7"/>
  <c r="F6" i="7"/>
  <c r="E6" i="7"/>
  <c r="D6" i="7"/>
  <c r="C6" i="7"/>
  <c r="B6" i="7"/>
  <c r="Y5" i="7"/>
  <c r="X5" i="7"/>
  <c r="W5" i="7"/>
  <c r="V5" i="7"/>
  <c r="U5" i="7"/>
  <c r="T5" i="7"/>
  <c r="S5" i="7"/>
  <c r="R5" i="7"/>
  <c r="Q5" i="7"/>
  <c r="P5" i="7"/>
  <c r="O5" i="7"/>
  <c r="N5" i="7"/>
  <c r="M5" i="7"/>
  <c r="L5" i="7"/>
  <c r="K5" i="7"/>
  <c r="J5" i="7"/>
  <c r="I5" i="7"/>
  <c r="H5" i="7"/>
  <c r="G5" i="7"/>
  <c r="F5" i="7"/>
  <c r="E5" i="7"/>
  <c r="D5" i="7"/>
  <c r="C5" i="7"/>
  <c r="B5" i="7"/>
  <c r="Y4" i="7"/>
  <c r="X4" i="7"/>
  <c r="W4" i="7"/>
  <c r="V4" i="7"/>
  <c r="U4" i="7"/>
  <c r="T4" i="7"/>
  <c r="S4" i="7"/>
  <c r="R4" i="7"/>
  <c r="Q4" i="7"/>
  <c r="P4" i="7"/>
  <c r="O4" i="7"/>
  <c r="N4" i="7"/>
  <c r="M4" i="7"/>
  <c r="L4" i="7"/>
  <c r="K4" i="7"/>
  <c r="J4" i="7"/>
  <c r="I4" i="7"/>
  <c r="H4" i="7"/>
  <c r="G4" i="7"/>
  <c r="F4" i="7"/>
  <c r="E4" i="7"/>
  <c r="D4" i="7"/>
  <c r="C4" i="7"/>
  <c r="B4" i="7"/>
  <c r="Y3" i="7"/>
  <c r="X3" i="7"/>
  <c r="W3" i="7"/>
  <c r="V3" i="7"/>
  <c r="U3" i="7"/>
  <c r="T3" i="7"/>
  <c r="S3" i="7"/>
  <c r="R3" i="7"/>
  <c r="Q3" i="7"/>
  <c r="P3" i="7"/>
  <c r="O3" i="7"/>
  <c r="N3" i="7"/>
  <c r="M3" i="7"/>
  <c r="L3" i="7"/>
  <c r="K3" i="7"/>
  <c r="J3" i="7"/>
  <c r="I3" i="7"/>
  <c r="H3" i="7"/>
  <c r="G3" i="7"/>
  <c r="F3" i="7"/>
  <c r="E3" i="7"/>
  <c r="D3" i="7"/>
  <c r="C3" i="7"/>
  <c r="B3" i="7"/>
  <c r="Y2" i="7"/>
  <c r="X2" i="7"/>
  <c r="W2" i="7"/>
  <c r="V2" i="7"/>
  <c r="U2" i="7"/>
  <c r="T2" i="7"/>
  <c r="S2" i="7"/>
  <c r="R2" i="7"/>
  <c r="Q2" i="7"/>
  <c r="P2" i="7"/>
  <c r="O2" i="7"/>
  <c r="N2" i="7"/>
  <c r="M2" i="7"/>
  <c r="L2" i="7"/>
  <c r="K2" i="7"/>
  <c r="J2" i="7"/>
  <c r="I2" i="7"/>
  <c r="H2" i="7"/>
  <c r="G2" i="7"/>
  <c r="F2" i="7"/>
  <c r="E2" i="7"/>
  <c r="D2" i="7"/>
  <c r="C2" i="7"/>
  <c r="B2" i="7"/>
  <c r="Y14" i="6"/>
  <c r="X14" i="6"/>
  <c r="W14" i="6"/>
  <c r="V14" i="6"/>
  <c r="U14" i="6"/>
  <c r="T14" i="6"/>
  <c r="S14" i="6"/>
  <c r="R14" i="6"/>
  <c r="Q14" i="6"/>
  <c r="P14" i="6"/>
  <c r="O14" i="6"/>
  <c r="N14" i="6"/>
  <c r="M14" i="6"/>
  <c r="L14" i="6"/>
  <c r="K14" i="6"/>
  <c r="J14" i="6"/>
  <c r="I14" i="6"/>
  <c r="H14" i="6"/>
  <c r="G14" i="6"/>
  <c r="F14" i="6"/>
  <c r="E14" i="6"/>
  <c r="D14" i="6"/>
  <c r="C14" i="6"/>
  <c r="B14" i="6"/>
  <c r="Y13" i="6"/>
  <c r="X13" i="6"/>
  <c r="W13" i="6"/>
  <c r="V13" i="6"/>
  <c r="U13" i="6"/>
  <c r="T13" i="6"/>
  <c r="S13" i="6"/>
  <c r="R13" i="6"/>
  <c r="Q13" i="6"/>
  <c r="P13" i="6"/>
  <c r="O13" i="6"/>
  <c r="N13" i="6"/>
  <c r="M13" i="6"/>
  <c r="L13" i="6"/>
  <c r="K13" i="6"/>
  <c r="J13" i="6"/>
  <c r="I13" i="6"/>
  <c r="H13" i="6"/>
  <c r="G13" i="6"/>
  <c r="F13" i="6"/>
  <c r="E13" i="6"/>
  <c r="D13" i="6"/>
  <c r="C13" i="6"/>
  <c r="B13" i="6"/>
  <c r="Y12" i="6"/>
  <c r="X12" i="6"/>
  <c r="W12" i="6"/>
  <c r="V12" i="6"/>
  <c r="U12" i="6"/>
  <c r="T12" i="6"/>
  <c r="S12" i="6"/>
  <c r="R12" i="6"/>
  <c r="Q12" i="6"/>
  <c r="P12" i="6"/>
  <c r="O12" i="6"/>
  <c r="N12" i="6"/>
  <c r="M12" i="6"/>
  <c r="L12" i="6"/>
  <c r="K12" i="6"/>
  <c r="J12" i="6"/>
  <c r="I12" i="6"/>
  <c r="H12" i="6"/>
  <c r="G12" i="6"/>
  <c r="F12" i="6"/>
  <c r="E12" i="6"/>
  <c r="D12" i="6"/>
  <c r="C12" i="6"/>
  <c r="B12" i="6"/>
  <c r="Y11" i="6"/>
  <c r="X11" i="6"/>
  <c r="W11" i="6"/>
  <c r="V11" i="6"/>
  <c r="U11" i="6"/>
  <c r="T11" i="6"/>
  <c r="S11" i="6"/>
  <c r="R11" i="6"/>
  <c r="Q11" i="6"/>
  <c r="P11" i="6"/>
  <c r="O11" i="6"/>
  <c r="N11" i="6"/>
  <c r="M11" i="6"/>
  <c r="L11" i="6"/>
  <c r="K11" i="6"/>
  <c r="J11" i="6"/>
  <c r="I11" i="6"/>
  <c r="H11" i="6"/>
  <c r="G11" i="6"/>
  <c r="F11" i="6"/>
  <c r="E11" i="6"/>
  <c r="D11" i="6"/>
  <c r="C11" i="6"/>
  <c r="B11" i="6"/>
  <c r="Y10" i="6"/>
  <c r="X10" i="6"/>
  <c r="W10" i="6"/>
  <c r="V10" i="6"/>
  <c r="U10" i="6"/>
  <c r="T10" i="6"/>
  <c r="S10" i="6"/>
  <c r="R10" i="6"/>
  <c r="Q10" i="6"/>
  <c r="P10" i="6"/>
  <c r="O10" i="6"/>
  <c r="N10" i="6"/>
  <c r="M10" i="6"/>
  <c r="L10" i="6"/>
  <c r="K10" i="6"/>
  <c r="J10" i="6"/>
  <c r="I10" i="6"/>
  <c r="H10" i="6"/>
  <c r="G10" i="6"/>
  <c r="F10" i="6"/>
  <c r="E10" i="6"/>
  <c r="D10" i="6"/>
  <c r="C10" i="6"/>
  <c r="B10" i="6"/>
  <c r="Y9" i="6"/>
  <c r="X9" i="6"/>
  <c r="W9" i="6"/>
  <c r="V9" i="6"/>
  <c r="U9" i="6"/>
  <c r="T9" i="6"/>
  <c r="S9" i="6"/>
  <c r="R9" i="6"/>
  <c r="Q9" i="6"/>
  <c r="P9" i="6"/>
  <c r="O9" i="6"/>
  <c r="N9" i="6"/>
  <c r="M9" i="6"/>
  <c r="L9" i="6"/>
  <c r="K9" i="6"/>
  <c r="J9" i="6"/>
  <c r="I9" i="6"/>
  <c r="H9" i="6"/>
  <c r="G9" i="6"/>
  <c r="F9" i="6"/>
  <c r="E9" i="6"/>
  <c r="D9" i="6"/>
  <c r="C9" i="6"/>
  <c r="B9" i="6"/>
  <c r="Y8" i="6"/>
  <c r="X8" i="6"/>
  <c r="W8" i="6"/>
  <c r="V8" i="6"/>
  <c r="U8" i="6"/>
  <c r="T8" i="6"/>
  <c r="S8" i="6"/>
  <c r="R8" i="6"/>
  <c r="Q8" i="6"/>
  <c r="P8" i="6"/>
  <c r="O8" i="6"/>
  <c r="N8" i="6"/>
  <c r="M8" i="6"/>
  <c r="L8" i="6"/>
  <c r="K8" i="6"/>
  <c r="J8" i="6"/>
  <c r="I8" i="6"/>
  <c r="H8" i="6"/>
  <c r="G8" i="6"/>
  <c r="F8" i="6"/>
  <c r="E8" i="6"/>
  <c r="D8" i="6"/>
  <c r="C8" i="6"/>
  <c r="B8" i="6"/>
  <c r="Y7" i="6"/>
  <c r="X7" i="6"/>
  <c r="W7" i="6"/>
  <c r="V7" i="6"/>
  <c r="U7" i="6"/>
  <c r="T7" i="6"/>
  <c r="S7" i="6"/>
  <c r="R7" i="6"/>
  <c r="Q7" i="6"/>
  <c r="P7" i="6"/>
  <c r="O7" i="6"/>
  <c r="N7" i="6"/>
  <c r="M7" i="6"/>
  <c r="L7" i="6"/>
  <c r="K7" i="6"/>
  <c r="J7" i="6"/>
  <c r="I7" i="6"/>
  <c r="H7" i="6"/>
  <c r="G7" i="6"/>
  <c r="F7" i="6"/>
  <c r="E7" i="6"/>
  <c r="D7" i="6"/>
  <c r="C7" i="6"/>
  <c r="B7" i="6"/>
  <c r="Y6" i="6"/>
  <c r="X6" i="6"/>
  <c r="W6" i="6"/>
  <c r="V6" i="6"/>
  <c r="U6" i="6"/>
  <c r="T6" i="6"/>
  <c r="S6" i="6"/>
  <c r="R6" i="6"/>
  <c r="Q6" i="6"/>
  <c r="P6" i="6"/>
  <c r="O6" i="6"/>
  <c r="N6" i="6"/>
  <c r="M6" i="6"/>
  <c r="L6" i="6"/>
  <c r="K6" i="6"/>
  <c r="J6" i="6"/>
  <c r="I6" i="6"/>
  <c r="H6" i="6"/>
  <c r="G6" i="6"/>
  <c r="F6" i="6"/>
  <c r="E6" i="6"/>
  <c r="D6" i="6"/>
  <c r="C6" i="6"/>
  <c r="B6" i="6"/>
  <c r="Y5" i="6"/>
  <c r="X5" i="6"/>
  <c r="W5" i="6"/>
  <c r="V5" i="6"/>
  <c r="U5" i="6"/>
  <c r="T5" i="6"/>
  <c r="S5" i="6"/>
  <c r="R5" i="6"/>
  <c r="Q5" i="6"/>
  <c r="P5" i="6"/>
  <c r="O5" i="6"/>
  <c r="N5" i="6"/>
  <c r="M5" i="6"/>
  <c r="L5" i="6"/>
  <c r="K5" i="6"/>
  <c r="J5" i="6"/>
  <c r="I5" i="6"/>
  <c r="H5" i="6"/>
  <c r="G5" i="6"/>
  <c r="F5" i="6"/>
  <c r="E5" i="6"/>
  <c r="D5" i="6"/>
  <c r="C5" i="6"/>
  <c r="B5" i="6"/>
  <c r="Y4" i="6"/>
  <c r="X4" i="6"/>
  <c r="W4" i="6"/>
  <c r="V4" i="6"/>
  <c r="U4" i="6"/>
  <c r="T4" i="6"/>
  <c r="S4" i="6"/>
  <c r="R4" i="6"/>
  <c r="Q4" i="6"/>
  <c r="P4" i="6"/>
  <c r="O4" i="6"/>
  <c r="N4" i="6"/>
  <c r="M4" i="6"/>
  <c r="L4" i="6"/>
  <c r="K4" i="6"/>
  <c r="J4" i="6"/>
  <c r="I4" i="6"/>
  <c r="H4" i="6"/>
  <c r="G4" i="6"/>
  <c r="F4" i="6"/>
  <c r="E4" i="6"/>
  <c r="D4" i="6"/>
  <c r="C4" i="6"/>
  <c r="B4" i="6"/>
  <c r="Y3" i="6"/>
  <c r="X3" i="6"/>
  <c r="W3" i="6"/>
  <c r="V3" i="6"/>
  <c r="U3" i="6"/>
  <c r="T3" i="6"/>
  <c r="S3" i="6"/>
  <c r="R3" i="6"/>
  <c r="Q3" i="6"/>
  <c r="P3" i="6"/>
  <c r="O3" i="6"/>
  <c r="N3" i="6"/>
  <c r="M3" i="6"/>
  <c r="L3" i="6"/>
  <c r="K3" i="6"/>
  <c r="J3" i="6"/>
  <c r="I3" i="6"/>
  <c r="H3" i="6"/>
  <c r="G3" i="6"/>
  <c r="F3" i="6"/>
  <c r="E3" i="6"/>
  <c r="D3" i="6"/>
  <c r="C3" i="6"/>
  <c r="B3" i="6"/>
  <c r="Y2" i="6"/>
  <c r="X2" i="6"/>
  <c r="W2" i="6"/>
  <c r="V2" i="6"/>
  <c r="U2" i="6"/>
  <c r="T2" i="6"/>
  <c r="S2" i="6"/>
  <c r="R2" i="6"/>
  <c r="Q2" i="6"/>
  <c r="P2" i="6"/>
  <c r="O2" i="6"/>
  <c r="N2" i="6"/>
  <c r="M2" i="6"/>
  <c r="L2" i="6"/>
  <c r="K2" i="6"/>
  <c r="J2" i="6"/>
  <c r="I2" i="6"/>
  <c r="H2" i="6"/>
  <c r="G2" i="6"/>
  <c r="F2" i="6"/>
  <c r="E2" i="6"/>
  <c r="D2" i="6"/>
  <c r="C2" i="6"/>
  <c r="B2" i="6"/>
  <c r="Y14" i="5"/>
  <c r="X14" i="5"/>
  <c r="W14" i="5"/>
  <c r="V14" i="5"/>
  <c r="U14" i="5"/>
  <c r="T14" i="5"/>
  <c r="S14" i="5"/>
  <c r="R14" i="5"/>
  <c r="Q14" i="5"/>
  <c r="P14" i="5"/>
  <c r="O14" i="5"/>
  <c r="N14" i="5"/>
  <c r="M14" i="5"/>
  <c r="L14" i="5"/>
  <c r="K14" i="5"/>
  <c r="J14" i="5"/>
  <c r="I14" i="5"/>
  <c r="H14" i="5"/>
  <c r="G14" i="5"/>
  <c r="F14" i="5"/>
  <c r="E14" i="5"/>
  <c r="D14" i="5"/>
  <c r="C14" i="5"/>
  <c r="B14" i="5"/>
  <c r="Y13" i="5"/>
  <c r="X13" i="5"/>
  <c r="W13" i="5"/>
  <c r="V13" i="5"/>
  <c r="U13" i="5"/>
  <c r="T13" i="5"/>
  <c r="S13" i="5"/>
  <c r="R13" i="5"/>
  <c r="Q13" i="5"/>
  <c r="P13" i="5"/>
  <c r="O13" i="5"/>
  <c r="N13" i="5"/>
  <c r="M13" i="5"/>
  <c r="L13" i="5"/>
  <c r="K13" i="5"/>
  <c r="J13" i="5"/>
  <c r="I13" i="5"/>
  <c r="H13" i="5"/>
  <c r="G13" i="5"/>
  <c r="F13" i="5"/>
  <c r="E13" i="5"/>
  <c r="D13" i="5"/>
  <c r="C13" i="5"/>
  <c r="B13" i="5"/>
  <c r="Y12" i="5"/>
  <c r="X12" i="5"/>
  <c r="W12" i="5"/>
  <c r="V12" i="5"/>
  <c r="U12" i="5"/>
  <c r="T12" i="5"/>
  <c r="S12" i="5"/>
  <c r="R12" i="5"/>
  <c r="Q12" i="5"/>
  <c r="P12" i="5"/>
  <c r="O12" i="5"/>
  <c r="N12" i="5"/>
  <c r="M12" i="5"/>
  <c r="L12" i="5"/>
  <c r="K12" i="5"/>
  <c r="J12" i="5"/>
  <c r="I12" i="5"/>
  <c r="H12" i="5"/>
  <c r="G12" i="5"/>
  <c r="F12" i="5"/>
  <c r="E12" i="5"/>
  <c r="D12" i="5"/>
  <c r="C12" i="5"/>
  <c r="B12" i="5"/>
  <c r="Y11" i="5"/>
  <c r="X11" i="5"/>
  <c r="W11" i="5"/>
  <c r="V11" i="5"/>
  <c r="U11" i="5"/>
  <c r="T11" i="5"/>
  <c r="S11" i="5"/>
  <c r="R11" i="5"/>
  <c r="Q11" i="5"/>
  <c r="P11" i="5"/>
  <c r="O11" i="5"/>
  <c r="N11" i="5"/>
  <c r="M11" i="5"/>
  <c r="L11" i="5"/>
  <c r="K11" i="5"/>
  <c r="J11" i="5"/>
  <c r="I11" i="5"/>
  <c r="H11" i="5"/>
  <c r="G11" i="5"/>
  <c r="F11" i="5"/>
  <c r="E11" i="5"/>
  <c r="D11" i="5"/>
  <c r="C11" i="5"/>
  <c r="B11" i="5"/>
  <c r="Y10" i="5"/>
  <c r="X10" i="5"/>
  <c r="W10" i="5"/>
  <c r="V10" i="5"/>
  <c r="U10" i="5"/>
  <c r="T10" i="5"/>
  <c r="S10" i="5"/>
  <c r="R10" i="5"/>
  <c r="Q10" i="5"/>
  <c r="P10" i="5"/>
  <c r="O10" i="5"/>
  <c r="N10" i="5"/>
  <c r="M10" i="5"/>
  <c r="L10" i="5"/>
  <c r="K10" i="5"/>
  <c r="J10" i="5"/>
  <c r="I10" i="5"/>
  <c r="H10" i="5"/>
  <c r="G10" i="5"/>
  <c r="F10" i="5"/>
  <c r="E10" i="5"/>
  <c r="D10" i="5"/>
  <c r="C10" i="5"/>
  <c r="B10" i="5"/>
  <c r="Y9" i="5"/>
  <c r="X9" i="5"/>
  <c r="W9" i="5"/>
  <c r="V9" i="5"/>
  <c r="U9" i="5"/>
  <c r="T9" i="5"/>
  <c r="S9" i="5"/>
  <c r="R9" i="5"/>
  <c r="Q9" i="5"/>
  <c r="P9" i="5"/>
  <c r="O9" i="5"/>
  <c r="N9" i="5"/>
  <c r="M9" i="5"/>
  <c r="L9" i="5"/>
  <c r="K9" i="5"/>
  <c r="J9" i="5"/>
  <c r="I9" i="5"/>
  <c r="H9" i="5"/>
  <c r="G9" i="5"/>
  <c r="F9" i="5"/>
  <c r="E9" i="5"/>
  <c r="D9" i="5"/>
  <c r="C9" i="5"/>
  <c r="B9" i="5"/>
  <c r="Y8" i="5"/>
  <c r="X8" i="5"/>
  <c r="W8" i="5"/>
  <c r="V8" i="5"/>
  <c r="U8" i="5"/>
  <c r="T8" i="5"/>
  <c r="S8" i="5"/>
  <c r="R8" i="5"/>
  <c r="Q8" i="5"/>
  <c r="P8" i="5"/>
  <c r="O8" i="5"/>
  <c r="N8" i="5"/>
  <c r="M8" i="5"/>
  <c r="L8" i="5"/>
  <c r="K8" i="5"/>
  <c r="J8" i="5"/>
  <c r="I8" i="5"/>
  <c r="H8" i="5"/>
  <c r="G8" i="5"/>
  <c r="F8" i="5"/>
  <c r="E8" i="5"/>
  <c r="D8" i="5"/>
  <c r="C8" i="5"/>
  <c r="B8" i="5"/>
  <c r="Y7" i="5"/>
  <c r="X7" i="5"/>
  <c r="W7" i="5"/>
  <c r="V7" i="5"/>
  <c r="U7" i="5"/>
  <c r="T7" i="5"/>
  <c r="S7" i="5"/>
  <c r="R7" i="5"/>
  <c r="Q7" i="5"/>
  <c r="P7" i="5"/>
  <c r="O7" i="5"/>
  <c r="N7" i="5"/>
  <c r="M7" i="5"/>
  <c r="L7" i="5"/>
  <c r="K7" i="5"/>
  <c r="J7" i="5"/>
  <c r="I7" i="5"/>
  <c r="H7" i="5"/>
  <c r="G7" i="5"/>
  <c r="F7" i="5"/>
  <c r="E7" i="5"/>
  <c r="D7" i="5"/>
  <c r="C7" i="5"/>
  <c r="B7" i="5"/>
  <c r="Y6" i="5"/>
  <c r="X6" i="5"/>
  <c r="W6" i="5"/>
  <c r="V6" i="5"/>
  <c r="U6" i="5"/>
  <c r="T6" i="5"/>
  <c r="S6" i="5"/>
  <c r="R6" i="5"/>
  <c r="Q6" i="5"/>
  <c r="P6" i="5"/>
  <c r="O6" i="5"/>
  <c r="N6" i="5"/>
  <c r="M6" i="5"/>
  <c r="L6" i="5"/>
  <c r="K6" i="5"/>
  <c r="J6" i="5"/>
  <c r="I6" i="5"/>
  <c r="H6" i="5"/>
  <c r="G6" i="5"/>
  <c r="F6" i="5"/>
  <c r="E6" i="5"/>
  <c r="D6" i="5"/>
  <c r="C6" i="5"/>
  <c r="B6" i="5"/>
  <c r="Y5" i="5"/>
  <c r="X5" i="5"/>
  <c r="W5" i="5"/>
  <c r="V5" i="5"/>
  <c r="U5" i="5"/>
  <c r="T5" i="5"/>
  <c r="S5" i="5"/>
  <c r="R5" i="5"/>
  <c r="Q5" i="5"/>
  <c r="P5" i="5"/>
  <c r="O5" i="5"/>
  <c r="N5" i="5"/>
  <c r="M5" i="5"/>
  <c r="L5" i="5"/>
  <c r="K5" i="5"/>
  <c r="J5" i="5"/>
  <c r="I5" i="5"/>
  <c r="H5" i="5"/>
  <c r="G5" i="5"/>
  <c r="F5" i="5"/>
  <c r="E5" i="5"/>
  <c r="D5" i="5"/>
  <c r="C5" i="5"/>
  <c r="B5" i="5"/>
  <c r="Y4" i="5"/>
  <c r="X4" i="5"/>
  <c r="W4" i="5"/>
  <c r="V4" i="5"/>
  <c r="U4" i="5"/>
  <c r="T4" i="5"/>
  <c r="S4" i="5"/>
  <c r="R4" i="5"/>
  <c r="Q4" i="5"/>
  <c r="P4" i="5"/>
  <c r="O4" i="5"/>
  <c r="N4" i="5"/>
  <c r="M4" i="5"/>
  <c r="L4" i="5"/>
  <c r="K4" i="5"/>
  <c r="J4" i="5"/>
  <c r="I4" i="5"/>
  <c r="H4" i="5"/>
  <c r="G4" i="5"/>
  <c r="F4" i="5"/>
  <c r="E4" i="5"/>
  <c r="D4" i="5"/>
  <c r="C4" i="5"/>
  <c r="B4" i="5"/>
  <c r="Y3" i="5"/>
  <c r="X3" i="5"/>
  <c r="W3" i="5"/>
  <c r="V3" i="5"/>
  <c r="U3" i="5"/>
  <c r="T3" i="5"/>
  <c r="S3" i="5"/>
  <c r="R3" i="5"/>
  <c r="Q3" i="5"/>
  <c r="P3" i="5"/>
  <c r="O3" i="5"/>
  <c r="N3" i="5"/>
  <c r="M3" i="5"/>
  <c r="L3" i="5"/>
  <c r="K3" i="5"/>
  <c r="J3" i="5"/>
  <c r="I3" i="5"/>
  <c r="H3" i="5"/>
  <c r="G3" i="5"/>
  <c r="F3" i="5"/>
  <c r="E3" i="5"/>
  <c r="D3" i="5"/>
  <c r="C3" i="5"/>
  <c r="B3" i="5"/>
  <c r="Y2" i="5"/>
  <c r="X2" i="5"/>
  <c r="W2" i="5"/>
  <c r="V2" i="5"/>
  <c r="U2" i="5"/>
  <c r="T2" i="5"/>
  <c r="S2" i="5"/>
  <c r="R2" i="5"/>
  <c r="Q2" i="5"/>
  <c r="P2" i="5"/>
  <c r="O2" i="5"/>
  <c r="N2" i="5"/>
  <c r="M2" i="5"/>
  <c r="L2" i="5"/>
  <c r="K2" i="5"/>
  <c r="J2" i="5"/>
  <c r="I2" i="5"/>
  <c r="H2" i="5"/>
  <c r="G2" i="5"/>
  <c r="F2" i="5"/>
  <c r="E2" i="5"/>
  <c r="D2" i="5"/>
  <c r="C2" i="5"/>
  <c r="B2" i="5"/>
  <c r="Y14" i="4"/>
  <c r="X14" i="4"/>
  <c r="W14" i="4"/>
  <c r="V14" i="4"/>
  <c r="U14" i="4"/>
  <c r="T14" i="4"/>
  <c r="S14" i="4"/>
  <c r="R14" i="4"/>
  <c r="Q14" i="4"/>
  <c r="P14" i="4"/>
  <c r="O14" i="4"/>
  <c r="N14" i="4"/>
  <c r="M14" i="4"/>
  <c r="L14" i="4"/>
  <c r="K14" i="4"/>
  <c r="J14" i="4"/>
  <c r="I14" i="4"/>
  <c r="H14" i="4"/>
  <c r="G14" i="4"/>
  <c r="F14" i="4"/>
  <c r="E14" i="4"/>
  <c r="D14" i="4"/>
  <c r="C14" i="4"/>
  <c r="B14" i="4"/>
  <c r="Y13" i="4"/>
  <c r="X13" i="4"/>
  <c r="W13" i="4"/>
  <c r="V13" i="4"/>
  <c r="U13" i="4"/>
  <c r="T13" i="4"/>
  <c r="S13" i="4"/>
  <c r="R13" i="4"/>
  <c r="Q13" i="4"/>
  <c r="P13" i="4"/>
  <c r="O13" i="4"/>
  <c r="N13" i="4"/>
  <c r="M13" i="4"/>
  <c r="L13" i="4"/>
  <c r="K13" i="4"/>
  <c r="J13" i="4"/>
  <c r="I13" i="4"/>
  <c r="H13" i="4"/>
  <c r="G13" i="4"/>
  <c r="F13" i="4"/>
  <c r="E13" i="4"/>
  <c r="D13" i="4"/>
  <c r="C13" i="4"/>
  <c r="B13" i="4"/>
  <c r="Y12" i="4"/>
  <c r="X12" i="4"/>
  <c r="W12" i="4"/>
  <c r="V12" i="4"/>
  <c r="U12" i="4"/>
  <c r="T12" i="4"/>
  <c r="S12" i="4"/>
  <c r="R12" i="4"/>
  <c r="Q12" i="4"/>
  <c r="P12" i="4"/>
  <c r="O12" i="4"/>
  <c r="N12" i="4"/>
  <c r="M12" i="4"/>
  <c r="L12" i="4"/>
  <c r="K12" i="4"/>
  <c r="J12" i="4"/>
  <c r="I12" i="4"/>
  <c r="H12" i="4"/>
  <c r="G12" i="4"/>
  <c r="F12" i="4"/>
  <c r="E12" i="4"/>
  <c r="D12" i="4"/>
  <c r="C12" i="4"/>
  <c r="B12" i="4"/>
  <c r="Y11" i="4"/>
  <c r="X11" i="4"/>
  <c r="W11" i="4"/>
  <c r="V11" i="4"/>
  <c r="U11" i="4"/>
  <c r="T11" i="4"/>
  <c r="S11" i="4"/>
  <c r="R11" i="4"/>
  <c r="Q11" i="4"/>
  <c r="P11" i="4"/>
  <c r="O11" i="4"/>
  <c r="N11" i="4"/>
  <c r="M11" i="4"/>
  <c r="L11" i="4"/>
  <c r="K11" i="4"/>
  <c r="J11" i="4"/>
  <c r="I11" i="4"/>
  <c r="H11" i="4"/>
  <c r="G11" i="4"/>
  <c r="F11" i="4"/>
  <c r="E11" i="4"/>
  <c r="D11" i="4"/>
  <c r="C11" i="4"/>
  <c r="B11" i="4"/>
  <c r="Y10" i="4"/>
  <c r="X10" i="4"/>
  <c r="W10" i="4"/>
  <c r="V10" i="4"/>
  <c r="U10" i="4"/>
  <c r="T10" i="4"/>
  <c r="S10" i="4"/>
  <c r="R10" i="4"/>
  <c r="Q10" i="4"/>
  <c r="P10" i="4"/>
  <c r="O10" i="4"/>
  <c r="N10" i="4"/>
  <c r="M10" i="4"/>
  <c r="L10" i="4"/>
  <c r="K10" i="4"/>
  <c r="J10" i="4"/>
  <c r="I10" i="4"/>
  <c r="H10" i="4"/>
  <c r="G10" i="4"/>
  <c r="F10" i="4"/>
  <c r="E10" i="4"/>
  <c r="D10" i="4"/>
  <c r="C10" i="4"/>
  <c r="B10" i="4"/>
  <c r="Y9" i="4"/>
  <c r="X9" i="4"/>
  <c r="W9" i="4"/>
  <c r="V9" i="4"/>
  <c r="U9" i="4"/>
  <c r="T9" i="4"/>
  <c r="S9" i="4"/>
  <c r="R9" i="4"/>
  <c r="Q9" i="4"/>
  <c r="P9" i="4"/>
  <c r="O9" i="4"/>
  <c r="N9" i="4"/>
  <c r="M9" i="4"/>
  <c r="L9" i="4"/>
  <c r="K9" i="4"/>
  <c r="J9" i="4"/>
  <c r="I9" i="4"/>
  <c r="H9" i="4"/>
  <c r="G9" i="4"/>
  <c r="F9" i="4"/>
  <c r="E9" i="4"/>
  <c r="D9" i="4"/>
  <c r="C9" i="4"/>
  <c r="B9" i="4"/>
  <c r="Y8" i="4"/>
  <c r="X8" i="4"/>
  <c r="W8" i="4"/>
  <c r="V8" i="4"/>
  <c r="U8" i="4"/>
  <c r="T8" i="4"/>
  <c r="S8" i="4"/>
  <c r="R8" i="4"/>
  <c r="Q8" i="4"/>
  <c r="P8" i="4"/>
  <c r="O8" i="4"/>
  <c r="N8" i="4"/>
  <c r="M8" i="4"/>
  <c r="L8" i="4"/>
  <c r="K8" i="4"/>
  <c r="J8" i="4"/>
  <c r="I8" i="4"/>
  <c r="H8" i="4"/>
  <c r="G8" i="4"/>
  <c r="F8" i="4"/>
  <c r="E8" i="4"/>
  <c r="D8" i="4"/>
  <c r="C8" i="4"/>
  <c r="B8" i="4"/>
  <c r="Y7" i="4"/>
  <c r="X7" i="4"/>
  <c r="W7" i="4"/>
  <c r="V7" i="4"/>
  <c r="U7" i="4"/>
  <c r="T7" i="4"/>
  <c r="S7" i="4"/>
  <c r="R7" i="4"/>
  <c r="Q7" i="4"/>
  <c r="P7" i="4"/>
  <c r="O7" i="4"/>
  <c r="N7" i="4"/>
  <c r="M7" i="4"/>
  <c r="L7" i="4"/>
  <c r="K7" i="4"/>
  <c r="J7" i="4"/>
  <c r="I7" i="4"/>
  <c r="H7" i="4"/>
  <c r="G7" i="4"/>
  <c r="F7" i="4"/>
  <c r="E7" i="4"/>
  <c r="D7" i="4"/>
  <c r="C7" i="4"/>
  <c r="B7" i="4"/>
  <c r="Y6" i="4"/>
  <c r="X6" i="4"/>
  <c r="W6" i="4"/>
  <c r="V6" i="4"/>
  <c r="U6" i="4"/>
  <c r="T6" i="4"/>
  <c r="S6" i="4"/>
  <c r="R6" i="4"/>
  <c r="Q6" i="4"/>
  <c r="P6" i="4"/>
  <c r="O6" i="4"/>
  <c r="N6" i="4"/>
  <c r="M6" i="4"/>
  <c r="L6" i="4"/>
  <c r="K6" i="4"/>
  <c r="J6" i="4"/>
  <c r="I6" i="4"/>
  <c r="H6" i="4"/>
  <c r="G6" i="4"/>
  <c r="F6" i="4"/>
  <c r="E6" i="4"/>
  <c r="D6" i="4"/>
  <c r="C6" i="4"/>
  <c r="B6" i="4"/>
  <c r="Y5" i="4"/>
  <c r="X5" i="4"/>
  <c r="W5" i="4"/>
  <c r="V5" i="4"/>
  <c r="U5" i="4"/>
  <c r="T5" i="4"/>
  <c r="S5" i="4"/>
  <c r="R5" i="4"/>
  <c r="Q5" i="4"/>
  <c r="P5" i="4"/>
  <c r="O5" i="4"/>
  <c r="N5" i="4"/>
  <c r="M5" i="4"/>
  <c r="L5" i="4"/>
  <c r="K5" i="4"/>
  <c r="J5" i="4"/>
  <c r="I5" i="4"/>
  <c r="H5" i="4"/>
  <c r="G5" i="4"/>
  <c r="F5" i="4"/>
  <c r="E5" i="4"/>
  <c r="D5" i="4"/>
  <c r="C5" i="4"/>
  <c r="B5" i="4"/>
  <c r="Y4" i="4"/>
  <c r="X4" i="4"/>
  <c r="W4" i="4"/>
  <c r="V4" i="4"/>
  <c r="U4" i="4"/>
  <c r="T4" i="4"/>
  <c r="S4" i="4"/>
  <c r="R4" i="4"/>
  <c r="Q4" i="4"/>
  <c r="P4" i="4"/>
  <c r="O4" i="4"/>
  <c r="N4" i="4"/>
  <c r="M4" i="4"/>
  <c r="L4" i="4"/>
  <c r="K4" i="4"/>
  <c r="J4" i="4"/>
  <c r="I4" i="4"/>
  <c r="H4" i="4"/>
  <c r="G4" i="4"/>
  <c r="F4" i="4"/>
  <c r="E4" i="4"/>
  <c r="D4" i="4"/>
  <c r="C4" i="4"/>
  <c r="B4" i="4"/>
  <c r="Y3" i="4"/>
  <c r="X3" i="4"/>
  <c r="W3" i="4"/>
  <c r="V3" i="4"/>
  <c r="U3" i="4"/>
  <c r="T3" i="4"/>
  <c r="S3" i="4"/>
  <c r="R3" i="4"/>
  <c r="Q3" i="4"/>
  <c r="P3" i="4"/>
  <c r="O3" i="4"/>
  <c r="N3" i="4"/>
  <c r="M3" i="4"/>
  <c r="L3" i="4"/>
  <c r="K3" i="4"/>
  <c r="J3" i="4"/>
  <c r="I3" i="4"/>
  <c r="H3" i="4"/>
  <c r="G3" i="4"/>
  <c r="F3" i="4"/>
  <c r="E3" i="4"/>
  <c r="D3" i="4"/>
  <c r="C3" i="4"/>
  <c r="B3" i="4"/>
  <c r="Y2" i="4"/>
  <c r="X2" i="4"/>
  <c r="W2" i="4"/>
  <c r="V2" i="4"/>
  <c r="U2" i="4"/>
  <c r="T2" i="4"/>
  <c r="S2" i="4"/>
  <c r="R2" i="4"/>
  <c r="Q2" i="4"/>
  <c r="P2" i="4"/>
  <c r="O2" i="4"/>
  <c r="N2" i="4"/>
  <c r="M2" i="4"/>
  <c r="L2" i="4"/>
  <c r="K2" i="4"/>
  <c r="J2" i="4"/>
  <c r="I2" i="4"/>
  <c r="H2" i="4"/>
  <c r="G2" i="4"/>
  <c r="F2" i="4"/>
  <c r="E2" i="4"/>
  <c r="D2" i="4"/>
  <c r="C2" i="4"/>
  <c r="B2" i="4"/>
  <c r="Y14" i="3"/>
  <c r="X14" i="3"/>
  <c r="W14" i="3"/>
  <c r="V14" i="3"/>
  <c r="U14" i="3"/>
  <c r="T14" i="3"/>
  <c r="S14" i="3"/>
  <c r="R14" i="3"/>
  <c r="Q14" i="3"/>
  <c r="P14" i="3"/>
  <c r="O14" i="3"/>
  <c r="N14" i="3"/>
  <c r="M14" i="3"/>
  <c r="L14" i="3"/>
  <c r="K14" i="3"/>
  <c r="J14" i="3"/>
  <c r="I14" i="3"/>
  <c r="H14" i="3"/>
  <c r="G14" i="3"/>
  <c r="F14" i="3"/>
  <c r="E14" i="3"/>
  <c r="D14" i="3"/>
  <c r="C14" i="3"/>
  <c r="B14" i="3"/>
  <c r="Y13" i="3"/>
  <c r="X13" i="3"/>
  <c r="W13" i="3"/>
  <c r="V13" i="3"/>
  <c r="U13" i="3"/>
  <c r="T13" i="3"/>
  <c r="S13" i="3"/>
  <c r="R13" i="3"/>
  <c r="Q13" i="3"/>
  <c r="P13" i="3"/>
  <c r="O13" i="3"/>
  <c r="N13" i="3"/>
  <c r="M13" i="3"/>
  <c r="L13" i="3"/>
  <c r="K13" i="3"/>
  <c r="J13" i="3"/>
  <c r="I13" i="3"/>
  <c r="H13" i="3"/>
  <c r="G13" i="3"/>
  <c r="F13" i="3"/>
  <c r="E13" i="3"/>
  <c r="D13" i="3"/>
  <c r="C13" i="3"/>
  <c r="B13" i="3"/>
  <c r="Y12" i="3"/>
  <c r="X12" i="3"/>
  <c r="W12" i="3"/>
  <c r="V12" i="3"/>
  <c r="U12" i="3"/>
  <c r="T12" i="3"/>
  <c r="S12" i="3"/>
  <c r="R12" i="3"/>
  <c r="Q12" i="3"/>
  <c r="P12" i="3"/>
  <c r="O12" i="3"/>
  <c r="N12" i="3"/>
  <c r="M12" i="3"/>
  <c r="L12" i="3"/>
  <c r="K12" i="3"/>
  <c r="J12" i="3"/>
  <c r="I12" i="3"/>
  <c r="H12" i="3"/>
  <c r="G12" i="3"/>
  <c r="F12" i="3"/>
  <c r="E12" i="3"/>
  <c r="D12" i="3"/>
  <c r="C12" i="3"/>
  <c r="B12" i="3"/>
  <c r="Y11" i="3"/>
  <c r="X11" i="3"/>
  <c r="W11" i="3"/>
  <c r="V11" i="3"/>
  <c r="U11" i="3"/>
  <c r="T11" i="3"/>
  <c r="S11" i="3"/>
  <c r="R11" i="3"/>
  <c r="Q11" i="3"/>
  <c r="P11" i="3"/>
  <c r="O11" i="3"/>
  <c r="N11" i="3"/>
  <c r="M11" i="3"/>
  <c r="L11" i="3"/>
  <c r="K11" i="3"/>
  <c r="J11" i="3"/>
  <c r="I11" i="3"/>
  <c r="H11" i="3"/>
  <c r="G11" i="3"/>
  <c r="F11" i="3"/>
  <c r="E11" i="3"/>
  <c r="D11" i="3"/>
  <c r="C11" i="3"/>
  <c r="B11" i="3"/>
  <c r="Y10" i="3"/>
  <c r="X10" i="3"/>
  <c r="W10" i="3"/>
  <c r="V10" i="3"/>
  <c r="U10" i="3"/>
  <c r="T10" i="3"/>
  <c r="S10" i="3"/>
  <c r="R10" i="3"/>
  <c r="Q10" i="3"/>
  <c r="P10" i="3"/>
  <c r="O10" i="3"/>
  <c r="N10" i="3"/>
  <c r="M10" i="3"/>
  <c r="L10" i="3"/>
  <c r="K10" i="3"/>
  <c r="J10" i="3"/>
  <c r="I10" i="3"/>
  <c r="H10" i="3"/>
  <c r="G10" i="3"/>
  <c r="F10" i="3"/>
  <c r="E10" i="3"/>
  <c r="D10" i="3"/>
  <c r="C10" i="3"/>
  <c r="B10" i="3"/>
  <c r="Y9" i="3"/>
  <c r="X9" i="3"/>
  <c r="W9" i="3"/>
  <c r="V9" i="3"/>
  <c r="U9" i="3"/>
  <c r="T9" i="3"/>
  <c r="S9" i="3"/>
  <c r="R9" i="3"/>
  <c r="Q9" i="3"/>
  <c r="P9" i="3"/>
  <c r="O9" i="3"/>
  <c r="N9" i="3"/>
  <c r="M9" i="3"/>
  <c r="L9" i="3"/>
  <c r="K9" i="3"/>
  <c r="J9" i="3"/>
  <c r="I9" i="3"/>
  <c r="H9" i="3"/>
  <c r="G9" i="3"/>
  <c r="F9" i="3"/>
  <c r="E9" i="3"/>
  <c r="D9" i="3"/>
  <c r="C9" i="3"/>
  <c r="B9" i="3"/>
  <c r="Y8" i="3"/>
  <c r="X8" i="3"/>
  <c r="W8" i="3"/>
  <c r="V8" i="3"/>
  <c r="U8" i="3"/>
  <c r="T8" i="3"/>
  <c r="S8" i="3"/>
  <c r="R8" i="3"/>
  <c r="Q8" i="3"/>
  <c r="P8" i="3"/>
  <c r="O8" i="3"/>
  <c r="N8" i="3"/>
  <c r="M8" i="3"/>
  <c r="L8" i="3"/>
  <c r="K8" i="3"/>
  <c r="J8" i="3"/>
  <c r="I8" i="3"/>
  <c r="H8" i="3"/>
  <c r="G8" i="3"/>
  <c r="F8" i="3"/>
  <c r="E8" i="3"/>
  <c r="D8" i="3"/>
  <c r="C8" i="3"/>
  <c r="B8" i="3"/>
  <c r="Y7" i="3"/>
  <c r="X7" i="3"/>
  <c r="W7" i="3"/>
  <c r="V7" i="3"/>
  <c r="U7" i="3"/>
  <c r="T7" i="3"/>
  <c r="S7" i="3"/>
  <c r="R7" i="3"/>
  <c r="Q7" i="3"/>
  <c r="P7" i="3"/>
  <c r="O7" i="3"/>
  <c r="N7" i="3"/>
  <c r="M7" i="3"/>
  <c r="L7" i="3"/>
  <c r="K7" i="3"/>
  <c r="J7" i="3"/>
  <c r="I7" i="3"/>
  <c r="H7" i="3"/>
  <c r="G7" i="3"/>
  <c r="F7" i="3"/>
  <c r="E7" i="3"/>
  <c r="D7" i="3"/>
  <c r="C7" i="3"/>
  <c r="B7" i="3"/>
  <c r="Y6" i="3"/>
  <c r="X6" i="3"/>
  <c r="W6" i="3"/>
  <c r="V6" i="3"/>
  <c r="U6" i="3"/>
  <c r="T6" i="3"/>
  <c r="S6" i="3"/>
  <c r="R6" i="3"/>
  <c r="Q6" i="3"/>
  <c r="P6" i="3"/>
  <c r="O6" i="3"/>
  <c r="N6" i="3"/>
  <c r="M6" i="3"/>
  <c r="L6" i="3"/>
  <c r="K6" i="3"/>
  <c r="J6" i="3"/>
  <c r="I6" i="3"/>
  <c r="H6" i="3"/>
  <c r="G6" i="3"/>
  <c r="F6" i="3"/>
  <c r="E6" i="3"/>
  <c r="D6" i="3"/>
  <c r="C6" i="3"/>
  <c r="B6" i="3"/>
  <c r="Y5" i="3"/>
  <c r="X5" i="3"/>
  <c r="W5" i="3"/>
  <c r="V5" i="3"/>
  <c r="U5" i="3"/>
  <c r="T5" i="3"/>
  <c r="S5" i="3"/>
  <c r="R5" i="3"/>
  <c r="Q5" i="3"/>
  <c r="P5" i="3"/>
  <c r="O5" i="3"/>
  <c r="N5" i="3"/>
  <c r="M5" i="3"/>
  <c r="L5" i="3"/>
  <c r="K5" i="3"/>
  <c r="J5" i="3"/>
  <c r="I5" i="3"/>
  <c r="H5" i="3"/>
  <c r="G5" i="3"/>
  <c r="F5" i="3"/>
  <c r="E5" i="3"/>
  <c r="D5" i="3"/>
  <c r="C5" i="3"/>
  <c r="B5" i="3"/>
  <c r="Y4" i="3"/>
  <c r="X4" i="3"/>
  <c r="W4" i="3"/>
  <c r="V4" i="3"/>
  <c r="U4" i="3"/>
  <c r="T4" i="3"/>
  <c r="S4" i="3"/>
  <c r="R4" i="3"/>
  <c r="Q4" i="3"/>
  <c r="P4" i="3"/>
  <c r="O4" i="3"/>
  <c r="N4" i="3"/>
  <c r="M4" i="3"/>
  <c r="L4" i="3"/>
  <c r="K4" i="3"/>
  <c r="J4" i="3"/>
  <c r="I4" i="3"/>
  <c r="H4" i="3"/>
  <c r="G4" i="3"/>
  <c r="F4" i="3"/>
  <c r="E4" i="3"/>
  <c r="D4" i="3"/>
  <c r="C4" i="3"/>
  <c r="B4" i="3"/>
  <c r="Y3" i="3"/>
  <c r="X3" i="3"/>
  <c r="W3" i="3"/>
  <c r="V3" i="3"/>
  <c r="U3" i="3"/>
  <c r="T3" i="3"/>
  <c r="S3" i="3"/>
  <c r="R3" i="3"/>
  <c r="Q3" i="3"/>
  <c r="P3" i="3"/>
  <c r="O3" i="3"/>
  <c r="N3" i="3"/>
  <c r="M3" i="3"/>
  <c r="L3" i="3"/>
  <c r="K3" i="3"/>
  <c r="J3" i="3"/>
  <c r="I3" i="3"/>
  <c r="H3" i="3"/>
  <c r="G3" i="3"/>
  <c r="F3" i="3"/>
  <c r="E3" i="3"/>
  <c r="D3" i="3"/>
  <c r="C3" i="3"/>
  <c r="B3" i="3"/>
  <c r="Y2" i="3"/>
  <c r="X2" i="3"/>
  <c r="W2" i="3"/>
  <c r="V2" i="3"/>
  <c r="U2" i="3"/>
  <c r="T2" i="3"/>
  <c r="S2" i="3"/>
  <c r="R2" i="3"/>
  <c r="Q2" i="3"/>
  <c r="P2" i="3"/>
  <c r="O2" i="3"/>
  <c r="N2" i="3"/>
  <c r="M2" i="3"/>
  <c r="L2" i="3"/>
  <c r="K2" i="3"/>
  <c r="J2" i="3"/>
  <c r="I2" i="3"/>
  <c r="H2" i="3"/>
  <c r="G2" i="3"/>
  <c r="F2" i="3"/>
  <c r="E2" i="3"/>
  <c r="D2" i="3"/>
  <c r="C2" i="3"/>
  <c r="B2" i="3"/>
  <c r="B3" i="2"/>
  <c r="C3" i="2"/>
  <c r="D3" i="2"/>
  <c r="E3" i="2"/>
  <c r="F3" i="2"/>
  <c r="G3" i="2"/>
  <c r="H3" i="2"/>
  <c r="I3" i="2"/>
  <c r="J3" i="2"/>
  <c r="K3" i="2"/>
  <c r="L3" i="2"/>
  <c r="M3" i="2"/>
  <c r="N3" i="2"/>
  <c r="O3" i="2"/>
  <c r="P3" i="2"/>
  <c r="Q3" i="2"/>
  <c r="R3" i="2"/>
  <c r="S3" i="2"/>
  <c r="T3" i="2"/>
  <c r="U3" i="2"/>
  <c r="V3" i="2"/>
  <c r="W3" i="2"/>
  <c r="X3" i="2"/>
  <c r="Y3" i="2"/>
  <c r="B4" i="2"/>
  <c r="C4" i="2"/>
  <c r="D4" i="2"/>
  <c r="E4" i="2"/>
  <c r="F4" i="2"/>
  <c r="G4" i="2"/>
  <c r="H4" i="2"/>
  <c r="I4" i="2"/>
  <c r="J4" i="2"/>
  <c r="K4" i="2"/>
  <c r="L4" i="2"/>
  <c r="M4" i="2"/>
  <c r="N4" i="2"/>
  <c r="O4" i="2"/>
  <c r="P4" i="2"/>
  <c r="Q4" i="2"/>
  <c r="R4" i="2"/>
  <c r="S4" i="2"/>
  <c r="T4" i="2"/>
  <c r="U4" i="2"/>
  <c r="V4" i="2"/>
  <c r="W4" i="2"/>
  <c r="X4" i="2"/>
  <c r="Y4" i="2"/>
  <c r="B5" i="2"/>
  <c r="C5" i="2"/>
  <c r="D5" i="2"/>
  <c r="E5" i="2"/>
  <c r="F5" i="2"/>
  <c r="G5" i="2"/>
  <c r="H5" i="2"/>
  <c r="I5" i="2"/>
  <c r="J5" i="2"/>
  <c r="K5" i="2"/>
  <c r="L5" i="2"/>
  <c r="M5" i="2"/>
  <c r="N5" i="2"/>
  <c r="O5" i="2"/>
  <c r="P5" i="2"/>
  <c r="Q5" i="2"/>
  <c r="R5" i="2"/>
  <c r="S5" i="2"/>
  <c r="T5" i="2"/>
  <c r="U5" i="2"/>
  <c r="V5" i="2"/>
  <c r="W5" i="2"/>
  <c r="X5" i="2"/>
  <c r="Y5" i="2"/>
  <c r="B6" i="2"/>
  <c r="C6" i="2"/>
  <c r="D6" i="2"/>
  <c r="E6" i="2"/>
  <c r="F6" i="2"/>
  <c r="G6" i="2"/>
  <c r="H6" i="2"/>
  <c r="I6" i="2"/>
  <c r="J6" i="2"/>
  <c r="K6" i="2"/>
  <c r="L6" i="2"/>
  <c r="M6" i="2"/>
  <c r="N6" i="2"/>
  <c r="O6" i="2"/>
  <c r="P6" i="2"/>
  <c r="Q6" i="2"/>
  <c r="R6" i="2"/>
  <c r="S6" i="2"/>
  <c r="T6" i="2"/>
  <c r="U6" i="2"/>
  <c r="V6" i="2"/>
  <c r="W6" i="2"/>
  <c r="X6" i="2"/>
  <c r="Y6" i="2"/>
  <c r="B7" i="2"/>
  <c r="C7" i="2"/>
  <c r="D7" i="2"/>
  <c r="E7" i="2"/>
  <c r="F7" i="2"/>
  <c r="G7" i="2"/>
  <c r="H7" i="2"/>
  <c r="I7" i="2"/>
  <c r="J7" i="2"/>
  <c r="K7" i="2"/>
  <c r="L7" i="2"/>
  <c r="M7" i="2"/>
  <c r="N7" i="2"/>
  <c r="O7" i="2"/>
  <c r="P7" i="2"/>
  <c r="Q7" i="2"/>
  <c r="R7" i="2"/>
  <c r="S7" i="2"/>
  <c r="T7" i="2"/>
  <c r="U7" i="2"/>
  <c r="V7" i="2"/>
  <c r="W7" i="2"/>
  <c r="X7" i="2"/>
  <c r="Y7" i="2"/>
  <c r="B8" i="2"/>
  <c r="C8" i="2"/>
  <c r="D8" i="2"/>
  <c r="E8" i="2"/>
  <c r="F8" i="2"/>
  <c r="G8" i="2"/>
  <c r="H8" i="2"/>
  <c r="I8" i="2"/>
  <c r="J8" i="2"/>
  <c r="K8" i="2"/>
  <c r="L8" i="2"/>
  <c r="M8" i="2"/>
  <c r="N8" i="2"/>
  <c r="O8" i="2"/>
  <c r="P8" i="2"/>
  <c r="Q8" i="2"/>
  <c r="R8" i="2"/>
  <c r="S8" i="2"/>
  <c r="T8" i="2"/>
  <c r="U8" i="2"/>
  <c r="V8" i="2"/>
  <c r="W8" i="2"/>
  <c r="X8" i="2"/>
  <c r="Y8" i="2"/>
  <c r="B9" i="2"/>
  <c r="C9" i="2"/>
  <c r="D9" i="2"/>
  <c r="E9" i="2"/>
  <c r="F9" i="2"/>
  <c r="G9" i="2"/>
  <c r="H9" i="2"/>
  <c r="I9" i="2"/>
  <c r="J9" i="2"/>
  <c r="K9" i="2"/>
  <c r="L9" i="2"/>
  <c r="M9" i="2"/>
  <c r="N9" i="2"/>
  <c r="O9" i="2"/>
  <c r="P9" i="2"/>
  <c r="Q9" i="2"/>
  <c r="R9" i="2"/>
  <c r="S9" i="2"/>
  <c r="T9" i="2"/>
  <c r="U9" i="2"/>
  <c r="V9" i="2"/>
  <c r="W9" i="2"/>
  <c r="X9" i="2"/>
  <c r="Y9" i="2"/>
  <c r="B10" i="2"/>
  <c r="C10" i="2"/>
  <c r="D10" i="2"/>
  <c r="E10" i="2"/>
  <c r="F10" i="2"/>
  <c r="G10" i="2"/>
  <c r="H10" i="2"/>
  <c r="I10" i="2"/>
  <c r="J10" i="2"/>
  <c r="K10" i="2"/>
  <c r="L10" i="2"/>
  <c r="M10" i="2"/>
  <c r="N10" i="2"/>
  <c r="O10" i="2"/>
  <c r="P10" i="2"/>
  <c r="Q10" i="2"/>
  <c r="R10" i="2"/>
  <c r="S10" i="2"/>
  <c r="T10" i="2"/>
  <c r="U10" i="2"/>
  <c r="V10" i="2"/>
  <c r="W10" i="2"/>
  <c r="X10" i="2"/>
  <c r="Y10" i="2"/>
  <c r="B11" i="2"/>
  <c r="C11" i="2"/>
  <c r="D11" i="2"/>
  <c r="E11" i="2"/>
  <c r="F11" i="2"/>
  <c r="G11" i="2"/>
  <c r="H11" i="2"/>
  <c r="I11" i="2"/>
  <c r="J11" i="2"/>
  <c r="K11" i="2"/>
  <c r="L11" i="2"/>
  <c r="M11" i="2"/>
  <c r="N11" i="2"/>
  <c r="O11" i="2"/>
  <c r="P11" i="2"/>
  <c r="Q11" i="2"/>
  <c r="R11" i="2"/>
  <c r="S11" i="2"/>
  <c r="T11" i="2"/>
  <c r="U11" i="2"/>
  <c r="V11" i="2"/>
  <c r="W11" i="2"/>
  <c r="X11" i="2"/>
  <c r="Y11" i="2"/>
  <c r="B12" i="2"/>
  <c r="C12" i="2"/>
  <c r="D12" i="2"/>
  <c r="E12" i="2"/>
  <c r="F12" i="2"/>
  <c r="G12" i="2"/>
  <c r="H12" i="2"/>
  <c r="I12" i="2"/>
  <c r="J12" i="2"/>
  <c r="K12" i="2"/>
  <c r="L12" i="2"/>
  <c r="M12" i="2"/>
  <c r="N12" i="2"/>
  <c r="O12" i="2"/>
  <c r="P12" i="2"/>
  <c r="Q12" i="2"/>
  <c r="R12" i="2"/>
  <c r="S12" i="2"/>
  <c r="T12" i="2"/>
  <c r="U12" i="2"/>
  <c r="V12" i="2"/>
  <c r="W12" i="2"/>
  <c r="X12" i="2"/>
  <c r="Y12" i="2"/>
  <c r="B13" i="2"/>
  <c r="C13" i="2"/>
  <c r="D13" i="2"/>
  <c r="E13" i="2"/>
  <c r="F13" i="2"/>
  <c r="G13" i="2"/>
  <c r="H13" i="2"/>
  <c r="I13" i="2"/>
  <c r="J13" i="2"/>
  <c r="K13" i="2"/>
  <c r="L13" i="2"/>
  <c r="M13" i="2"/>
  <c r="N13" i="2"/>
  <c r="O13" i="2"/>
  <c r="P13" i="2"/>
  <c r="Q13" i="2"/>
  <c r="R13" i="2"/>
  <c r="S13" i="2"/>
  <c r="T13" i="2"/>
  <c r="U13" i="2"/>
  <c r="V13" i="2"/>
  <c r="W13" i="2"/>
  <c r="X13" i="2"/>
  <c r="Y13" i="2"/>
  <c r="B14" i="2"/>
  <c r="C14" i="2"/>
  <c r="D14" i="2"/>
  <c r="E14" i="2"/>
  <c r="F14" i="2"/>
  <c r="G14" i="2"/>
  <c r="H14" i="2"/>
  <c r="I14" i="2"/>
  <c r="J14" i="2"/>
  <c r="K14" i="2"/>
  <c r="L14" i="2"/>
  <c r="M14" i="2"/>
  <c r="N14" i="2"/>
  <c r="O14" i="2"/>
  <c r="P14" i="2"/>
  <c r="Q14" i="2"/>
  <c r="R14" i="2"/>
  <c r="S14" i="2"/>
  <c r="T14" i="2"/>
  <c r="U14" i="2"/>
  <c r="V14" i="2"/>
  <c r="W14" i="2"/>
  <c r="X14" i="2"/>
  <c r="Y14" i="2"/>
  <c r="R11" i="15"/>
  <c r="S11" i="15"/>
  <c r="T11" i="15"/>
  <c r="U11" i="15"/>
  <c r="V11" i="15"/>
  <c r="W11" i="15"/>
  <c r="X11" i="15"/>
  <c r="Y11" i="15"/>
  <c r="Z11" i="15"/>
  <c r="AA11" i="15"/>
  <c r="AB11" i="15"/>
  <c r="AC11" i="15"/>
  <c r="Q11" i="15"/>
  <c r="R10" i="15"/>
  <c r="S10" i="15"/>
  <c r="T10" i="15"/>
  <c r="U10" i="15"/>
  <c r="V10" i="15"/>
  <c r="W10" i="15"/>
  <c r="X10" i="15"/>
  <c r="Y10" i="15"/>
  <c r="Z10" i="15"/>
  <c r="AA10" i="15"/>
  <c r="AB10" i="15"/>
  <c r="AC10" i="15"/>
  <c r="Q10" i="15"/>
  <c r="C15" i="15"/>
  <c r="D15" i="15"/>
  <c r="E15" i="15"/>
  <c r="F15" i="15"/>
  <c r="G15" i="15"/>
  <c r="H15" i="15"/>
  <c r="I15" i="15"/>
  <c r="J15" i="15"/>
  <c r="K15" i="15"/>
  <c r="L15" i="15"/>
  <c r="M15" i="15"/>
  <c r="N15" i="15"/>
  <c r="B15" i="15"/>
  <c r="C14" i="15"/>
  <c r="D14" i="15"/>
  <c r="E14" i="15"/>
  <c r="F14" i="15"/>
  <c r="G14" i="15"/>
  <c r="H14" i="15"/>
  <c r="I14" i="15"/>
  <c r="J14" i="15"/>
  <c r="K14" i="15"/>
  <c r="L14" i="15"/>
  <c r="M14" i="15"/>
  <c r="N14" i="15"/>
  <c r="B14" i="15"/>
  <c r="C11" i="15"/>
  <c r="D11" i="15"/>
  <c r="E11" i="15"/>
  <c r="F11" i="15"/>
  <c r="G11" i="15"/>
  <c r="H11" i="15"/>
  <c r="I11" i="15"/>
  <c r="J11" i="15"/>
  <c r="K11" i="15"/>
  <c r="L11" i="15"/>
  <c r="M11" i="15"/>
  <c r="N11" i="15"/>
  <c r="B11" i="15"/>
  <c r="C10" i="15"/>
  <c r="D10" i="15"/>
  <c r="E10" i="15"/>
  <c r="F10" i="15"/>
  <c r="G10" i="15"/>
  <c r="H10" i="15"/>
  <c r="I10" i="15"/>
  <c r="J10" i="15"/>
  <c r="K10" i="15"/>
  <c r="L10" i="15"/>
  <c r="M10" i="15"/>
  <c r="N10" i="15"/>
  <c r="B10" i="15"/>
  <c r="C7" i="15"/>
  <c r="D7" i="15"/>
  <c r="E7" i="15"/>
  <c r="F7" i="15"/>
  <c r="G7" i="15"/>
  <c r="H7" i="15"/>
  <c r="I7" i="15"/>
  <c r="J7" i="15"/>
  <c r="K7" i="15"/>
  <c r="L7" i="15"/>
  <c r="M7" i="15"/>
  <c r="N7" i="15"/>
  <c r="B7" i="15"/>
  <c r="C6" i="15"/>
  <c r="D6" i="15"/>
  <c r="E6" i="15"/>
  <c r="F6" i="15"/>
  <c r="G6" i="15"/>
  <c r="H6" i="15"/>
  <c r="I6" i="15"/>
  <c r="J6" i="15"/>
  <c r="K6" i="15"/>
  <c r="L6" i="15"/>
  <c r="M6" i="15"/>
  <c r="N6" i="15"/>
  <c r="B6" i="15"/>
  <c r="C3" i="15"/>
  <c r="D3" i="15"/>
  <c r="E3" i="15"/>
  <c r="F3" i="15"/>
  <c r="G3" i="15"/>
  <c r="H3" i="15"/>
  <c r="I3" i="15"/>
  <c r="J3" i="15"/>
  <c r="K3" i="15"/>
  <c r="L3" i="15"/>
  <c r="M3" i="15"/>
  <c r="N3" i="15"/>
  <c r="B3" i="15"/>
  <c r="C2" i="15"/>
  <c r="D2" i="15"/>
  <c r="E2" i="15"/>
  <c r="F2" i="15"/>
  <c r="G2" i="15"/>
  <c r="H2" i="15"/>
  <c r="I2" i="15"/>
  <c r="J2" i="15"/>
  <c r="K2" i="15"/>
  <c r="L2" i="15"/>
  <c r="M2" i="15"/>
  <c r="N2" i="15"/>
  <c r="B2" i="15"/>
  <c r="P2" i="2"/>
  <c r="O2" i="2"/>
  <c r="N2" i="2"/>
  <c r="M2" i="2"/>
  <c r="L2" i="2"/>
  <c r="K2" i="2"/>
  <c r="J2" i="2"/>
  <c r="I2" i="2"/>
  <c r="H2" i="2"/>
  <c r="G2" i="2"/>
  <c r="F2" i="2"/>
  <c r="E2" i="2"/>
  <c r="D2" i="2"/>
  <c r="C2" i="2"/>
  <c r="B2" i="2"/>
  <c r="A3" i="29"/>
  <c r="B3" i="29"/>
  <c r="C3" i="29"/>
  <c r="D3" i="29"/>
  <c r="E3" i="29"/>
  <c r="F3" i="29"/>
  <c r="G3" i="29"/>
  <c r="H3" i="29"/>
  <c r="I3" i="29"/>
  <c r="J3" i="29"/>
  <c r="K3" i="29"/>
  <c r="L3" i="29"/>
  <c r="M3" i="29"/>
  <c r="N3" i="29"/>
  <c r="O3" i="29"/>
  <c r="P3" i="29"/>
  <c r="A4" i="29"/>
  <c r="B4" i="29"/>
  <c r="C4" i="29"/>
  <c r="D4" i="29"/>
  <c r="E4" i="29"/>
  <c r="F4" i="29"/>
  <c r="G4" i="29"/>
  <c r="H4" i="29"/>
  <c r="I4" i="29"/>
  <c r="J4" i="29"/>
  <c r="K4" i="29"/>
  <c r="L4" i="29"/>
  <c r="M4" i="29"/>
  <c r="N4" i="29"/>
  <c r="O4" i="29"/>
  <c r="P4" i="29"/>
  <c r="A5" i="29"/>
  <c r="B5" i="29"/>
  <c r="C5" i="29"/>
  <c r="D5" i="29"/>
  <c r="E5" i="29"/>
  <c r="F5" i="29"/>
  <c r="G5" i="29"/>
  <c r="H5" i="29"/>
  <c r="I5" i="29"/>
  <c r="J5" i="29"/>
  <c r="K5" i="29"/>
  <c r="L5" i="29"/>
  <c r="M5" i="29"/>
  <c r="N5" i="29"/>
  <c r="O5" i="29"/>
  <c r="P5" i="29"/>
  <c r="A6" i="29"/>
  <c r="B6" i="29"/>
  <c r="C6" i="29"/>
  <c r="D6" i="29"/>
  <c r="E6" i="29"/>
  <c r="F6" i="29"/>
  <c r="G6" i="29"/>
  <c r="H6" i="29"/>
  <c r="I6" i="29"/>
  <c r="J6" i="29"/>
  <c r="K6" i="29"/>
  <c r="L6" i="29"/>
  <c r="M6" i="29"/>
  <c r="N6" i="29"/>
  <c r="O6" i="29"/>
  <c r="P6" i="29"/>
  <c r="A7" i="29"/>
  <c r="B7" i="29"/>
  <c r="C7" i="29"/>
  <c r="D7" i="29"/>
  <c r="E7" i="29"/>
  <c r="F7" i="29"/>
  <c r="G7" i="29"/>
  <c r="H7" i="29"/>
  <c r="I7" i="29"/>
  <c r="J7" i="29"/>
  <c r="K7" i="29"/>
  <c r="L7" i="29"/>
  <c r="M7" i="29"/>
  <c r="N7" i="29"/>
  <c r="O7" i="29"/>
  <c r="P7" i="29"/>
  <c r="A8" i="29"/>
  <c r="B8" i="29"/>
  <c r="C8" i="29"/>
  <c r="D8" i="29"/>
  <c r="E8" i="29"/>
  <c r="F8" i="29"/>
  <c r="G8" i="29"/>
  <c r="H8" i="29"/>
  <c r="I8" i="29"/>
  <c r="J8" i="29"/>
  <c r="K8" i="29"/>
  <c r="L8" i="29"/>
  <c r="M8" i="29"/>
  <c r="N8" i="29"/>
  <c r="O8" i="29"/>
  <c r="P8" i="29"/>
  <c r="A9" i="29"/>
  <c r="B9" i="29"/>
  <c r="C9" i="29"/>
  <c r="D9" i="29"/>
  <c r="E9" i="29"/>
  <c r="F9" i="29"/>
  <c r="G9" i="29"/>
  <c r="H9" i="29"/>
  <c r="I9" i="29"/>
  <c r="J9" i="29"/>
  <c r="K9" i="29"/>
  <c r="L9" i="29"/>
  <c r="M9" i="29"/>
  <c r="N9" i="29"/>
  <c r="O9" i="29"/>
  <c r="P9" i="29"/>
  <c r="A10" i="29"/>
  <c r="B10" i="29"/>
  <c r="C10" i="29"/>
  <c r="D10" i="29"/>
  <c r="E10" i="29"/>
  <c r="F10" i="29"/>
  <c r="G10" i="29"/>
  <c r="H10" i="29"/>
  <c r="I10" i="29"/>
  <c r="J10" i="29"/>
  <c r="K10" i="29"/>
  <c r="L10" i="29"/>
  <c r="M10" i="29"/>
  <c r="N10" i="29"/>
  <c r="O10" i="29"/>
  <c r="P10" i="29"/>
  <c r="A11" i="29"/>
  <c r="B11" i="29"/>
  <c r="C11" i="29"/>
  <c r="D11" i="29"/>
  <c r="E11" i="29"/>
  <c r="F11" i="29"/>
  <c r="G11" i="29"/>
  <c r="H11" i="29"/>
  <c r="I11" i="29"/>
  <c r="J11" i="29"/>
  <c r="K11" i="29"/>
  <c r="L11" i="29"/>
  <c r="M11" i="29"/>
  <c r="N11" i="29"/>
  <c r="O11" i="29"/>
  <c r="P11" i="29"/>
  <c r="A12" i="29"/>
  <c r="B12" i="29"/>
  <c r="C12" i="29"/>
  <c r="D12" i="29"/>
  <c r="E12" i="29"/>
  <c r="F12" i="29"/>
  <c r="G12" i="29"/>
  <c r="H12" i="29"/>
  <c r="I12" i="29"/>
  <c r="J12" i="29"/>
  <c r="K12" i="29"/>
  <c r="L12" i="29"/>
  <c r="M12" i="29"/>
  <c r="N12" i="29"/>
  <c r="O12" i="29"/>
  <c r="P12" i="29"/>
  <c r="A13" i="29"/>
  <c r="B13" i="29"/>
  <c r="C13" i="29"/>
  <c r="D13" i="29"/>
  <c r="E13" i="29"/>
  <c r="F13" i="29"/>
  <c r="G13" i="29"/>
  <c r="H13" i="29"/>
  <c r="I13" i="29"/>
  <c r="J13" i="29"/>
  <c r="K13" i="29"/>
  <c r="L13" i="29"/>
  <c r="M13" i="29"/>
  <c r="N13" i="29"/>
  <c r="O13" i="29"/>
  <c r="P13" i="29"/>
  <c r="A14" i="29"/>
  <c r="B14" i="29"/>
  <c r="C14" i="29"/>
  <c r="D14" i="29"/>
  <c r="E14" i="29"/>
  <c r="F14" i="29"/>
  <c r="G14" i="29"/>
  <c r="H14" i="29"/>
  <c r="I14" i="29"/>
  <c r="J14" i="29"/>
  <c r="K14" i="29"/>
  <c r="L14" i="29"/>
  <c r="M14" i="29"/>
  <c r="N14" i="29"/>
  <c r="O14" i="29"/>
  <c r="P14" i="29"/>
  <c r="A15" i="29"/>
  <c r="B15" i="29"/>
  <c r="C15" i="29"/>
  <c r="D15" i="29"/>
  <c r="E15" i="29"/>
  <c r="F15" i="29"/>
  <c r="G15" i="29"/>
  <c r="H15" i="29"/>
  <c r="I15" i="29"/>
  <c r="J15" i="29"/>
  <c r="K15" i="29"/>
  <c r="L15" i="29"/>
  <c r="M15" i="29"/>
  <c r="N15" i="29"/>
  <c r="O15" i="29"/>
  <c r="P15" i="29"/>
  <c r="A16" i="29"/>
  <c r="B16" i="29"/>
  <c r="C16" i="29"/>
  <c r="D16" i="29"/>
  <c r="E16" i="29"/>
  <c r="F16" i="29"/>
  <c r="G16" i="29"/>
  <c r="H16" i="29"/>
  <c r="I16" i="29"/>
  <c r="J16" i="29"/>
  <c r="K16" i="29"/>
  <c r="L16" i="29"/>
  <c r="M16" i="29"/>
  <c r="N16" i="29"/>
  <c r="O16" i="29"/>
  <c r="P16" i="29"/>
  <c r="A17" i="29"/>
  <c r="B17" i="29"/>
  <c r="C17" i="29"/>
  <c r="D17" i="29"/>
  <c r="E17" i="29"/>
  <c r="F17" i="29"/>
  <c r="G17" i="29"/>
  <c r="H17" i="29"/>
  <c r="I17" i="29"/>
  <c r="J17" i="29"/>
  <c r="K17" i="29"/>
  <c r="L17" i="29"/>
  <c r="M17" i="29"/>
  <c r="N17" i="29"/>
  <c r="O17" i="29"/>
  <c r="P17" i="29"/>
  <c r="A18" i="29"/>
  <c r="B18" i="29"/>
  <c r="C18" i="29"/>
  <c r="D18" i="29"/>
  <c r="E18" i="29"/>
  <c r="F18" i="29"/>
  <c r="G18" i="29"/>
  <c r="H18" i="29"/>
  <c r="I18" i="29"/>
  <c r="J18" i="29"/>
  <c r="K18" i="29"/>
  <c r="L18" i="29"/>
  <c r="M18" i="29"/>
  <c r="N18" i="29"/>
  <c r="O18" i="29"/>
  <c r="P18" i="29"/>
  <c r="A19" i="29"/>
  <c r="B19" i="29"/>
  <c r="C19" i="29"/>
  <c r="D19" i="29"/>
  <c r="E19" i="29"/>
  <c r="F19" i="29"/>
  <c r="G19" i="29"/>
  <c r="H19" i="29"/>
  <c r="I19" i="29"/>
  <c r="J19" i="29"/>
  <c r="K19" i="29"/>
  <c r="L19" i="29"/>
  <c r="M19" i="29"/>
  <c r="N19" i="29"/>
  <c r="O19" i="29"/>
  <c r="P19" i="29"/>
  <c r="A20" i="29"/>
  <c r="B20" i="29"/>
  <c r="C20" i="29"/>
  <c r="D20" i="29"/>
  <c r="E20" i="29"/>
  <c r="F20" i="29"/>
  <c r="G20" i="29"/>
  <c r="H20" i="29"/>
  <c r="I20" i="29"/>
  <c r="J20" i="29"/>
  <c r="K20" i="29"/>
  <c r="L20" i="29"/>
  <c r="M20" i="29"/>
  <c r="N20" i="29"/>
  <c r="O20" i="29"/>
  <c r="P20" i="29"/>
  <c r="A21" i="29"/>
  <c r="B21" i="29"/>
  <c r="C21" i="29"/>
  <c r="D21" i="29"/>
  <c r="E21" i="29"/>
  <c r="F21" i="29"/>
  <c r="G21" i="29"/>
  <c r="H21" i="29"/>
  <c r="I21" i="29"/>
  <c r="J21" i="29"/>
  <c r="K21" i="29"/>
  <c r="L21" i="29"/>
  <c r="M21" i="29"/>
  <c r="N21" i="29"/>
  <c r="O21" i="29"/>
  <c r="P21" i="29"/>
  <c r="A22" i="29"/>
  <c r="B22" i="29"/>
  <c r="C22" i="29"/>
  <c r="D22" i="29"/>
  <c r="E22" i="29"/>
  <c r="F22" i="29"/>
  <c r="G22" i="29"/>
  <c r="H22" i="29"/>
  <c r="I22" i="29"/>
  <c r="J22" i="29"/>
  <c r="K22" i="29"/>
  <c r="L22" i="29"/>
  <c r="M22" i="29"/>
  <c r="N22" i="29"/>
  <c r="O22" i="29"/>
  <c r="P22" i="29"/>
  <c r="A23" i="29"/>
  <c r="B23" i="29"/>
  <c r="C23" i="29"/>
  <c r="D23" i="29"/>
  <c r="E23" i="29"/>
  <c r="F23" i="29"/>
  <c r="G23" i="29"/>
  <c r="H23" i="29"/>
  <c r="I23" i="29"/>
  <c r="J23" i="29"/>
  <c r="K23" i="29"/>
  <c r="L23" i="29"/>
  <c r="M23" i="29"/>
  <c r="N23" i="29"/>
  <c r="O23" i="29"/>
  <c r="P23" i="29"/>
  <c r="A24" i="29"/>
  <c r="B24" i="29"/>
  <c r="C24" i="29"/>
  <c r="D24" i="29"/>
  <c r="E24" i="29"/>
  <c r="F24" i="29"/>
  <c r="G24" i="29"/>
  <c r="H24" i="29"/>
  <c r="I24" i="29"/>
  <c r="J24" i="29"/>
  <c r="K24" i="29"/>
  <c r="L24" i="29"/>
  <c r="M24" i="29"/>
  <c r="N24" i="29"/>
  <c r="O24" i="29"/>
  <c r="P24" i="29"/>
  <c r="A25" i="29"/>
  <c r="B25" i="29"/>
  <c r="C25" i="29"/>
  <c r="D25" i="29"/>
  <c r="E25" i="29"/>
  <c r="F25" i="29"/>
  <c r="G25" i="29"/>
  <c r="H25" i="29"/>
  <c r="I25" i="29"/>
  <c r="J25" i="29"/>
  <c r="K25" i="29"/>
  <c r="L25" i="29"/>
  <c r="M25" i="29"/>
  <c r="N25" i="29"/>
  <c r="O25" i="29"/>
  <c r="P25" i="29"/>
  <c r="A26" i="29"/>
  <c r="B26" i="29"/>
  <c r="C26" i="29"/>
  <c r="D26" i="29"/>
  <c r="E26" i="29"/>
  <c r="F26" i="29"/>
  <c r="G26" i="29"/>
  <c r="H26" i="29"/>
  <c r="I26" i="29"/>
  <c r="J26" i="29"/>
  <c r="K26" i="29"/>
  <c r="L26" i="29"/>
  <c r="M26" i="29"/>
  <c r="N26" i="29"/>
  <c r="O26" i="29"/>
  <c r="P26" i="29"/>
  <c r="A27" i="29"/>
  <c r="B27" i="29"/>
  <c r="C27" i="29"/>
  <c r="D27" i="29"/>
  <c r="E27" i="29"/>
  <c r="F27" i="29"/>
  <c r="G27" i="29"/>
  <c r="H27" i="29"/>
  <c r="I27" i="29"/>
  <c r="J27" i="29"/>
  <c r="K27" i="29"/>
  <c r="L27" i="29"/>
  <c r="M27" i="29"/>
  <c r="N27" i="29"/>
  <c r="O27" i="29"/>
  <c r="P27" i="29"/>
  <c r="A28" i="29"/>
  <c r="B28" i="29"/>
  <c r="C28" i="29"/>
  <c r="D28" i="29"/>
  <c r="E28" i="29"/>
  <c r="F28" i="29"/>
  <c r="G28" i="29"/>
  <c r="H28" i="29"/>
  <c r="I28" i="29"/>
  <c r="J28" i="29"/>
  <c r="K28" i="29"/>
  <c r="L28" i="29"/>
  <c r="M28" i="29"/>
  <c r="N28" i="29"/>
  <c r="O28" i="29"/>
  <c r="P28" i="29"/>
  <c r="A29" i="29"/>
  <c r="B29" i="29"/>
  <c r="C29" i="29"/>
  <c r="D29" i="29"/>
  <c r="E29" i="29"/>
  <c r="F29" i="29"/>
  <c r="G29" i="29"/>
  <c r="H29" i="29"/>
  <c r="I29" i="29"/>
  <c r="J29" i="29"/>
  <c r="K29" i="29"/>
  <c r="L29" i="29"/>
  <c r="M29" i="29"/>
  <c r="N29" i="29"/>
  <c r="O29" i="29"/>
  <c r="P29" i="29"/>
  <c r="A30" i="29"/>
  <c r="B30" i="29"/>
  <c r="C30" i="29"/>
  <c r="D30" i="29"/>
  <c r="E30" i="29"/>
  <c r="F30" i="29"/>
  <c r="G30" i="29"/>
  <c r="H30" i="29"/>
  <c r="I30" i="29"/>
  <c r="J30" i="29"/>
  <c r="K30" i="29"/>
  <c r="L30" i="29"/>
  <c r="M30" i="29"/>
  <c r="N30" i="29"/>
  <c r="O30" i="29"/>
  <c r="P30" i="29"/>
  <c r="A31" i="29"/>
  <c r="B31" i="29"/>
  <c r="C31" i="29"/>
  <c r="D31" i="29"/>
  <c r="E31" i="29"/>
  <c r="F31" i="29"/>
  <c r="G31" i="29"/>
  <c r="H31" i="29"/>
  <c r="I31" i="29"/>
  <c r="J31" i="29"/>
  <c r="K31" i="29"/>
  <c r="L31" i="29"/>
  <c r="M31" i="29"/>
  <c r="N31" i="29"/>
  <c r="O31" i="29"/>
  <c r="P31" i="29"/>
  <c r="A32" i="29"/>
  <c r="B32" i="29"/>
  <c r="C32" i="29"/>
  <c r="D32" i="29"/>
  <c r="E32" i="29"/>
  <c r="F32" i="29"/>
  <c r="G32" i="29"/>
  <c r="H32" i="29"/>
  <c r="I32" i="29"/>
  <c r="J32" i="29"/>
  <c r="K32" i="29"/>
  <c r="L32" i="29"/>
  <c r="M32" i="29"/>
  <c r="N32" i="29"/>
  <c r="O32" i="29"/>
  <c r="P32" i="29"/>
  <c r="A33" i="29"/>
  <c r="B33" i="29"/>
  <c r="C33" i="29"/>
  <c r="D33" i="29"/>
  <c r="E33" i="29"/>
  <c r="F33" i="29"/>
  <c r="G33" i="29"/>
  <c r="H33" i="29"/>
  <c r="I33" i="29"/>
  <c r="J33" i="29"/>
  <c r="K33" i="29"/>
  <c r="L33" i="29"/>
  <c r="M33" i="29"/>
  <c r="N33" i="29"/>
  <c r="O33" i="29"/>
  <c r="P33" i="29"/>
  <c r="A34" i="29"/>
  <c r="B34" i="29"/>
  <c r="C34" i="29"/>
  <c r="D34" i="29"/>
  <c r="E34" i="29"/>
  <c r="F34" i="29"/>
  <c r="G34" i="29"/>
  <c r="H34" i="29"/>
  <c r="I34" i="29"/>
  <c r="J34" i="29"/>
  <c r="K34" i="29"/>
  <c r="L34" i="29"/>
  <c r="M34" i="29"/>
  <c r="N34" i="29"/>
  <c r="O34" i="29"/>
  <c r="P34" i="29"/>
  <c r="A35" i="29"/>
  <c r="B35" i="29"/>
  <c r="C35" i="29"/>
  <c r="D35" i="29"/>
  <c r="E35" i="29"/>
  <c r="F35" i="29"/>
  <c r="G35" i="29"/>
  <c r="H35" i="29"/>
  <c r="I35" i="29"/>
  <c r="J35" i="29"/>
  <c r="K35" i="29"/>
  <c r="L35" i="29"/>
  <c r="M35" i="29"/>
  <c r="N35" i="29"/>
  <c r="O35" i="29"/>
  <c r="P35" i="29"/>
  <c r="A36" i="29"/>
  <c r="B36" i="29"/>
  <c r="C36" i="29"/>
  <c r="D36" i="29"/>
  <c r="E36" i="29"/>
  <c r="F36" i="29"/>
  <c r="G36" i="29"/>
  <c r="H36" i="29"/>
  <c r="I36" i="29"/>
  <c r="J36" i="29"/>
  <c r="K36" i="29"/>
  <c r="L36" i="29"/>
  <c r="M36" i="29"/>
  <c r="N36" i="29"/>
  <c r="O36" i="29"/>
  <c r="P36" i="29"/>
  <c r="A37" i="29"/>
  <c r="B37" i="29"/>
  <c r="C37" i="29"/>
  <c r="D37" i="29"/>
  <c r="E37" i="29"/>
  <c r="F37" i="29"/>
  <c r="G37" i="29"/>
  <c r="H37" i="29"/>
  <c r="I37" i="29"/>
  <c r="J37" i="29"/>
  <c r="K37" i="29"/>
  <c r="L37" i="29"/>
  <c r="M37" i="29"/>
  <c r="N37" i="29"/>
  <c r="O37" i="29"/>
  <c r="P37" i="29"/>
  <c r="A38" i="29"/>
  <c r="B38" i="29"/>
  <c r="C38" i="29"/>
  <c r="D38" i="29"/>
  <c r="E38" i="29"/>
  <c r="F38" i="29"/>
  <c r="G38" i="29"/>
  <c r="H38" i="29"/>
  <c r="I38" i="29"/>
  <c r="J38" i="29"/>
  <c r="K38" i="29"/>
  <c r="L38" i="29"/>
  <c r="M38" i="29"/>
  <c r="N38" i="29"/>
  <c r="O38" i="29"/>
  <c r="P38" i="29"/>
  <c r="A39" i="29"/>
  <c r="B39" i="29"/>
  <c r="C39" i="29"/>
  <c r="D39" i="29"/>
  <c r="E39" i="29"/>
  <c r="F39" i="29"/>
  <c r="G39" i="29"/>
  <c r="H39" i="29"/>
  <c r="I39" i="29"/>
  <c r="J39" i="29"/>
  <c r="K39" i="29"/>
  <c r="L39" i="29"/>
  <c r="M39" i="29"/>
  <c r="N39" i="29"/>
  <c r="O39" i="29"/>
  <c r="P39" i="29"/>
  <c r="A40" i="29"/>
  <c r="B40" i="29"/>
  <c r="C40" i="29"/>
  <c r="D40" i="29"/>
  <c r="E40" i="29"/>
  <c r="F40" i="29"/>
  <c r="G40" i="29"/>
  <c r="H40" i="29"/>
  <c r="I40" i="29"/>
  <c r="J40" i="29"/>
  <c r="K40" i="29"/>
  <c r="L40" i="29"/>
  <c r="M40" i="29"/>
  <c r="N40" i="29"/>
  <c r="O40" i="29"/>
  <c r="P40" i="29"/>
  <c r="A41" i="29"/>
  <c r="B41" i="29"/>
  <c r="C41" i="29"/>
  <c r="D41" i="29"/>
  <c r="E41" i="29"/>
  <c r="F41" i="29"/>
  <c r="G41" i="29"/>
  <c r="H41" i="29"/>
  <c r="I41" i="29"/>
  <c r="J41" i="29"/>
  <c r="K41" i="29"/>
  <c r="L41" i="29"/>
  <c r="M41" i="29"/>
  <c r="N41" i="29"/>
  <c r="O41" i="29"/>
  <c r="P41" i="29"/>
  <c r="A42" i="29"/>
  <c r="B42" i="29"/>
  <c r="C42" i="29"/>
  <c r="D42" i="29"/>
  <c r="E42" i="29"/>
  <c r="F42" i="29"/>
  <c r="G42" i="29"/>
  <c r="H42" i="29"/>
  <c r="I42" i="29"/>
  <c r="J42" i="29"/>
  <c r="K42" i="29"/>
  <c r="L42" i="29"/>
  <c r="M42" i="29"/>
  <c r="N42" i="29"/>
  <c r="O42" i="29"/>
  <c r="P42" i="29"/>
  <c r="A43" i="29"/>
  <c r="B43" i="29"/>
  <c r="C43" i="29"/>
  <c r="D43" i="29"/>
  <c r="E43" i="29"/>
  <c r="F43" i="29"/>
  <c r="G43" i="29"/>
  <c r="H43" i="29"/>
  <c r="I43" i="29"/>
  <c r="J43" i="29"/>
  <c r="K43" i="29"/>
  <c r="L43" i="29"/>
  <c r="M43" i="29"/>
  <c r="N43" i="29"/>
  <c r="O43" i="29"/>
  <c r="P43" i="29"/>
  <c r="A44" i="29"/>
  <c r="B44" i="29"/>
  <c r="C44" i="29"/>
  <c r="D44" i="29"/>
  <c r="E44" i="29"/>
  <c r="F44" i="29"/>
  <c r="G44" i="29"/>
  <c r="H44" i="29"/>
  <c r="I44" i="29"/>
  <c r="J44" i="29"/>
  <c r="K44" i="29"/>
  <c r="L44" i="29"/>
  <c r="M44" i="29"/>
  <c r="N44" i="29"/>
  <c r="O44" i="29"/>
  <c r="P44" i="29"/>
  <c r="A45" i="29"/>
  <c r="B45" i="29"/>
  <c r="C45" i="29"/>
  <c r="D45" i="29"/>
  <c r="E45" i="29"/>
  <c r="F45" i="29"/>
  <c r="G45" i="29"/>
  <c r="H45" i="29"/>
  <c r="I45" i="29"/>
  <c r="J45" i="29"/>
  <c r="K45" i="29"/>
  <c r="L45" i="29"/>
  <c r="M45" i="29"/>
  <c r="N45" i="29"/>
  <c r="O45" i="29"/>
  <c r="P45" i="29"/>
  <c r="A46" i="29"/>
  <c r="B46" i="29"/>
  <c r="C46" i="29"/>
  <c r="D46" i="29"/>
  <c r="E46" i="29"/>
  <c r="F46" i="29"/>
  <c r="G46" i="29"/>
  <c r="H46" i="29"/>
  <c r="I46" i="29"/>
  <c r="J46" i="29"/>
  <c r="K46" i="29"/>
  <c r="L46" i="29"/>
  <c r="M46" i="29"/>
  <c r="N46" i="29"/>
  <c r="O46" i="29"/>
  <c r="P46" i="29"/>
  <c r="A47" i="29"/>
  <c r="B47" i="29"/>
  <c r="C47" i="29"/>
  <c r="D47" i="29"/>
  <c r="E47" i="29"/>
  <c r="F47" i="29"/>
  <c r="G47" i="29"/>
  <c r="H47" i="29"/>
  <c r="I47" i="29"/>
  <c r="J47" i="29"/>
  <c r="K47" i="29"/>
  <c r="L47" i="29"/>
  <c r="M47" i="29"/>
  <c r="N47" i="29"/>
  <c r="O47" i="29"/>
  <c r="P47" i="29"/>
  <c r="A48" i="29"/>
  <c r="B48" i="29"/>
  <c r="C48" i="29"/>
  <c r="D48" i="29"/>
  <c r="E48" i="29"/>
  <c r="F48" i="29"/>
  <c r="G48" i="29"/>
  <c r="H48" i="29"/>
  <c r="I48" i="29"/>
  <c r="J48" i="29"/>
  <c r="K48" i="29"/>
  <c r="L48" i="29"/>
  <c r="M48" i="29"/>
  <c r="N48" i="29"/>
  <c r="O48" i="29"/>
  <c r="P48" i="29"/>
  <c r="A49" i="29"/>
  <c r="B49" i="29"/>
  <c r="C49" i="29"/>
  <c r="D49" i="29"/>
  <c r="E49" i="29"/>
  <c r="F49" i="29"/>
  <c r="G49" i="29"/>
  <c r="H49" i="29"/>
  <c r="I49" i="29"/>
  <c r="J49" i="29"/>
  <c r="K49" i="29"/>
  <c r="L49" i="29"/>
  <c r="M49" i="29"/>
  <c r="N49" i="29"/>
  <c r="O49" i="29"/>
  <c r="P49" i="29"/>
  <c r="A50" i="29"/>
  <c r="B50" i="29"/>
  <c r="C50" i="29"/>
  <c r="D50" i="29"/>
  <c r="E50" i="29"/>
  <c r="F50" i="29"/>
  <c r="G50" i="29"/>
  <c r="H50" i="29"/>
  <c r="I50" i="29"/>
  <c r="J50" i="29"/>
  <c r="K50" i="29"/>
  <c r="L50" i="29"/>
  <c r="M50" i="29"/>
  <c r="N50" i="29"/>
  <c r="O50" i="29"/>
  <c r="P50" i="29"/>
  <c r="A51" i="29"/>
  <c r="B51" i="29"/>
  <c r="C51" i="29"/>
  <c r="D51" i="29"/>
  <c r="E51" i="29"/>
  <c r="F51" i="29"/>
  <c r="G51" i="29"/>
  <c r="H51" i="29"/>
  <c r="I51" i="29"/>
  <c r="J51" i="29"/>
  <c r="K51" i="29"/>
  <c r="L51" i="29"/>
  <c r="M51" i="29"/>
  <c r="N51" i="29"/>
  <c r="O51" i="29"/>
  <c r="P51" i="29"/>
  <c r="A52" i="29"/>
  <c r="B52" i="29"/>
  <c r="C52" i="29"/>
  <c r="D52" i="29"/>
  <c r="E52" i="29"/>
  <c r="F52" i="29"/>
  <c r="G52" i="29"/>
  <c r="H52" i="29"/>
  <c r="I52" i="29"/>
  <c r="J52" i="29"/>
  <c r="K52" i="29"/>
  <c r="L52" i="29"/>
  <c r="M52" i="29"/>
  <c r="N52" i="29"/>
  <c r="O52" i="29"/>
  <c r="P52" i="29"/>
  <c r="A53" i="29"/>
  <c r="B53" i="29"/>
  <c r="C53" i="29"/>
  <c r="D53" i="29"/>
  <c r="E53" i="29"/>
  <c r="F53" i="29"/>
  <c r="G53" i="29"/>
  <c r="H53" i="29"/>
  <c r="I53" i="29"/>
  <c r="J53" i="29"/>
  <c r="K53" i="29"/>
  <c r="L53" i="29"/>
  <c r="M53" i="29"/>
  <c r="N53" i="29"/>
  <c r="O53" i="29"/>
  <c r="P53" i="29"/>
  <c r="A54" i="29"/>
  <c r="B54" i="29"/>
  <c r="C54" i="29"/>
  <c r="D54" i="29"/>
  <c r="E54" i="29"/>
  <c r="F54" i="29"/>
  <c r="G54" i="29"/>
  <c r="H54" i="29"/>
  <c r="I54" i="29"/>
  <c r="J54" i="29"/>
  <c r="K54" i="29"/>
  <c r="L54" i="29"/>
  <c r="M54" i="29"/>
  <c r="N54" i="29"/>
  <c r="O54" i="29"/>
  <c r="P54" i="29"/>
  <c r="A55" i="29"/>
  <c r="B55" i="29"/>
  <c r="C55" i="29"/>
  <c r="D55" i="29"/>
  <c r="E55" i="29"/>
  <c r="F55" i="29"/>
  <c r="G55" i="29"/>
  <c r="H55" i="29"/>
  <c r="I55" i="29"/>
  <c r="J55" i="29"/>
  <c r="K55" i="29"/>
  <c r="L55" i="29"/>
  <c r="M55" i="29"/>
  <c r="N55" i="29"/>
  <c r="O55" i="29"/>
  <c r="P55" i="29"/>
  <c r="A56" i="29"/>
  <c r="B56" i="29"/>
  <c r="C56" i="29"/>
  <c r="D56" i="29"/>
  <c r="E56" i="29"/>
  <c r="F56" i="29"/>
  <c r="G56" i="29"/>
  <c r="H56" i="29"/>
  <c r="I56" i="29"/>
  <c r="J56" i="29"/>
  <c r="K56" i="29"/>
  <c r="L56" i="29"/>
  <c r="M56" i="29"/>
  <c r="N56" i="29"/>
  <c r="O56" i="29"/>
  <c r="P56" i="29"/>
  <c r="A57" i="29"/>
  <c r="B57" i="29"/>
  <c r="C57" i="29"/>
  <c r="D57" i="29"/>
  <c r="E57" i="29"/>
  <c r="F57" i="29"/>
  <c r="G57" i="29"/>
  <c r="H57" i="29"/>
  <c r="I57" i="29"/>
  <c r="J57" i="29"/>
  <c r="K57" i="29"/>
  <c r="L57" i="29"/>
  <c r="M57" i="29"/>
  <c r="N57" i="29"/>
  <c r="O57" i="29"/>
  <c r="P57" i="29"/>
  <c r="A58" i="29"/>
  <c r="B58" i="29"/>
  <c r="C58" i="29"/>
  <c r="D58" i="29"/>
  <c r="E58" i="29"/>
  <c r="F58" i="29"/>
  <c r="G58" i="29"/>
  <c r="H58" i="29"/>
  <c r="I58" i="29"/>
  <c r="J58" i="29"/>
  <c r="K58" i="29"/>
  <c r="L58" i="29"/>
  <c r="M58" i="29"/>
  <c r="N58" i="29"/>
  <c r="O58" i="29"/>
  <c r="P58" i="29"/>
  <c r="A59" i="29"/>
  <c r="B59" i="29"/>
  <c r="C59" i="29"/>
  <c r="D59" i="29"/>
  <c r="E59" i="29"/>
  <c r="F59" i="29"/>
  <c r="G59" i="29"/>
  <c r="H59" i="29"/>
  <c r="I59" i="29"/>
  <c r="J59" i="29"/>
  <c r="K59" i="29"/>
  <c r="L59" i="29"/>
  <c r="M59" i="29"/>
  <c r="N59" i="29"/>
  <c r="O59" i="29"/>
  <c r="P59" i="29"/>
  <c r="A60" i="29"/>
  <c r="B60" i="29"/>
  <c r="C60" i="29"/>
  <c r="D60" i="29"/>
  <c r="E60" i="29"/>
  <c r="F60" i="29"/>
  <c r="G60" i="29"/>
  <c r="H60" i="29"/>
  <c r="I60" i="29"/>
  <c r="J60" i="29"/>
  <c r="K60" i="29"/>
  <c r="L60" i="29"/>
  <c r="M60" i="29"/>
  <c r="N60" i="29"/>
  <c r="O60" i="29"/>
  <c r="P60" i="29"/>
  <c r="A61" i="29"/>
  <c r="B61" i="29"/>
  <c r="C61" i="29"/>
  <c r="D61" i="29"/>
  <c r="E61" i="29"/>
  <c r="F61" i="29"/>
  <c r="G61" i="29"/>
  <c r="H61" i="29"/>
  <c r="I61" i="29"/>
  <c r="J61" i="29"/>
  <c r="K61" i="29"/>
  <c r="L61" i="29"/>
  <c r="M61" i="29"/>
  <c r="N61" i="29"/>
  <c r="O61" i="29"/>
  <c r="P61" i="29"/>
  <c r="A62" i="29"/>
  <c r="B62" i="29"/>
  <c r="C62" i="29"/>
  <c r="D62" i="29"/>
  <c r="E62" i="29"/>
  <c r="F62" i="29"/>
  <c r="G62" i="29"/>
  <c r="H62" i="29"/>
  <c r="I62" i="29"/>
  <c r="J62" i="29"/>
  <c r="K62" i="29"/>
  <c r="L62" i="29"/>
  <c r="M62" i="29"/>
  <c r="N62" i="29"/>
  <c r="O62" i="29"/>
  <c r="P62" i="29"/>
  <c r="A63" i="29"/>
  <c r="B63" i="29"/>
  <c r="C63" i="29"/>
  <c r="D63" i="29"/>
  <c r="E63" i="29"/>
  <c r="F63" i="29"/>
  <c r="G63" i="29"/>
  <c r="H63" i="29"/>
  <c r="I63" i="29"/>
  <c r="J63" i="29"/>
  <c r="K63" i="29"/>
  <c r="L63" i="29"/>
  <c r="M63" i="29"/>
  <c r="N63" i="29"/>
  <c r="O63" i="29"/>
  <c r="P63" i="29"/>
  <c r="A64" i="29"/>
  <c r="B64" i="29"/>
  <c r="C64" i="29"/>
  <c r="D64" i="29"/>
  <c r="E64" i="29"/>
  <c r="F64" i="29"/>
  <c r="G64" i="29"/>
  <c r="H64" i="29"/>
  <c r="I64" i="29"/>
  <c r="J64" i="29"/>
  <c r="K64" i="29"/>
  <c r="L64" i="29"/>
  <c r="M64" i="29"/>
  <c r="N64" i="29"/>
  <c r="O64" i="29"/>
  <c r="P64" i="29"/>
  <c r="A65" i="29"/>
  <c r="B65" i="29"/>
  <c r="C65" i="29"/>
  <c r="D65" i="29"/>
  <c r="E65" i="29"/>
  <c r="F65" i="29"/>
  <c r="G65" i="29"/>
  <c r="H65" i="29"/>
  <c r="I65" i="29"/>
  <c r="J65" i="29"/>
  <c r="K65" i="29"/>
  <c r="L65" i="29"/>
  <c r="M65" i="29"/>
  <c r="N65" i="29"/>
  <c r="O65" i="29"/>
  <c r="P65" i="29"/>
  <c r="A66" i="29"/>
  <c r="B66" i="29"/>
  <c r="C66" i="29"/>
  <c r="D66" i="29"/>
  <c r="E66" i="29"/>
  <c r="F66" i="29"/>
  <c r="G66" i="29"/>
  <c r="H66" i="29"/>
  <c r="I66" i="29"/>
  <c r="J66" i="29"/>
  <c r="K66" i="29"/>
  <c r="L66" i="29"/>
  <c r="M66" i="29"/>
  <c r="N66" i="29"/>
  <c r="O66" i="29"/>
  <c r="P66" i="29"/>
  <c r="A67" i="29"/>
  <c r="B67" i="29"/>
  <c r="C67" i="29"/>
  <c r="D67" i="29"/>
  <c r="E67" i="29"/>
  <c r="F67" i="29"/>
  <c r="G67" i="29"/>
  <c r="H67" i="29"/>
  <c r="I67" i="29"/>
  <c r="J67" i="29"/>
  <c r="K67" i="29"/>
  <c r="L67" i="29"/>
  <c r="M67" i="29"/>
  <c r="N67" i="29"/>
  <c r="O67" i="29"/>
  <c r="P67" i="29"/>
  <c r="A68" i="29"/>
  <c r="B68" i="29"/>
  <c r="C68" i="29"/>
  <c r="D68" i="29"/>
  <c r="E68" i="29"/>
  <c r="F68" i="29"/>
  <c r="G68" i="29"/>
  <c r="H68" i="29"/>
  <c r="I68" i="29"/>
  <c r="J68" i="29"/>
  <c r="K68" i="29"/>
  <c r="L68" i="29"/>
  <c r="M68" i="29"/>
  <c r="N68" i="29"/>
  <c r="O68" i="29"/>
  <c r="P68" i="29"/>
  <c r="A69" i="29"/>
  <c r="B69" i="29"/>
  <c r="C69" i="29"/>
  <c r="D69" i="29"/>
  <c r="E69" i="29"/>
  <c r="F69" i="29"/>
  <c r="G69" i="29"/>
  <c r="H69" i="29"/>
  <c r="I69" i="29"/>
  <c r="J69" i="29"/>
  <c r="K69" i="29"/>
  <c r="L69" i="29"/>
  <c r="M69" i="29"/>
  <c r="N69" i="29"/>
  <c r="O69" i="29"/>
  <c r="P69" i="29"/>
  <c r="A70" i="29"/>
  <c r="B70" i="29"/>
  <c r="C70" i="29"/>
  <c r="D70" i="29"/>
  <c r="E70" i="29"/>
  <c r="F70" i="29"/>
  <c r="G70" i="29"/>
  <c r="H70" i="29"/>
  <c r="I70" i="29"/>
  <c r="J70" i="29"/>
  <c r="K70" i="29"/>
  <c r="L70" i="29"/>
  <c r="M70" i="29"/>
  <c r="N70" i="29"/>
  <c r="O70" i="29"/>
  <c r="P70" i="29"/>
  <c r="A71" i="29"/>
  <c r="B71" i="29"/>
  <c r="C71" i="29"/>
  <c r="D71" i="29"/>
  <c r="E71" i="29"/>
  <c r="F71" i="29"/>
  <c r="G71" i="29"/>
  <c r="H71" i="29"/>
  <c r="I71" i="29"/>
  <c r="J71" i="29"/>
  <c r="K71" i="29"/>
  <c r="L71" i="29"/>
  <c r="M71" i="29"/>
  <c r="N71" i="29"/>
  <c r="O71" i="29"/>
  <c r="P71" i="29"/>
  <c r="A72" i="29"/>
  <c r="B72" i="29"/>
  <c r="C72" i="29"/>
  <c r="D72" i="29"/>
  <c r="E72" i="29"/>
  <c r="F72" i="29"/>
  <c r="G72" i="29"/>
  <c r="H72" i="29"/>
  <c r="I72" i="29"/>
  <c r="J72" i="29"/>
  <c r="K72" i="29"/>
  <c r="L72" i="29"/>
  <c r="M72" i="29"/>
  <c r="N72" i="29"/>
  <c r="O72" i="29"/>
  <c r="P72" i="29"/>
  <c r="A73" i="29"/>
  <c r="B73" i="29"/>
  <c r="C73" i="29"/>
  <c r="D73" i="29"/>
  <c r="E73" i="29"/>
  <c r="F73" i="29"/>
  <c r="G73" i="29"/>
  <c r="H73" i="29"/>
  <c r="I73" i="29"/>
  <c r="J73" i="29"/>
  <c r="K73" i="29"/>
  <c r="L73" i="29"/>
  <c r="M73" i="29"/>
  <c r="N73" i="29"/>
  <c r="O73" i="29"/>
  <c r="P73" i="29"/>
  <c r="A74" i="29"/>
  <c r="B74" i="29"/>
  <c r="C74" i="29"/>
  <c r="D74" i="29"/>
  <c r="E74" i="29"/>
  <c r="F74" i="29"/>
  <c r="G74" i="29"/>
  <c r="H74" i="29"/>
  <c r="I74" i="29"/>
  <c r="J74" i="29"/>
  <c r="K74" i="29"/>
  <c r="L74" i="29"/>
  <c r="M74" i="29"/>
  <c r="N74" i="29"/>
  <c r="O74" i="29"/>
  <c r="P74" i="29"/>
  <c r="A75" i="29"/>
  <c r="B75" i="29"/>
  <c r="C75" i="29"/>
  <c r="D75" i="29"/>
  <c r="E75" i="29"/>
  <c r="F75" i="29"/>
  <c r="G75" i="29"/>
  <c r="H75" i="29"/>
  <c r="I75" i="29"/>
  <c r="J75" i="29"/>
  <c r="K75" i="29"/>
  <c r="L75" i="29"/>
  <c r="M75" i="29"/>
  <c r="N75" i="29"/>
  <c r="O75" i="29"/>
  <c r="P75" i="29"/>
  <c r="A76" i="29"/>
  <c r="B76" i="29"/>
  <c r="C76" i="29"/>
  <c r="D76" i="29"/>
  <c r="E76" i="29"/>
  <c r="F76" i="29"/>
  <c r="G76" i="29"/>
  <c r="H76" i="29"/>
  <c r="I76" i="29"/>
  <c r="J76" i="29"/>
  <c r="K76" i="29"/>
  <c r="L76" i="29"/>
  <c r="M76" i="29"/>
  <c r="N76" i="29"/>
  <c r="O76" i="29"/>
  <c r="P76" i="29"/>
  <c r="A77" i="29"/>
  <c r="B77" i="29"/>
  <c r="C77" i="29"/>
  <c r="D77" i="29"/>
  <c r="E77" i="29"/>
  <c r="F77" i="29"/>
  <c r="G77" i="29"/>
  <c r="H77" i="29"/>
  <c r="I77" i="29"/>
  <c r="J77" i="29"/>
  <c r="K77" i="29"/>
  <c r="L77" i="29"/>
  <c r="M77" i="29"/>
  <c r="N77" i="29"/>
  <c r="O77" i="29"/>
  <c r="P77" i="29"/>
  <c r="A78" i="29"/>
  <c r="B78" i="29"/>
  <c r="C78" i="29"/>
  <c r="D78" i="29"/>
  <c r="E78" i="29"/>
  <c r="F78" i="29"/>
  <c r="G78" i="29"/>
  <c r="H78" i="29"/>
  <c r="I78" i="29"/>
  <c r="J78" i="29"/>
  <c r="K78" i="29"/>
  <c r="L78" i="29"/>
  <c r="M78" i="29"/>
  <c r="N78" i="29"/>
  <c r="O78" i="29"/>
  <c r="P78" i="29"/>
  <c r="A79" i="29"/>
  <c r="B79" i="29"/>
  <c r="C79" i="29"/>
  <c r="D79" i="29"/>
  <c r="E79" i="29"/>
  <c r="F79" i="29"/>
  <c r="G79" i="29"/>
  <c r="H79" i="29"/>
  <c r="I79" i="29"/>
  <c r="J79" i="29"/>
  <c r="K79" i="29"/>
  <c r="L79" i="29"/>
  <c r="M79" i="29"/>
  <c r="N79" i="29"/>
  <c r="O79" i="29"/>
  <c r="P79" i="29"/>
  <c r="A80" i="29"/>
  <c r="B80" i="29"/>
  <c r="C80" i="29"/>
  <c r="D80" i="29"/>
  <c r="E80" i="29"/>
  <c r="F80" i="29"/>
  <c r="G80" i="29"/>
  <c r="H80" i="29"/>
  <c r="I80" i="29"/>
  <c r="J80" i="29"/>
  <c r="K80" i="29"/>
  <c r="L80" i="29"/>
  <c r="M80" i="29"/>
  <c r="N80" i="29"/>
  <c r="O80" i="29"/>
  <c r="P80" i="29"/>
  <c r="A81" i="29"/>
  <c r="B81" i="29"/>
  <c r="C81" i="29"/>
  <c r="D81" i="29"/>
  <c r="E81" i="29"/>
  <c r="F81" i="29"/>
  <c r="G81" i="29"/>
  <c r="H81" i="29"/>
  <c r="I81" i="29"/>
  <c r="J81" i="29"/>
  <c r="K81" i="29"/>
  <c r="L81" i="29"/>
  <c r="M81" i="29"/>
  <c r="N81" i="29"/>
  <c r="O81" i="29"/>
  <c r="P81" i="29"/>
  <c r="A82" i="29"/>
  <c r="B82" i="29"/>
  <c r="C82" i="29"/>
  <c r="D82" i="29"/>
  <c r="E82" i="29"/>
  <c r="F82" i="29"/>
  <c r="G82" i="29"/>
  <c r="H82" i="29"/>
  <c r="I82" i="29"/>
  <c r="J82" i="29"/>
  <c r="K82" i="29"/>
  <c r="L82" i="29"/>
  <c r="M82" i="29"/>
  <c r="N82" i="29"/>
  <c r="O82" i="29"/>
  <c r="P82" i="29"/>
  <c r="A83" i="29"/>
  <c r="B83" i="29"/>
  <c r="C83" i="29"/>
  <c r="D83" i="29"/>
  <c r="E83" i="29"/>
  <c r="F83" i="29"/>
  <c r="G83" i="29"/>
  <c r="H83" i="29"/>
  <c r="I83" i="29"/>
  <c r="J83" i="29"/>
  <c r="K83" i="29"/>
  <c r="L83" i="29"/>
  <c r="M83" i="29"/>
  <c r="N83" i="29"/>
  <c r="O83" i="29"/>
  <c r="P83" i="29"/>
  <c r="A84" i="29"/>
  <c r="B84" i="29"/>
  <c r="C84" i="29"/>
  <c r="D84" i="29"/>
  <c r="E84" i="29"/>
  <c r="F84" i="29"/>
  <c r="G84" i="29"/>
  <c r="H84" i="29"/>
  <c r="I84" i="29"/>
  <c r="J84" i="29"/>
  <c r="K84" i="29"/>
  <c r="L84" i="29"/>
  <c r="M84" i="29"/>
  <c r="N84" i="29"/>
  <c r="O84" i="29"/>
  <c r="P84" i="29"/>
  <c r="A85" i="29"/>
  <c r="B85" i="29"/>
  <c r="C85" i="29"/>
  <c r="D85" i="29"/>
  <c r="E85" i="29"/>
  <c r="F85" i="29"/>
  <c r="G85" i="29"/>
  <c r="H85" i="29"/>
  <c r="I85" i="29"/>
  <c r="J85" i="29"/>
  <c r="K85" i="29"/>
  <c r="L85" i="29"/>
  <c r="M85" i="29"/>
  <c r="N85" i="29"/>
  <c r="O85" i="29"/>
  <c r="P85" i="29"/>
  <c r="A86" i="29"/>
  <c r="B86" i="29"/>
  <c r="C86" i="29"/>
  <c r="D86" i="29"/>
  <c r="E86" i="29"/>
  <c r="F86" i="29"/>
  <c r="G86" i="29"/>
  <c r="H86" i="29"/>
  <c r="I86" i="29"/>
  <c r="J86" i="29"/>
  <c r="K86" i="29"/>
  <c r="L86" i="29"/>
  <c r="M86" i="29"/>
  <c r="N86" i="29"/>
  <c r="O86" i="29"/>
  <c r="P86" i="29"/>
  <c r="A87" i="29"/>
  <c r="B87" i="29"/>
  <c r="C87" i="29"/>
  <c r="D87" i="29"/>
  <c r="E87" i="29"/>
  <c r="F87" i="29"/>
  <c r="G87" i="29"/>
  <c r="H87" i="29"/>
  <c r="I87" i="29"/>
  <c r="J87" i="29"/>
  <c r="K87" i="29"/>
  <c r="L87" i="29"/>
  <c r="M87" i="29"/>
  <c r="N87" i="29"/>
  <c r="O87" i="29"/>
  <c r="P87" i="29"/>
  <c r="A88" i="29"/>
  <c r="B88" i="29"/>
  <c r="C88" i="29"/>
  <c r="D88" i="29"/>
  <c r="E88" i="29"/>
  <c r="F88" i="29"/>
  <c r="G88" i="29"/>
  <c r="H88" i="29"/>
  <c r="I88" i="29"/>
  <c r="J88" i="29"/>
  <c r="K88" i="29"/>
  <c r="L88" i="29"/>
  <c r="M88" i="29"/>
  <c r="N88" i="29"/>
  <c r="O88" i="29"/>
  <c r="P88" i="29"/>
  <c r="A89" i="29"/>
  <c r="B89" i="29"/>
  <c r="C89" i="29"/>
  <c r="D89" i="29"/>
  <c r="E89" i="29"/>
  <c r="F89" i="29"/>
  <c r="G89" i="29"/>
  <c r="H89" i="29"/>
  <c r="I89" i="29"/>
  <c r="J89" i="29"/>
  <c r="K89" i="29"/>
  <c r="L89" i="29"/>
  <c r="M89" i="29"/>
  <c r="N89" i="29"/>
  <c r="O89" i="29"/>
  <c r="P89" i="29"/>
  <c r="A90" i="29"/>
  <c r="B90" i="29"/>
  <c r="C90" i="29"/>
  <c r="D90" i="29"/>
  <c r="E90" i="29"/>
  <c r="F90" i="29"/>
  <c r="G90" i="29"/>
  <c r="H90" i="29"/>
  <c r="I90" i="29"/>
  <c r="J90" i="29"/>
  <c r="K90" i="29"/>
  <c r="L90" i="29"/>
  <c r="M90" i="29"/>
  <c r="N90" i="29"/>
  <c r="O90" i="29"/>
  <c r="P90" i="29"/>
  <c r="A91" i="29"/>
  <c r="B91" i="29"/>
  <c r="C91" i="29"/>
  <c r="D91" i="29"/>
  <c r="E91" i="29"/>
  <c r="F91" i="29"/>
  <c r="G91" i="29"/>
  <c r="H91" i="29"/>
  <c r="I91" i="29"/>
  <c r="J91" i="29"/>
  <c r="K91" i="29"/>
  <c r="L91" i="29"/>
  <c r="M91" i="29"/>
  <c r="N91" i="29"/>
  <c r="O91" i="29"/>
  <c r="P91" i="29"/>
  <c r="A92" i="29"/>
  <c r="B92" i="29"/>
  <c r="C92" i="29"/>
  <c r="D92" i="29"/>
  <c r="E92" i="29"/>
  <c r="F92" i="29"/>
  <c r="G92" i="29"/>
  <c r="H92" i="29"/>
  <c r="I92" i="29"/>
  <c r="J92" i="29"/>
  <c r="K92" i="29"/>
  <c r="L92" i="29"/>
  <c r="M92" i="29"/>
  <c r="N92" i="29"/>
  <c r="O92" i="29"/>
  <c r="P92" i="29"/>
  <c r="A93" i="29"/>
  <c r="B93" i="29"/>
  <c r="C93" i="29"/>
  <c r="D93" i="29"/>
  <c r="E93" i="29"/>
  <c r="F93" i="29"/>
  <c r="G93" i="29"/>
  <c r="H93" i="29"/>
  <c r="I93" i="29"/>
  <c r="J93" i="29"/>
  <c r="K93" i="29"/>
  <c r="L93" i="29"/>
  <c r="M93" i="29"/>
  <c r="N93" i="29"/>
  <c r="O93" i="29"/>
  <c r="P93" i="29"/>
  <c r="A94" i="29"/>
  <c r="B94" i="29"/>
  <c r="C94" i="29"/>
  <c r="D94" i="29"/>
  <c r="E94" i="29"/>
  <c r="F94" i="29"/>
  <c r="G94" i="29"/>
  <c r="H94" i="29"/>
  <c r="I94" i="29"/>
  <c r="J94" i="29"/>
  <c r="K94" i="29"/>
  <c r="L94" i="29"/>
  <c r="M94" i="29"/>
  <c r="N94" i="29"/>
  <c r="O94" i="29"/>
  <c r="P94" i="29"/>
  <c r="A95" i="29"/>
  <c r="B95" i="29"/>
  <c r="C95" i="29"/>
  <c r="D95" i="29"/>
  <c r="E95" i="29"/>
  <c r="F95" i="29"/>
  <c r="G95" i="29"/>
  <c r="H95" i="29"/>
  <c r="I95" i="29"/>
  <c r="J95" i="29"/>
  <c r="K95" i="29"/>
  <c r="L95" i="29"/>
  <c r="M95" i="29"/>
  <c r="N95" i="29"/>
  <c r="O95" i="29"/>
  <c r="P95" i="29"/>
  <c r="A96" i="29"/>
  <c r="B96" i="29"/>
  <c r="C96" i="29"/>
  <c r="D96" i="29"/>
  <c r="E96" i="29"/>
  <c r="F96" i="29"/>
  <c r="G96" i="29"/>
  <c r="H96" i="29"/>
  <c r="I96" i="29"/>
  <c r="J96" i="29"/>
  <c r="K96" i="29"/>
  <c r="L96" i="29"/>
  <c r="M96" i="29"/>
  <c r="N96" i="29"/>
  <c r="O96" i="29"/>
  <c r="P96" i="29"/>
  <c r="A97" i="29"/>
  <c r="B97" i="29"/>
  <c r="C97" i="29"/>
  <c r="D97" i="29"/>
  <c r="E97" i="29"/>
  <c r="F97" i="29"/>
  <c r="G97" i="29"/>
  <c r="H97" i="29"/>
  <c r="I97" i="29"/>
  <c r="J97" i="29"/>
  <c r="K97" i="29"/>
  <c r="L97" i="29"/>
  <c r="M97" i="29"/>
  <c r="N97" i="29"/>
  <c r="O97" i="29"/>
  <c r="P97" i="29"/>
  <c r="A98" i="29"/>
  <c r="B98" i="29"/>
  <c r="C98" i="29"/>
  <c r="D98" i="29"/>
  <c r="E98" i="29"/>
  <c r="F98" i="29"/>
  <c r="G98" i="29"/>
  <c r="H98" i="29"/>
  <c r="I98" i="29"/>
  <c r="J98" i="29"/>
  <c r="K98" i="29"/>
  <c r="L98" i="29"/>
  <c r="M98" i="29"/>
  <c r="N98" i="29"/>
  <c r="O98" i="29"/>
  <c r="P98" i="29"/>
  <c r="A99" i="29"/>
  <c r="B99" i="29"/>
  <c r="C99" i="29"/>
  <c r="D99" i="29"/>
  <c r="E99" i="29"/>
  <c r="F99" i="29"/>
  <c r="G99" i="29"/>
  <c r="H99" i="29"/>
  <c r="I99" i="29"/>
  <c r="J99" i="29"/>
  <c r="K99" i="29"/>
  <c r="L99" i="29"/>
  <c r="M99" i="29"/>
  <c r="N99" i="29"/>
  <c r="O99" i="29"/>
  <c r="P99" i="29"/>
  <c r="A100" i="29"/>
  <c r="B100" i="29"/>
  <c r="C100" i="29"/>
  <c r="D100" i="29"/>
  <c r="E100" i="29"/>
  <c r="F100" i="29"/>
  <c r="G100" i="29"/>
  <c r="H100" i="29"/>
  <c r="I100" i="29"/>
  <c r="J100" i="29"/>
  <c r="K100" i="29"/>
  <c r="L100" i="29"/>
  <c r="M100" i="29"/>
  <c r="N100" i="29"/>
  <c r="O100" i="29"/>
  <c r="P100" i="29"/>
  <c r="A101" i="29"/>
  <c r="B101" i="29"/>
  <c r="C101" i="29"/>
  <c r="D101" i="29"/>
  <c r="E101" i="29"/>
  <c r="F101" i="29"/>
  <c r="G101" i="29"/>
  <c r="H101" i="29"/>
  <c r="I101" i="29"/>
  <c r="J101" i="29"/>
  <c r="K101" i="29"/>
  <c r="L101" i="29"/>
  <c r="M101" i="29"/>
  <c r="N101" i="29"/>
  <c r="O101" i="29"/>
  <c r="P101" i="29"/>
  <c r="A102" i="29"/>
  <c r="B102" i="29"/>
  <c r="C102" i="29"/>
  <c r="D102" i="29"/>
  <c r="E102" i="29"/>
  <c r="F102" i="29"/>
  <c r="G102" i="29"/>
  <c r="H102" i="29"/>
  <c r="I102" i="29"/>
  <c r="J102" i="29"/>
  <c r="K102" i="29"/>
  <c r="L102" i="29"/>
  <c r="M102" i="29"/>
  <c r="N102" i="29"/>
  <c r="O102" i="29"/>
  <c r="P102" i="29"/>
  <c r="A103" i="29"/>
  <c r="B103" i="29"/>
  <c r="C103" i="29"/>
  <c r="D103" i="29"/>
  <c r="E103" i="29"/>
  <c r="F103" i="29"/>
  <c r="G103" i="29"/>
  <c r="H103" i="29"/>
  <c r="I103" i="29"/>
  <c r="J103" i="29"/>
  <c r="K103" i="29"/>
  <c r="L103" i="29"/>
  <c r="M103" i="29"/>
  <c r="N103" i="29"/>
  <c r="O103" i="29"/>
  <c r="P103" i="29"/>
  <c r="A104" i="29"/>
  <c r="B104" i="29"/>
  <c r="C104" i="29"/>
  <c r="D104" i="29"/>
  <c r="E104" i="29"/>
  <c r="F104" i="29"/>
  <c r="G104" i="29"/>
  <c r="H104" i="29"/>
  <c r="I104" i="29"/>
  <c r="J104" i="29"/>
  <c r="K104" i="29"/>
  <c r="L104" i="29"/>
  <c r="M104" i="29"/>
  <c r="N104" i="29"/>
  <c r="O104" i="29"/>
  <c r="P104" i="29"/>
  <c r="A105" i="29"/>
  <c r="B105" i="29"/>
  <c r="C105" i="29"/>
  <c r="D105" i="29"/>
  <c r="E105" i="29"/>
  <c r="F105" i="29"/>
  <c r="G105" i="29"/>
  <c r="H105" i="29"/>
  <c r="I105" i="29"/>
  <c r="J105" i="29"/>
  <c r="K105" i="29"/>
  <c r="L105" i="29"/>
  <c r="M105" i="29"/>
  <c r="N105" i="29"/>
  <c r="O105" i="29"/>
  <c r="P105" i="29"/>
  <c r="A106" i="29"/>
  <c r="B106" i="29"/>
  <c r="C106" i="29"/>
  <c r="D106" i="29"/>
  <c r="E106" i="29"/>
  <c r="F106" i="29"/>
  <c r="G106" i="29"/>
  <c r="H106" i="29"/>
  <c r="I106" i="29"/>
  <c r="J106" i="29"/>
  <c r="K106" i="29"/>
  <c r="L106" i="29"/>
  <c r="M106" i="29"/>
  <c r="N106" i="29"/>
  <c r="O106" i="29"/>
  <c r="P106" i="29"/>
  <c r="A107" i="29"/>
  <c r="B107" i="29"/>
  <c r="C107" i="29"/>
  <c r="D107" i="29"/>
  <c r="E107" i="29"/>
  <c r="F107" i="29"/>
  <c r="G107" i="29"/>
  <c r="H107" i="29"/>
  <c r="I107" i="29"/>
  <c r="J107" i="29"/>
  <c r="K107" i="29"/>
  <c r="L107" i="29"/>
  <c r="M107" i="29"/>
  <c r="N107" i="29"/>
  <c r="O107" i="29"/>
  <c r="P107" i="29"/>
  <c r="A108" i="29"/>
  <c r="B108" i="29"/>
  <c r="C108" i="29"/>
  <c r="D108" i="29"/>
  <c r="E108" i="29"/>
  <c r="F108" i="29"/>
  <c r="G108" i="29"/>
  <c r="H108" i="29"/>
  <c r="I108" i="29"/>
  <c r="J108" i="29"/>
  <c r="K108" i="29"/>
  <c r="L108" i="29"/>
  <c r="M108" i="29"/>
  <c r="N108" i="29"/>
  <c r="O108" i="29"/>
  <c r="P108" i="29"/>
  <c r="A109" i="29"/>
  <c r="B109" i="29"/>
  <c r="C109" i="29"/>
  <c r="D109" i="29"/>
  <c r="E109" i="29"/>
  <c r="F109" i="29"/>
  <c r="G109" i="29"/>
  <c r="H109" i="29"/>
  <c r="I109" i="29"/>
  <c r="J109" i="29"/>
  <c r="K109" i="29"/>
  <c r="L109" i="29"/>
  <c r="M109" i="29"/>
  <c r="N109" i="29"/>
  <c r="O109" i="29"/>
  <c r="P109" i="29"/>
  <c r="A110" i="29"/>
  <c r="B110" i="29"/>
  <c r="C110" i="29"/>
  <c r="D110" i="29"/>
  <c r="E110" i="29"/>
  <c r="F110" i="29"/>
  <c r="G110" i="29"/>
  <c r="H110" i="29"/>
  <c r="I110" i="29"/>
  <c r="J110" i="29"/>
  <c r="K110" i="29"/>
  <c r="L110" i="29"/>
  <c r="M110" i="29"/>
  <c r="N110" i="29"/>
  <c r="O110" i="29"/>
  <c r="P110" i="29"/>
  <c r="A111" i="29"/>
  <c r="B111" i="29"/>
  <c r="C111" i="29"/>
  <c r="D111" i="29"/>
  <c r="E111" i="29"/>
  <c r="F111" i="29"/>
  <c r="G111" i="29"/>
  <c r="H111" i="29"/>
  <c r="I111" i="29"/>
  <c r="J111" i="29"/>
  <c r="K111" i="29"/>
  <c r="L111" i="29"/>
  <c r="M111" i="29"/>
  <c r="N111" i="29"/>
  <c r="O111" i="29"/>
  <c r="P111" i="29"/>
  <c r="A112" i="29"/>
  <c r="B112" i="29"/>
  <c r="C112" i="29"/>
  <c r="D112" i="29"/>
  <c r="E112" i="29"/>
  <c r="F112" i="29"/>
  <c r="G112" i="29"/>
  <c r="H112" i="29"/>
  <c r="I112" i="29"/>
  <c r="J112" i="29"/>
  <c r="K112" i="29"/>
  <c r="L112" i="29"/>
  <c r="M112" i="29"/>
  <c r="N112" i="29"/>
  <c r="O112" i="29"/>
  <c r="P112" i="29"/>
  <c r="A113" i="29"/>
  <c r="B113" i="29"/>
  <c r="C113" i="29"/>
  <c r="D113" i="29"/>
  <c r="E113" i="29"/>
  <c r="F113" i="29"/>
  <c r="G113" i="29"/>
  <c r="H113" i="29"/>
  <c r="I113" i="29"/>
  <c r="J113" i="29"/>
  <c r="K113" i="29"/>
  <c r="L113" i="29"/>
  <c r="M113" i="29"/>
  <c r="N113" i="29"/>
  <c r="O113" i="29"/>
  <c r="P113" i="29"/>
  <c r="A114" i="29"/>
  <c r="B114" i="29"/>
  <c r="C114" i="29"/>
  <c r="D114" i="29"/>
  <c r="E114" i="29"/>
  <c r="F114" i="29"/>
  <c r="G114" i="29"/>
  <c r="H114" i="29"/>
  <c r="I114" i="29"/>
  <c r="J114" i="29"/>
  <c r="K114" i="29"/>
  <c r="L114" i="29"/>
  <c r="M114" i="29"/>
  <c r="N114" i="29"/>
  <c r="O114" i="29"/>
  <c r="P114" i="29"/>
  <c r="A115" i="29"/>
  <c r="B115" i="29"/>
  <c r="C115" i="29"/>
  <c r="D115" i="29"/>
  <c r="E115" i="29"/>
  <c r="F115" i="29"/>
  <c r="G115" i="29"/>
  <c r="H115" i="29"/>
  <c r="I115" i="29"/>
  <c r="J115" i="29"/>
  <c r="K115" i="29"/>
  <c r="L115" i="29"/>
  <c r="M115" i="29"/>
  <c r="N115" i="29"/>
  <c r="O115" i="29"/>
  <c r="P115" i="29"/>
  <c r="A116" i="29"/>
  <c r="B116" i="29"/>
  <c r="C116" i="29"/>
  <c r="D116" i="29"/>
  <c r="E116" i="29"/>
  <c r="F116" i="29"/>
  <c r="G116" i="29"/>
  <c r="H116" i="29"/>
  <c r="I116" i="29"/>
  <c r="J116" i="29"/>
  <c r="K116" i="29"/>
  <c r="L116" i="29"/>
  <c r="M116" i="29"/>
  <c r="N116" i="29"/>
  <c r="O116" i="29"/>
  <c r="P116" i="29"/>
  <c r="A117" i="29"/>
  <c r="B117" i="29"/>
  <c r="C117" i="29"/>
  <c r="D117" i="29"/>
  <c r="E117" i="29"/>
  <c r="F117" i="29"/>
  <c r="G117" i="29"/>
  <c r="H117" i="29"/>
  <c r="I117" i="29"/>
  <c r="J117" i="29"/>
  <c r="K117" i="29"/>
  <c r="L117" i="29"/>
  <c r="M117" i="29"/>
  <c r="N117" i="29"/>
  <c r="O117" i="29"/>
  <c r="P117" i="29"/>
  <c r="A118" i="29"/>
  <c r="B118" i="29"/>
  <c r="C118" i="29"/>
  <c r="D118" i="29"/>
  <c r="E118" i="29"/>
  <c r="F118" i="29"/>
  <c r="G118" i="29"/>
  <c r="H118" i="29"/>
  <c r="I118" i="29"/>
  <c r="J118" i="29"/>
  <c r="K118" i="29"/>
  <c r="L118" i="29"/>
  <c r="M118" i="29"/>
  <c r="N118" i="29"/>
  <c r="O118" i="29"/>
  <c r="P118" i="29"/>
  <c r="A119" i="29"/>
  <c r="B119" i="29"/>
  <c r="C119" i="29"/>
  <c r="D119" i="29"/>
  <c r="E119" i="29"/>
  <c r="F119" i="29"/>
  <c r="G119" i="29"/>
  <c r="H119" i="29"/>
  <c r="I119" i="29"/>
  <c r="J119" i="29"/>
  <c r="K119" i="29"/>
  <c r="L119" i="29"/>
  <c r="M119" i="29"/>
  <c r="N119" i="29"/>
  <c r="O119" i="29"/>
  <c r="P119" i="29"/>
  <c r="A120" i="29"/>
  <c r="B120" i="29"/>
  <c r="C120" i="29"/>
  <c r="D120" i="29"/>
  <c r="E120" i="29"/>
  <c r="F120" i="29"/>
  <c r="G120" i="29"/>
  <c r="H120" i="29"/>
  <c r="I120" i="29"/>
  <c r="J120" i="29"/>
  <c r="K120" i="29"/>
  <c r="L120" i="29"/>
  <c r="M120" i="29"/>
  <c r="N120" i="29"/>
  <c r="O120" i="29"/>
  <c r="P120" i="29"/>
  <c r="A121" i="29"/>
  <c r="B121" i="29"/>
  <c r="C121" i="29"/>
  <c r="D121" i="29"/>
  <c r="E121" i="29"/>
  <c r="F121" i="29"/>
  <c r="G121" i="29"/>
  <c r="H121" i="29"/>
  <c r="I121" i="29"/>
  <c r="J121" i="29"/>
  <c r="K121" i="29"/>
  <c r="L121" i="29"/>
  <c r="M121" i="29"/>
  <c r="N121" i="29"/>
  <c r="O121" i="29"/>
  <c r="P121" i="29"/>
  <c r="A122" i="29"/>
  <c r="B122" i="29"/>
  <c r="C122" i="29"/>
  <c r="D122" i="29"/>
  <c r="E122" i="29"/>
  <c r="F122" i="29"/>
  <c r="G122" i="29"/>
  <c r="H122" i="29"/>
  <c r="I122" i="29"/>
  <c r="J122" i="29"/>
  <c r="K122" i="29"/>
  <c r="L122" i="29"/>
  <c r="M122" i="29"/>
  <c r="N122" i="29"/>
  <c r="O122" i="29"/>
  <c r="P122" i="29"/>
  <c r="A123" i="29"/>
  <c r="B123" i="29"/>
  <c r="C123" i="29"/>
  <c r="D123" i="29"/>
  <c r="E123" i="29"/>
  <c r="F123" i="29"/>
  <c r="G123" i="29"/>
  <c r="H123" i="29"/>
  <c r="I123" i="29"/>
  <c r="J123" i="29"/>
  <c r="K123" i="29"/>
  <c r="L123" i="29"/>
  <c r="M123" i="29"/>
  <c r="N123" i="29"/>
  <c r="O123" i="29"/>
  <c r="P123" i="29"/>
  <c r="A124" i="29"/>
  <c r="B124" i="29"/>
  <c r="C124" i="29"/>
  <c r="D124" i="29"/>
  <c r="E124" i="29"/>
  <c r="F124" i="29"/>
  <c r="G124" i="29"/>
  <c r="H124" i="29"/>
  <c r="I124" i="29"/>
  <c r="J124" i="29"/>
  <c r="K124" i="29"/>
  <c r="L124" i="29"/>
  <c r="M124" i="29"/>
  <c r="N124" i="29"/>
  <c r="O124" i="29"/>
  <c r="P124" i="29"/>
  <c r="A125" i="29"/>
  <c r="B125" i="29"/>
  <c r="C125" i="29"/>
  <c r="D125" i="29"/>
  <c r="E125" i="29"/>
  <c r="F125" i="29"/>
  <c r="G125" i="29"/>
  <c r="H125" i="29"/>
  <c r="I125" i="29"/>
  <c r="J125" i="29"/>
  <c r="K125" i="29"/>
  <c r="L125" i="29"/>
  <c r="M125" i="29"/>
  <c r="N125" i="29"/>
  <c r="O125" i="29"/>
  <c r="P125" i="29"/>
  <c r="A126" i="29"/>
  <c r="B126" i="29"/>
  <c r="C126" i="29"/>
  <c r="D126" i="29"/>
  <c r="E126" i="29"/>
  <c r="F126" i="29"/>
  <c r="G126" i="29"/>
  <c r="H126" i="29"/>
  <c r="I126" i="29"/>
  <c r="J126" i="29"/>
  <c r="K126" i="29"/>
  <c r="L126" i="29"/>
  <c r="M126" i="29"/>
  <c r="N126" i="29"/>
  <c r="O126" i="29"/>
  <c r="P126" i="29"/>
  <c r="A127" i="29"/>
  <c r="B127" i="29"/>
  <c r="C127" i="29"/>
  <c r="D127" i="29"/>
  <c r="E127" i="29"/>
  <c r="F127" i="29"/>
  <c r="G127" i="29"/>
  <c r="H127" i="29"/>
  <c r="I127" i="29"/>
  <c r="J127" i="29"/>
  <c r="K127" i="29"/>
  <c r="L127" i="29"/>
  <c r="M127" i="29"/>
  <c r="N127" i="29"/>
  <c r="O127" i="29"/>
  <c r="P127" i="29"/>
  <c r="A128" i="29"/>
  <c r="B128" i="29"/>
  <c r="C128" i="29"/>
  <c r="D128" i="29"/>
  <c r="E128" i="29"/>
  <c r="F128" i="29"/>
  <c r="G128" i="29"/>
  <c r="H128" i="29"/>
  <c r="I128" i="29"/>
  <c r="J128" i="29"/>
  <c r="K128" i="29"/>
  <c r="L128" i="29"/>
  <c r="M128" i="29"/>
  <c r="N128" i="29"/>
  <c r="O128" i="29"/>
  <c r="P128" i="29"/>
  <c r="A129" i="29"/>
  <c r="B129" i="29"/>
  <c r="C129" i="29"/>
  <c r="D129" i="29"/>
  <c r="E129" i="29"/>
  <c r="F129" i="29"/>
  <c r="G129" i="29"/>
  <c r="H129" i="29"/>
  <c r="I129" i="29"/>
  <c r="J129" i="29"/>
  <c r="K129" i="29"/>
  <c r="L129" i="29"/>
  <c r="M129" i="29"/>
  <c r="N129" i="29"/>
  <c r="O129" i="29"/>
  <c r="P129" i="29"/>
  <c r="A130" i="29"/>
  <c r="B130" i="29"/>
  <c r="C130" i="29"/>
  <c r="D130" i="29"/>
  <c r="E130" i="29"/>
  <c r="F130" i="29"/>
  <c r="G130" i="29"/>
  <c r="H130" i="29"/>
  <c r="I130" i="29"/>
  <c r="J130" i="29"/>
  <c r="K130" i="29"/>
  <c r="L130" i="29"/>
  <c r="M130" i="29"/>
  <c r="N130" i="29"/>
  <c r="O130" i="29"/>
  <c r="P130" i="29"/>
  <c r="A131" i="29"/>
  <c r="B131" i="29"/>
  <c r="C131" i="29"/>
  <c r="D131" i="29"/>
  <c r="E131" i="29"/>
  <c r="F131" i="29"/>
  <c r="G131" i="29"/>
  <c r="H131" i="29"/>
  <c r="I131" i="29"/>
  <c r="J131" i="29"/>
  <c r="K131" i="29"/>
  <c r="L131" i="29"/>
  <c r="M131" i="29"/>
  <c r="N131" i="29"/>
  <c r="O131" i="29"/>
  <c r="P131" i="29"/>
  <c r="A132" i="29"/>
  <c r="B132" i="29"/>
  <c r="C132" i="29"/>
  <c r="D132" i="29"/>
  <c r="E132" i="29"/>
  <c r="F132" i="29"/>
  <c r="G132" i="29"/>
  <c r="H132" i="29"/>
  <c r="I132" i="29"/>
  <c r="J132" i="29"/>
  <c r="K132" i="29"/>
  <c r="L132" i="29"/>
  <c r="M132" i="29"/>
  <c r="N132" i="29"/>
  <c r="O132" i="29"/>
  <c r="P132" i="29"/>
  <c r="A133" i="29"/>
  <c r="B133" i="29"/>
  <c r="C133" i="29"/>
  <c r="D133" i="29"/>
  <c r="E133" i="29"/>
  <c r="F133" i="29"/>
  <c r="G133" i="29"/>
  <c r="H133" i="29"/>
  <c r="I133" i="29"/>
  <c r="J133" i="29"/>
  <c r="K133" i="29"/>
  <c r="L133" i="29"/>
  <c r="M133" i="29"/>
  <c r="N133" i="29"/>
  <c r="O133" i="29"/>
  <c r="P133" i="29"/>
  <c r="A134" i="29"/>
  <c r="B134" i="29"/>
  <c r="C134" i="29"/>
  <c r="D134" i="29"/>
  <c r="E134" i="29"/>
  <c r="F134" i="29"/>
  <c r="G134" i="29"/>
  <c r="H134" i="29"/>
  <c r="I134" i="29"/>
  <c r="J134" i="29"/>
  <c r="K134" i="29"/>
  <c r="L134" i="29"/>
  <c r="M134" i="29"/>
  <c r="N134" i="29"/>
  <c r="O134" i="29"/>
  <c r="P134" i="29"/>
  <c r="A135" i="29"/>
  <c r="B135" i="29"/>
  <c r="C135" i="29"/>
  <c r="D135" i="29"/>
  <c r="E135" i="29"/>
  <c r="F135" i="29"/>
  <c r="G135" i="29"/>
  <c r="H135" i="29"/>
  <c r="I135" i="29"/>
  <c r="J135" i="29"/>
  <c r="K135" i="29"/>
  <c r="L135" i="29"/>
  <c r="M135" i="29"/>
  <c r="N135" i="29"/>
  <c r="O135" i="29"/>
  <c r="P135" i="29"/>
  <c r="A136" i="29"/>
  <c r="B136" i="29"/>
  <c r="C136" i="29"/>
  <c r="D136" i="29"/>
  <c r="E136" i="29"/>
  <c r="F136" i="29"/>
  <c r="G136" i="29"/>
  <c r="H136" i="29"/>
  <c r="I136" i="29"/>
  <c r="J136" i="29"/>
  <c r="K136" i="29"/>
  <c r="L136" i="29"/>
  <c r="M136" i="29"/>
  <c r="N136" i="29"/>
  <c r="O136" i="29"/>
  <c r="P136" i="29"/>
  <c r="A137" i="29"/>
  <c r="B137" i="29"/>
  <c r="C137" i="29"/>
  <c r="D137" i="29"/>
  <c r="E137" i="29"/>
  <c r="F137" i="29"/>
  <c r="G137" i="29"/>
  <c r="H137" i="29"/>
  <c r="I137" i="29"/>
  <c r="J137" i="29"/>
  <c r="K137" i="29"/>
  <c r="L137" i="29"/>
  <c r="M137" i="29"/>
  <c r="N137" i="29"/>
  <c r="O137" i="29"/>
  <c r="P137" i="29"/>
  <c r="A138" i="29"/>
  <c r="B138" i="29"/>
  <c r="C138" i="29"/>
  <c r="D138" i="29"/>
  <c r="E138" i="29"/>
  <c r="F138" i="29"/>
  <c r="G138" i="29"/>
  <c r="H138" i="29"/>
  <c r="I138" i="29"/>
  <c r="J138" i="29"/>
  <c r="K138" i="29"/>
  <c r="L138" i="29"/>
  <c r="M138" i="29"/>
  <c r="N138" i="29"/>
  <c r="O138" i="29"/>
  <c r="P138" i="29"/>
  <c r="A139" i="29"/>
  <c r="B139" i="29"/>
  <c r="C139" i="29"/>
  <c r="D139" i="29"/>
  <c r="E139" i="29"/>
  <c r="F139" i="29"/>
  <c r="G139" i="29"/>
  <c r="H139" i="29"/>
  <c r="I139" i="29"/>
  <c r="J139" i="29"/>
  <c r="K139" i="29"/>
  <c r="L139" i="29"/>
  <c r="M139" i="29"/>
  <c r="N139" i="29"/>
  <c r="O139" i="29"/>
  <c r="P139" i="29"/>
  <c r="A140" i="29"/>
  <c r="B140" i="29"/>
  <c r="C140" i="29"/>
  <c r="D140" i="29"/>
  <c r="E140" i="29"/>
  <c r="F140" i="29"/>
  <c r="G140" i="29"/>
  <c r="H140" i="29"/>
  <c r="I140" i="29"/>
  <c r="J140" i="29"/>
  <c r="K140" i="29"/>
  <c r="L140" i="29"/>
  <c r="M140" i="29"/>
  <c r="N140" i="29"/>
  <c r="O140" i="29"/>
  <c r="P140" i="29"/>
  <c r="A141" i="29"/>
  <c r="B141" i="29"/>
  <c r="C141" i="29"/>
  <c r="D141" i="29"/>
  <c r="E141" i="29"/>
  <c r="F141" i="29"/>
  <c r="G141" i="29"/>
  <c r="H141" i="29"/>
  <c r="I141" i="29"/>
  <c r="J141" i="29"/>
  <c r="K141" i="29"/>
  <c r="L141" i="29"/>
  <c r="M141" i="29"/>
  <c r="N141" i="29"/>
  <c r="O141" i="29"/>
  <c r="P141" i="29"/>
  <c r="A142" i="29"/>
  <c r="B142" i="29"/>
  <c r="C142" i="29"/>
  <c r="D142" i="29"/>
  <c r="E142" i="29"/>
  <c r="F142" i="29"/>
  <c r="G142" i="29"/>
  <c r="H142" i="29"/>
  <c r="I142" i="29"/>
  <c r="J142" i="29"/>
  <c r="K142" i="29"/>
  <c r="L142" i="29"/>
  <c r="M142" i="29"/>
  <c r="N142" i="29"/>
  <c r="O142" i="29"/>
  <c r="P142" i="29"/>
  <c r="A143" i="29"/>
  <c r="B143" i="29"/>
  <c r="C143" i="29"/>
  <c r="D143" i="29"/>
  <c r="E143" i="29"/>
  <c r="F143" i="29"/>
  <c r="G143" i="29"/>
  <c r="H143" i="29"/>
  <c r="I143" i="29"/>
  <c r="J143" i="29"/>
  <c r="K143" i="29"/>
  <c r="L143" i="29"/>
  <c r="M143" i="29"/>
  <c r="N143" i="29"/>
  <c r="O143" i="29"/>
  <c r="P143" i="29"/>
  <c r="A144" i="29"/>
  <c r="B144" i="29"/>
  <c r="C144" i="29"/>
  <c r="D144" i="29"/>
  <c r="E144" i="29"/>
  <c r="F144" i="29"/>
  <c r="G144" i="29"/>
  <c r="H144" i="29"/>
  <c r="I144" i="29"/>
  <c r="J144" i="29"/>
  <c r="K144" i="29"/>
  <c r="L144" i="29"/>
  <c r="M144" i="29"/>
  <c r="N144" i="29"/>
  <c r="O144" i="29"/>
  <c r="P144" i="29"/>
  <c r="A145" i="29"/>
  <c r="B145" i="29"/>
  <c r="C145" i="29"/>
  <c r="D145" i="29"/>
  <c r="E145" i="29"/>
  <c r="F145" i="29"/>
  <c r="G145" i="29"/>
  <c r="H145" i="29"/>
  <c r="I145" i="29"/>
  <c r="J145" i="29"/>
  <c r="K145" i="29"/>
  <c r="L145" i="29"/>
  <c r="M145" i="29"/>
  <c r="N145" i="29"/>
  <c r="O145" i="29"/>
  <c r="P145" i="29"/>
  <c r="A146" i="29"/>
  <c r="B146" i="29"/>
  <c r="C146" i="29"/>
  <c r="D146" i="29"/>
  <c r="E146" i="29"/>
  <c r="F146" i="29"/>
  <c r="G146" i="29"/>
  <c r="H146" i="29"/>
  <c r="I146" i="29"/>
  <c r="J146" i="29"/>
  <c r="K146" i="29"/>
  <c r="L146" i="29"/>
  <c r="M146" i="29"/>
  <c r="N146" i="29"/>
  <c r="O146" i="29"/>
  <c r="P146" i="29"/>
  <c r="A147" i="29"/>
  <c r="B147" i="29"/>
  <c r="C147" i="29"/>
  <c r="D147" i="29"/>
  <c r="E147" i="29"/>
  <c r="F147" i="29"/>
  <c r="G147" i="29"/>
  <c r="H147" i="29"/>
  <c r="I147" i="29"/>
  <c r="J147" i="29"/>
  <c r="K147" i="29"/>
  <c r="L147" i="29"/>
  <c r="M147" i="29"/>
  <c r="N147" i="29"/>
  <c r="O147" i="29"/>
  <c r="P147" i="29"/>
  <c r="A148" i="29"/>
  <c r="B148" i="29"/>
  <c r="C148" i="29"/>
  <c r="D148" i="29"/>
  <c r="E148" i="29"/>
  <c r="F148" i="29"/>
  <c r="G148" i="29"/>
  <c r="H148" i="29"/>
  <c r="I148" i="29"/>
  <c r="J148" i="29"/>
  <c r="K148" i="29"/>
  <c r="L148" i="29"/>
  <c r="M148" i="29"/>
  <c r="N148" i="29"/>
  <c r="O148" i="29"/>
  <c r="P148" i="29"/>
  <c r="A149" i="29"/>
  <c r="B149" i="29"/>
  <c r="C149" i="29"/>
  <c r="D149" i="29"/>
  <c r="E149" i="29"/>
  <c r="F149" i="29"/>
  <c r="G149" i="29"/>
  <c r="H149" i="29"/>
  <c r="I149" i="29"/>
  <c r="J149" i="29"/>
  <c r="K149" i="29"/>
  <c r="L149" i="29"/>
  <c r="M149" i="29"/>
  <c r="N149" i="29"/>
  <c r="O149" i="29"/>
  <c r="P149" i="29"/>
  <c r="A150" i="29"/>
  <c r="B150" i="29"/>
  <c r="C150" i="29"/>
  <c r="D150" i="29"/>
  <c r="E150" i="29"/>
  <c r="F150" i="29"/>
  <c r="G150" i="29"/>
  <c r="H150" i="29"/>
  <c r="I150" i="29"/>
  <c r="J150" i="29"/>
  <c r="K150" i="29"/>
  <c r="L150" i="29"/>
  <c r="M150" i="29"/>
  <c r="N150" i="29"/>
  <c r="O150" i="29"/>
  <c r="P150" i="29"/>
  <c r="A151" i="29"/>
  <c r="B151" i="29"/>
  <c r="C151" i="29"/>
  <c r="D151" i="29"/>
  <c r="E151" i="29"/>
  <c r="F151" i="29"/>
  <c r="G151" i="29"/>
  <c r="H151" i="29"/>
  <c r="I151" i="29"/>
  <c r="J151" i="29"/>
  <c r="K151" i="29"/>
  <c r="L151" i="29"/>
  <c r="M151" i="29"/>
  <c r="N151" i="29"/>
  <c r="O151" i="29"/>
  <c r="P151" i="29"/>
  <c r="A152" i="29"/>
  <c r="B152" i="29"/>
  <c r="C152" i="29"/>
  <c r="D152" i="29"/>
  <c r="E152" i="29"/>
  <c r="F152" i="29"/>
  <c r="G152" i="29"/>
  <c r="H152" i="29"/>
  <c r="I152" i="29"/>
  <c r="J152" i="29"/>
  <c r="K152" i="29"/>
  <c r="L152" i="29"/>
  <c r="M152" i="29"/>
  <c r="N152" i="29"/>
  <c r="O152" i="29"/>
  <c r="P152" i="29"/>
  <c r="A153" i="29"/>
  <c r="B153" i="29"/>
  <c r="C153" i="29"/>
  <c r="D153" i="29"/>
  <c r="E153" i="29"/>
  <c r="F153" i="29"/>
  <c r="G153" i="29"/>
  <c r="H153" i="29"/>
  <c r="I153" i="29"/>
  <c r="J153" i="29"/>
  <c r="K153" i="29"/>
  <c r="L153" i="29"/>
  <c r="M153" i="29"/>
  <c r="N153" i="29"/>
  <c r="O153" i="29"/>
  <c r="P153" i="29"/>
  <c r="A154" i="29"/>
  <c r="B154" i="29"/>
  <c r="C154" i="29"/>
  <c r="D154" i="29"/>
  <c r="E154" i="29"/>
  <c r="F154" i="29"/>
  <c r="G154" i="29"/>
  <c r="H154" i="29"/>
  <c r="I154" i="29"/>
  <c r="J154" i="29"/>
  <c r="K154" i="29"/>
  <c r="L154" i="29"/>
  <c r="M154" i="29"/>
  <c r="N154" i="29"/>
  <c r="O154" i="29"/>
  <c r="P154" i="29"/>
  <c r="A155" i="29"/>
  <c r="B155" i="29"/>
  <c r="C155" i="29"/>
  <c r="D155" i="29"/>
  <c r="E155" i="29"/>
  <c r="F155" i="29"/>
  <c r="G155" i="29"/>
  <c r="H155" i="29"/>
  <c r="I155" i="29"/>
  <c r="J155" i="29"/>
  <c r="K155" i="29"/>
  <c r="L155" i="29"/>
  <c r="M155" i="29"/>
  <c r="N155" i="29"/>
  <c r="O155" i="29"/>
  <c r="P155" i="29"/>
  <c r="A156" i="29"/>
  <c r="B156" i="29"/>
  <c r="C156" i="29"/>
  <c r="D156" i="29"/>
  <c r="E156" i="29"/>
  <c r="F156" i="29"/>
  <c r="G156" i="29"/>
  <c r="H156" i="29"/>
  <c r="I156" i="29"/>
  <c r="J156" i="29"/>
  <c r="K156" i="29"/>
  <c r="L156" i="29"/>
  <c r="M156" i="29"/>
  <c r="N156" i="29"/>
  <c r="O156" i="29"/>
  <c r="P156" i="29"/>
  <c r="A157" i="29"/>
  <c r="B157" i="29"/>
  <c r="C157" i="29"/>
  <c r="D157" i="29"/>
  <c r="E157" i="29"/>
  <c r="F157" i="29"/>
  <c r="G157" i="29"/>
  <c r="H157" i="29"/>
  <c r="I157" i="29"/>
  <c r="J157" i="29"/>
  <c r="K157" i="29"/>
  <c r="L157" i="29"/>
  <c r="M157" i="29"/>
  <c r="N157" i="29"/>
  <c r="O157" i="29"/>
  <c r="P157" i="29"/>
  <c r="A158" i="29"/>
  <c r="B158" i="29"/>
  <c r="C158" i="29"/>
  <c r="D158" i="29"/>
  <c r="E158" i="29"/>
  <c r="F158" i="29"/>
  <c r="G158" i="29"/>
  <c r="H158" i="29"/>
  <c r="I158" i="29"/>
  <c r="J158" i="29"/>
  <c r="K158" i="29"/>
  <c r="L158" i="29"/>
  <c r="M158" i="29"/>
  <c r="N158" i="29"/>
  <c r="O158" i="29"/>
  <c r="P158" i="29"/>
  <c r="A159" i="29"/>
  <c r="B159" i="29"/>
  <c r="C159" i="29"/>
  <c r="D159" i="29"/>
  <c r="E159" i="29"/>
  <c r="F159" i="29"/>
  <c r="G159" i="29"/>
  <c r="H159" i="29"/>
  <c r="I159" i="29"/>
  <c r="J159" i="29"/>
  <c r="K159" i="29"/>
  <c r="L159" i="29"/>
  <c r="M159" i="29"/>
  <c r="N159" i="29"/>
  <c r="O159" i="29"/>
  <c r="P159" i="29"/>
  <c r="A160" i="29"/>
  <c r="B160" i="29"/>
  <c r="C160" i="29"/>
  <c r="D160" i="29"/>
  <c r="E160" i="29"/>
  <c r="F160" i="29"/>
  <c r="G160" i="29"/>
  <c r="H160" i="29"/>
  <c r="I160" i="29"/>
  <c r="J160" i="29"/>
  <c r="K160" i="29"/>
  <c r="L160" i="29"/>
  <c r="M160" i="29"/>
  <c r="N160" i="29"/>
  <c r="O160" i="29"/>
  <c r="P160" i="29"/>
  <c r="A161" i="29"/>
  <c r="B161" i="29"/>
  <c r="C161" i="29"/>
  <c r="D161" i="29"/>
  <c r="E161" i="29"/>
  <c r="F161" i="29"/>
  <c r="G161" i="29"/>
  <c r="H161" i="29"/>
  <c r="I161" i="29"/>
  <c r="J161" i="29"/>
  <c r="K161" i="29"/>
  <c r="L161" i="29"/>
  <c r="M161" i="29"/>
  <c r="N161" i="29"/>
  <c r="O161" i="29"/>
  <c r="P161" i="29"/>
  <c r="A162" i="29"/>
  <c r="B162" i="29"/>
  <c r="C162" i="29"/>
  <c r="D162" i="29"/>
  <c r="E162" i="29"/>
  <c r="F162" i="29"/>
  <c r="G162" i="29"/>
  <c r="H162" i="29"/>
  <c r="I162" i="29"/>
  <c r="J162" i="29"/>
  <c r="K162" i="29"/>
  <c r="L162" i="29"/>
  <c r="M162" i="29"/>
  <c r="N162" i="29"/>
  <c r="O162" i="29"/>
  <c r="P162" i="29"/>
  <c r="A163" i="29"/>
  <c r="B163" i="29"/>
  <c r="C163" i="29"/>
  <c r="D163" i="29"/>
  <c r="E163" i="29"/>
  <c r="F163" i="29"/>
  <c r="G163" i="29"/>
  <c r="H163" i="29"/>
  <c r="I163" i="29"/>
  <c r="J163" i="29"/>
  <c r="K163" i="29"/>
  <c r="L163" i="29"/>
  <c r="M163" i="29"/>
  <c r="N163" i="29"/>
  <c r="O163" i="29"/>
  <c r="P163" i="29"/>
  <c r="A164" i="29"/>
  <c r="B164" i="29"/>
  <c r="C164" i="29"/>
  <c r="D164" i="29"/>
  <c r="E164" i="29"/>
  <c r="F164" i="29"/>
  <c r="G164" i="29"/>
  <c r="H164" i="29"/>
  <c r="I164" i="29"/>
  <c r="J164" i="29"/>
  <c r="K164" i="29"/>
  <c r="L164" i="29"/>
  <c r="M164" i="29"/>
  <c r="N164" i="29"/>
  <c r="O164" i="29"/>
  <c r="P164" i="29"/>
  <c r="A165" i="29"/>
  <c r="B165" i="29"/>
  <c r="C165" i="29"/>
  <c r="D165" i="29"/>
  <c r="E165" i="29"/>
  <c r="F165" i="29"/>
  <c r="G165" i="29"/>
  <c r="H165" i="29"/>
  <c r="I165" i="29"/>
  <c r="J165" i="29"/>
  <c r="K165" i="29"/>
  <c r="L165" i="29"/>
  <c r="M165" i="29"/>
  <c r="N165" i="29"/>
  <c r="O165" i="29"/>
  <c r="P165" i="29"/>
  <c r="A166" i="29"/>
  <c r="B166" i="29"/>
  <c r="C166" i="29"/>
  <c r="D166" i="29"/>
  <c r="E166" i="29"/>
  <c r="F166" i="29"/>
  <c r="G166" i="29"/>
  <c r="H166" i="29"/>
  <c r="I166" i="29"/>
  <c r="J166" i="29"/>
  <c r="K166" i="29"/>
  <c r="L166" i="29"/>
  <c r="M166" i="29"/>
  <c r="N166" i="29"/>
  <c r="O166" i="29"/>
  <c r="P166" i="29"/>
  <c r="A167" i="29"/>
  <c r="B167" i="29"/>
  <c r="C167" i="29"/>
  <c r="D167" i="29"/>
  <c r="E167" i="29"/>
  <c r="F167" i="29"/>
  <c r="G167" i="29"/>
  <c r="H167" i="29"/>
  <c r="I167" i="29"/>
  <c r="J167" i="29"/>
  <c r="K167" i="29"/>
  <c r="L167" i="29"/>
  <c r="M167" i="29"/>
  <c r="N167" i="29"/>
  <c r="O167" i="29"/>
  <c r="P167" i="29"/>
  <c r="A168" i="29"/>
  <c r="B168" i="29"/>
  <c r="C168" i="29"/>
  <c r="D168" i="29"/>
  <c r="E168" i="29"/>
  <c r="F168" i="29"/>
  <c r="G168" i="29"/>
  <c r="H168" i="29"/>
  <c r="I168" i="29"/>
  <c r="J168" i="29"/>
  <c r="K168" i="29"/>
  <c r="L168" i="29"/>
  <c r="M168" i="29"/>
  <c r="N168" i="29"/>
  <c r="O168" i="29"/>
  <c r="P168" i="29"/>
  <c r="A169" i="29"/>
  <c r="B169" i="29"/>
  <c r="C169" i="29"/>
  <c r="D169" i="29"/>
  <c r="E169" i="29"/>
  <c r="F169" i="29"/>
  <c r="G169" i="29"/>
  <c r="H169" i="29"/>
  <c r="I169" i="29"/>
  <c r="J169" i="29"/>
  <c r="K169" i="29"/>
  <c r="L169" i="29"/>
  <c r="M169" i="29"/>
  <c r="N169" i="29"/>
  <c r="O169" i="29"/>
  <c r="P169" i="29"/>
  <c r="A170" i="29"/>
  <c r="B170" i="29"/>
  <c r="C170" i="29"/>
  <c r="D170" i="29"/>
  <c r="E170" i="29"/>
  <c r="F170" i="29"/>
  <c r="G170" i="29"/>
  <c r="H170" i="29"/>
  <c r="I170" i="29"/>
  <c r="J170" i="29"/>
  <c r="K170" i="29"/>
  <c r="L170" i="29"/>
  <c r="M170" i="29"/>
  <c r="N170" i="29"/>
  <c r="O170" i="29"/>
  <c r="P170" i="29"/>
  <c r="A171" i="29"/>
  <c r="B171" i="29"/>
  <c r="C171" i="29"/>
  <c r="D171" i="29"/>
  <c r="E171" i="29"/>
  <c r="F171" i="29"/>
  <c r="G171" i="29"/>
  <c r="H171" i="29"/>
  <c r="I171" i="29"/>
  <c r="J171" i="29"/>
  <c r="K171" i="29"/>
  <c r="L171" i="29"/>
  <c r="M171" i="29"/>
  <c r="N171" i="29"/>
  <c r="O171" i="29"/>
  <c r="P171" i="29"/>
  <c r="A172" i="29"/>
  <c r="B172" i="29"/>
  <c r="C172" i="29"/>
  <c r="D172" i="29"/>
  <c r="E172" i="29"/>
  <c r="F172" i="29"/>
  <c r="G172" i="29"/>
  <c r="H172" i="29"/>
  <c r="I172" i="29"/>
  <c r="J172" i="29"/>
  <c r="K172" i="29"/>
  <c r="L172" i="29"/>
  <c r="M172" i="29"/>
  <c r="N172" i="29"/>
  <c r="O172" i="29"/>
  <c r="P172" i="29"/>
  <c r="A173" i="29"/>
  <c r="B173" i="29"/>
  <c r="C173" i="29"/>
  <c r="D173" i="29"/>
  <c r="E173" i="29"/>
  <c r="F173" i="29"/>
  <c r="G173" i="29"/>
  <c r="H173" i="29"/>
  <c r="I173" i="29"/>
  <c r="J173" i="29"/>
  <c r="K173" i="29"/>
  <c r="L173" i="29"/>
  <c r="M173" i="29"/>
  <c r="N173" i="29"/>
  <c r="O173" i="29"/>
  <c r="P173" i="29"/>
  <c r="A174" i="29"/>
  <c r="B174" i="29"/>
  <c r="C174" i="29"/>
  <c r="D174" i="29"/>
  <c r="E174" i="29"/>
  <c r="F174" i="29"/>
  <c r="G174" i="29"/>
  <c r="H174" i="29"/>
  <c r="I174" i="29"/>
  <c r="J174" i="29"/>
  <c r="K174" i="29"/>
  <c r="L174" i="29"/>
  <c r="M174" i="29"/>
  <c r="N174" i="29"/>
  <c r="O174" i="29"/>
  <c r="P174" i="29"/>
  <c r="A175" i="29"/>
  <c r="B175" i="29"/>
  <c r="C175" i="29"/>
  <c r="D175" i="29"/>
  <c r="E175" i="29"/>
  <c r="F175" i="29"/>
  <c r="G175" i="29"/>
  <c r="H175" i="29"/>
  <c r="I175" i="29"/>
  <c r="J175" i="29"/>
  <c r="K175" i="29"/>
  <c r="L175" i="29"/>
  <c r="M175" i="29"/>
  <c r="N175" i="29"/>
  <c r="O175" i="29"/>
  <c r="P175" i="29"/>
  <c r="A176" i="29"/>
  <c r="B176" i="29"/>
  <c r="C176" i="29"/>
  <c r="D176" i="29"/>
  <c r="E176" i="29"/>
  <c r="F176" i="29"/>
  <c r="G176" i="29"/>
  <c r="H176" i="29"/>
  <c r="I176" i="29"/>
  <c r="J176" i="29"/>
  <c r="K176" i="29"/>
  <c r="L176" i="29"/>
  <c r="M176" i="29"/>
  <c r="N176" i="29"/>
  <c r="O176" i="29"/>
  <c r="P176" i="29"/>
  <c r="A177" i="29"/>
  <c r="B177" i="29"/>
  <c r="C177" i="29"/>
  <c r="D177" i="29"/>
  <c r="E177" i="29"/>
  <c r="F177" i="29"/>
  <c r="G177" i="29"/>
  <c r="H177" i="29"/>
  <c r="I177" i="29"/>
  <c r="J177" i="29"/>
  <c r="K177" i="29"/>
  <c r="L177" i="29"/>
  <c r="M177" i="29"/>
  <c r="N177" i="29"/>
  <c r="O177" i="29"/>
  <c r="P177" i="29"/>
  <c r="A178" i="29"/>
  <c r="B178" i="29"/>
  <c r="C178" i="29"/>
  <c r="D178" i="29"/>
  <c r="E178" i="29"/>
  <c r="F178" i="29"/>
  <c r="G178" i="29"/>
  <c r="H178" i="29"/>
  <c r="I178" i="29"/>
  <c r="J178" i="29"/>
  <c r="K178" i="29"/>
  <c r="L178" i="29"/>
  <c r="M178" i="29"/>
  <c r="N178" i="29"/>
  <c r="O178" i="29"/>
  <c r="P178" i="29"/>
  <c r="A179" i="29"/>
  <c r="B179" i="29"/>
  <c r="C179" i="29"/>
  <c r="D179" i="29"/>
  <c r="E179" i="29"/>
  <c r="F179" i="29"/>
  <c r="G179" i="29"/>
  <c r="H179" i="29"/>
  <c r="I179" i="29"/>
  <c r="J179" i="29"/>
  <c r="K179" i="29"/>
  <c r="L179" i="29"/>
  <c r="M179" i="29"/>
  <c r="N179" i="29"/>
  <c r="O179" i="29"/>
  <c r="P179" i="29"/>
  <c r="A180" i="29"/>
  <c r="B180" i="29"/>
  <c r="C180" i="29"/>
  <c r="D180" i="29"/>
  <c r="E180" i="29"/>
  <c r="F180" i="29"/>
  <c r="G180" i="29"/>
  <c r="H180" i="29"/>
  <c r="I180" i="29"/>
  <c r="J180" i="29"/>
  <c r="K180" i="29"/>
  <c r="L180" i="29"/>
  <c r="M180" i="29"/>
  <c r="N180" i="29"/>
  <c r="O180" i="29"/>
  <c r="P180" i="29"/>
  <c r="A181" i="29"/>
  <c r="B181" i="29"/>
  <c r="C181" i="29"/>
  <c r="D181" i="29"/>
  <c r="E181" i="29"/>
  <c r="F181" i="29"/>
  <c r="G181" i="29"/>
  <c r="H181" i="29"/>
  <c r="I181" i="29"/>
  <c r="J181" i="29"/>
  <c r="K181" i="29"/>
  <c r="L181" i="29"/>
  <c r="M181" i="29"/>
  <c r="N181" i="29"/>
  <c r="O181" i="29"/>
  <c r="P181" i="29"/>
  <c r="A182" i="29"/>
  <c r="B182" i="29"/>
  <c r="C182" i="29"/>
  <c r="D182" i="29"/>
  <c r="E182" i="29"/>
  <c r="F182" i="29"/>
  <c r="G182" i="29"/>
  <c r="H182" i="29"/>
  <c r="I182" i="29"/>
  <c r="J182" i="29"/>
  <c r="K182" i="29"/>
  <c r="L182" i="29"/>
  <c r="M182" i="29"/>
  <c r="N182" i="29"/>
  <c r="O182" i="29"/>
  <c r="P182" i="29"/>
  <c r="A183" i="29"/>
  <c r="B183" i="29"/>
  <c r="C183" i="29"/>
  <c r="D183" i="29"/>
  <c r="E183" i="29"/>
  <c r="F183" i="29"/>
  <c r="G183" i="29"/>
  <c r="H183" i="29"/>
  <c r="I183" i="29"/>
  <c r="J183" i="29"/>
  <c r="K183" i="29"/>
  <c r="L183" i="29"/>
  <c r="M183" i="29"/>
  <c r="N183" i="29"/>
  <c r="O183" i="29"/>
  <c r="P183" i="29"/>
  <c r="A184" i="29"/>
  <c r="B184" i="29"/>
  <c r="C184" i="29"/>
  <c r="D184" i="29"/>
  <c r="E184" i="29"/>
  <c r="F184" i="29"/>
  <c r="G184" i="29"/>
  <c r="H184" i="29"/>
  <c r="I184" i="29"/>
  <c r="J184" i="29"/>
  <c r="K184" i="29"/>
  <c r="L184" i="29"/>
  <c r="M184" i="29"/>
  <c r="N184" i="29"/>
  <c r="O184" i="29"/>
  <c r="P184" i="29"/>
  <c r="A185" i="29"/>
  <c r="B185" i="29"/>
  <c r="C185" i="29"/>
  <c r="D185" i="29"/>
  <c r="E185" i="29"/>
  <c r="F185" i="29"/>
  <c r="G185" i="29"/>
  <c r="H185" i="29"/>
  <c r="I185" i="29"/>
  <c r="J185" i="29"/>
  <c r="K185" i="29"/>
  <c r="L185" i="29"/>
  <c r="M185" i="29"/>
  <c r="N185" i="29"/>
  <c r="O185" i="29"/>
  <c r="P185" i="29"/>
  <c r="A186" i="29"/>
  <c r="B186" i="29"/>
  <c r="C186" i="29"/>
  <c r="D186" i="29"/>
  <c r="E186" i="29"/>
  <c r="F186" i="29"/>
  <c r="G186" i="29"/>
  <c r="H186" i="29"/>
  <c r="I186" i="29"/>
  <c r="J186" i="29"/>
  <c r="K186" i="29"/>
  <c r="L186" i="29"/>
  <c r="M186" i="29"/>
  <c r="N186" i="29"/>
  <c r="O186" i="29"/>
  <c r="P186" i="29"/>
  <c r="A187" i="29"/>
  <c r="B187" i="29"/>
  <c r="C187" i="29"/>
  <c r="D187" i="29"/>
  <c r="E187" i="29"/>
  <c r="F187" i="29"/>
  <c r="G187" i="29"/>
  <c r="H187" i="29"/>
  <c r="I187" i="29"/>
  <c r="J187" i="29"/>
  <c r="K187" i="29"/>
  <c r="L187" i="29"/>
  <c r="M187" i="29"/>
  <c r="N187" i="29"/>
  <c r="O187" i="29"/>
  <c r="P187" i="29"/>
  <c r="A188" i="29"/>
  <c r="B188" i="29"/>
  <c r="C188" i="29"/>
  <c r="D188" i="29"/>
  <c r="E188" i="29"/>
  <c r="F188" i="29"/>
  <c r="G188" i="29"/>
  <c r="H188" i="29"/>
  <c r="I188" i="29"/>
  <c r="J188" i="29"/>
  <c r="K188" i="29"/>
  <c r="L188" i="29"/>
  <c r="M188" i="29"/>
  <c r="N188" i="29"/>
  <c r="O188" i="29"/>
  <c r="P188" i="29"/>
  <c r="A189" i="29"/>
  <c r="B189" i="29"/>
  <c r="C189" i="29"/>
  <c r="D189" i="29"/>
  <c r="E189" i="29"/>
  <c r="F189" i="29"/>
  <c r="G189" i="29"/>
  <c r="H189" i="29"/>
  <c r="I189" i="29"/>
  <c r="J189" i="29"/>
  <c r="K189" i="29"/>
  <c r="L189" i="29"/>
  <c r="M189" i="29"/>
  <c r="N189" i="29"/>
  <c r="O189" i="29"/>
  <c r="P189" i="29"/>
  <c r="A190" i="29"/>
  <c r="B190" i="29"/>
  <c r="C190" i="29"/>
  <c r="D190" i="29"/>
  <c r="E190" i="29"/>
  <c r="F190" i="29"/>
  <c r="G190" i="29"/>
  <c r="H190" i="29"/>
  <c r="I190" i="29"/>
  <c r="J190" i="29"/>
  <c r="K190" i="29"/>
  <c r="L190" i="29"/>
  <c r="M190" i="29"/>
  <c r="N190" i="29"/>
  <c r="O190" i="29"/>
  <c r="P190" i="29"/>
  <c r="A191" i="29"/>
  <c r="B191" i="29"/>
  <c r="C191" i="29"/>
  <c r="D191" i="29"/>
  <c r="E191" i="29"/>
  <c r="F191" i="29"/>
  <c r="G191" i="29"/>
  <c r="H191" i="29"/>
  <c r="I191" i="29"/>
  <c r="J191" i="29"/>
  <c r="K191" i="29"/>
  <c r="L191" i="29"/>
  <c r="M191" i="29"/>
  <c r="N191" i="29"/>
  <c r="O191" i="29"/>
  <c r="P191" i="29"/>
  <c r="A192" i="29"/>
  <c r="B192" i="29"/>
  <c r="C192" i="29"/>
  <c r="D192" i="29"/>
  <c r="E192" i="29"/>
  <c r="F192" i="29"/>
  <c r="G192" i="29"/>
  <c r="H192" i="29"/>
  <c r="I192" i="29"/>
  <c r="J192" i="29"/>
  <c r="K192" i="29"/>
  <c r="L192" i="29"/>
  <c r="M192" i="29"/>
  <c r="N192" i="29"/>
  <c r="O192" i="29"/>
  <c r="P192" i="29"/>
  <c r="A193" i="29"/>
  <c r="B193" i="29"/>
  <c r="C193" i="29"/>
  <c r="D193" i="29"/>
  <c r="E193" i="29"/>
  <c r="F193" i="29"/>
  <c r="G193" i="29"/>
  <c r="H193" i="29"/>
  <c r="I193" i="29"/>
  <c r="J193" i="29"/>
  <c r="K193" i="29"/>
  <c r="L193" i="29"/>
  <c r="M193" i="29"/>
  <c r="N193" i="29"/>
  <c r="O193" i="29"/>
  <c r="P193" i="29"/>
  <c r="A194" i="29"/>
  <c r="B194" i="29"/>
  <c r="C194" i="29"/>
  <c r="D194" i="29"/>
  <c r="E194" i="29"/>
  <c r="F194" i="29"/>
  <c r="G194" i="29"/>
  <c r="H194" i="29"/>
  <c r="I194" i="29"/>
  <c r="J194" i="29"/>
  <c r="K194" i="29"/>
  <c r="L194" i="29"/>
  <c r="M194" i="29"/>
  <c r="N194" i="29"/>
  <c r="O194" i="29"/>
  <c r="P194" i="29"/>
  <c r="A195" i="29"/>
  <c r="B195" i="29"/>
  <c r="C195" i="29"/>
  <c r="D195" i="29"/>
  <c r="E195" i="29"/>
  <c r="F195" i="29"/>
  <c r="G195" i="29"/>
  <c r="H195" i="29"/>
  <c r="I195" i="29"/>
  <c r="J195" i="29"/>
  <c r="K195" i="29"/>
  <c r="L195" i="29"/>
  <c r="M195" i="29"/>
  <c r="N195" i="29"/>
  <c r="O195" i="29"/>
  <c r="P195" i="29"/>
  <c r="A196" i="29"/>
  <c r="B196" i="29"/>
  <c r="C196" i="29"/>
  <c r="D196" i="29"/>
  <c r="E196" i="29"/>
  <c r="F196" i="29"/>
  <c r="G196" i="29"/>
  <c r="H196" i="29"/>
  <c r="I196" i="29"/>
  <c r="J196" i="29"/>
  <c r="K196" i="29"/>
  <c r="L196" i="29"/>
  <c r="M196" i="29"/>
  <c r="N196" i="29"/>
  <c r="O196" i="29"/>
  <c r="P196" i="29"/>
  <c r="A197" i="29"/>
  <c r="B197" i="29"/>
  <c r="C197" i="29"/>
  <c r="D197" i="29"/>
  <c r="E197" i="29"/>
  <c r="F197" i="29"/>
  <c r="G197" i="29"/>
  <c r="H197" i="29"/>
  <c r="I197" i="29"/>
  <c r="J197" i="29"/>
  <c r="K197" i="29"/>
  <c r="L197" i="29"/>
  <c r="M197" i="29"/>
  <c r="N197" i="29"/>
  <c r="O197" i="29"/>
  <c r="P197" i="29"/>
  <c r="A198" i="29"/>
  <c r="B198" i="29"/>
  <c r="C198" i="29"/>
  <c r="D198" i="29"/>
  <c r="E198" i="29"/>
  <c r="F198" i="29"/>
  <c r="G198" i="29"/>
  <c r="H198" i="29"/>
  <c r="I198" i="29"/>
  <c r="J198" i="29"/>
  <c r="K198" i="29"/>
  <c r="L198" i="29"/>
  <c r="M198" i="29"/>
  <c r="N198" i="29"/>
  <c r="O198" i="29"/>
  <c r="P198" i="29"/>
  <c r="A199" i="29"/>
  <c r="B199" i="29"/>
  <c r="C199" i="29"/>
  <c r="D199" i="29"/>
  <c r="E199" i="29"/>
  <c r="F199" i="29"/>
  <c r="G199" i="29"/>
  <c r="H199" i="29"/>
  <c r="I199" i="29"/>
  <c r="J199" i="29"/>
  <c r="K199" i="29"/>
  <c r="L199" i="29"/>
  <c r="M199" i="29"/>
  <c r="N199" i="29"/>
  <c r="O199" i="29"/>
  <c r="P199" i="29"/>
  <c r="A200" i="29"/>
  <c r="B200" i="29"/>
  <c r="C200" i="29"/>
  <c r="D200" i="29"/>
  <c r="E200" i="29"/>
  <c r="F200" i="29"/>
  <c r="G200" i="29"/>
  <c r="H200" i="29"/>
  <c r="I200" i="29"/>
  <c r="J200" i="29"/>
  <c r="K200" i="29"/>
  <c r="L200" i="29"/>
  <c r="M200" i="29"/>
  <c r="N200" i="29"/>
  <c r="O200" i="29"/>
  <c r="P200" i="29"/>
  <c r="A201" i="29"/>
  <c r="B201" i="29"/>
  <c r="C201" i="29"/>
  <c r="D201" i="29"/>
  <c r="E201" i="29"/>
  <c r="F201" i="29"/>
  <c r="G201" i="29"/>
  <c r="H201" i="29"/>
  <c r="I201" i="29"/>
  <c r="J201" i="29"/>
  <c r="K201" i="29"/>
  <c r="L201" i="29"/>
  <c r="M201" i="29"/>
  <c r="N201" i="29"/>
  <c r="O201" i="29"/>
  <c r="P201" i="29"/>
  <c r="P2" i="29"/>
  <c r="O2" i="29"/>
  <c r="N2" i="29"/>
  <c r="M2" i="29"/>
  <c r="L2" i="29"/>
  <c r="K2" i="29"/>
  <c r="J2" i="29"/>
  <c r="I2" i="29"/>
  <c r="H2" i="29"/>
  <c r="G2" i="29"/>
  <c r="F2" i="29"/>
  <c r="E2" i="29"/>
  <c r="D2" i="29"/>
  <c r="C2" i="29"/>
  <c r="B2" i="29"/>
  <c r="A2" i="29"/>
  <c r="N9" i="24" l="1"/>
  <c r="M9" i="24"/>
  <c r="L9" i="24"/>
  <c r="K9" i="24"/>
  <c r="J9" i="24"/>
  <c r="I9" i="24"/>
  <c r="H9" i="24"/>
  <c r="G9" i="24"/>
  <c r="F9" i="24"/>
  <c r="E9" i="24"/>
  <c r="D9" i="24"/>
  <c r="C9" i="24"/>
  <c r="B9" i="24"/>
  <c r="N8" i="24"/>
  <c r="M8" i="24"/>
  <c r="L8" i="24"/>
  <c r="K8" i="24"/>
  <c r="J8" i="24"/>
  <c r="I8" i="24"/>
  <c r="H8" i="24"/>
  <c r="G8" i="24"/>
  <c r="F8" i="24"/>
  <c r="E8" i="24"/>
  <c r="D8" i="24"/>
  <c r="C8" i="24"/>
  <c r="B8" i="24"/>
  <c r="N7" i="24"/>
  <c r="M7" i="24"/>
  <c r="L7" i="24"/>
  <c r="K7" i="24"/>
  <c r="J7" i="24"/>
  <c r="I7" i="24"/>
  <c r="H7" i="24"/>
  <c r="G7" i="24"/>
  <c r="F7" i="24"/>
  <c r="E7" i="24"/>
  <c r="D7" i="24"/>
  <c r="C7" i="24"/>
  <c r="B7" i="24"/>
  <c r="N6" i="24"/>
  <c r="M6" i="24"/>
  <c r="L6" i="24"/>
  <c r="K6" i="24"/>
  <c r="J6" i="24"/>
  <c r="I6" i="24"/>
  <c r="H6" i="24"/>
  <c r="G6" i="24"/>
  <c r="F6" i="24"/>
  <c r="E6" i="24"/>
  <c r="D6" i="24"/>
  <c r="C6" i="24"/>
  <c r="B6" i="24"/>
  <c r="N5" i="24"/>
  <c r="M5" i="24"/>
  <c r="L5" i="24"/>
  <c r="K5" i="24"/>
  <c r="J5" i="24"/>
  <c r="I5" i="24"/>
  <c r="H5" i="24"/>
  <c r="G5" i="24"/>
  <c r="F5" i="24"/>
  <c r="E5" i="24"/>
  <c r="D5" i="24"/>
  <c r="C5" i="24"/>
  <c r="B5" i="24"/>
  <c r="N4" i="24"/>
  <c r="M4" i="24"/>
  <c r="L4" i="24"/>
  <c r="K4" i="24"/>
  <c r="J4" i="24"/>
  <c r="I4" i="24"/>
  <c r="H4" i="24"/>
  <c r="G4" i="24"/>
  <c r="F4" i="24"/>
  <c r="E4" i="24"/>
  <c r="D4" i="24"/>
  <c r="C4" i="24"/>
  <c r="B4" i="24"/>
  <c r="N3" i="24"/>
  <c r="M3" i="24"/>
  <c r="L3" i="24"/>
  <c r="K3" i="24"/>
  <c r="J3" i="24"/>
  <c r="I3" i="24"/>
  <c r="H3" i="24"/>
  <c r="G3" i="24"/>
  <c r="F3" i="24"/>
  <c r="E3" i="24"/>
  <c r="D3" i="24"/>
  <c r="C3" i="24"/>
  <c r="B3" i="24"/>
  <c r="N2" i="24"/>
  <c r="M2" i="24"/>
  <c r="L2" i="24"/>
  <c r="K2" i="24"/>
  <c r="J2" i="24"/>
  <c r="I2" i="24"/>
  <c r="H2" i="24"/>
  <c r="G2" i="24"/>
  <c r="F2" i="24"/>
  <c r="E2" i="24"/>
  <c r="D2" i="24"/>
  <c r="C2" i="24"/>
  <c r="B2" i="24"/>
  <c r="N1" i="24"/>
  <c r="M1" i="24"/>
  <c r="L1" i="24"/>
  <c r="K1" i="24"/>
  <c r="J1" i="24"/>
  <c r="I1" i="24"/>
  <c r="H1" i="24"/>
  <c r="G1" i="24"/>
  <c r="F1" i="24"/>
  <c r="E1" i="24"/>
  <c r="D1" i="24"/>
  <c r="C1" i="24"/>
  <c r="B1" i="24"/>
  <c r="FW2" i="22" l="1"/>
  <c r="FV2" i="22"/>
  <c r="FU2" i="22"/>
  <c r="FT2" i="22"/>
  <c r="FS2" i="22"/>
  <c r="FR2" i="22"/>
  <c r="FQ2" i="22"/>
  <c r="FP2" i="22"/>
  <c r="FO2" i="22"/>
  <c r="FN2" i="22"/>
  <c r="FM2" i="22"/>
  <c r="FL2" i="22"/>
  <c r="FK2" i="22"/>
  <c r="FJ2" i="22"/>
  <c r="FI2" i="22"/>
  <c r="FH2" i="22"/>
  <c r="FG2" i="22"/>
  <c r="FF2" i="22"/>
  <c r="FE2" i="22"/>
  <c r="FD2" i="22"/>
  <c r="FC2" i="22"/>
  <c r="FB2" i="22"/>
  <c r="FA2" i="22"/>
  <c r="EZ2" i="22"/>
  <c r="EY2" i="22"/>
  <c r="EX2" i="22"/>
  <c r="EW2" i="22"/>
  <c r="EV2" i="22"/>
  <c r="EU2" i="22"/>
  <c r="ET2" i="22"/>
  <c r="ES2" i="22"/>
  <c r="ER2" i="22"/>
  <c r="EQ2" i="22"/>
  <c r="EP2" i="22"/>
  <c r="EO2" i="22"/>
  <c r="EN2" i="22"/>
  <c r="EM2" i="22"/>
  <c r="EL2" i="22"/>
  <c r="EK2" i="22"/>
  <c r="EJ2" i="22"/>
  <c r="EI2" i="22"/>
  <c r="EH2" i="22"/>
  <c r="EG2" i="22"/>
  <c r="EF2" i="22"/>
  <c r="EE2" i="22"/>
  <c r="ED2" i="22"/>
  <c r="EC2" i="22"/>
  <c r="EB2" i="22"/>
  <c r="EA2" i="22"/>
  <c r="DZ2" i="22"/>
  <c r="DY2" i="22"/>
  <c r="DX2" i="22"/>
  <c r="DW2" i="22"/>
  <c r="DV2" i="22"/>
  <c r="DU2" i="22"/>
  <c r="DT2" i="22"/>
  <c r="DS2" i="22"/>
  <c r="DR2" i="22"/>
  <c r="DQ2" i="22"/>
  <c r="DP2" i="22"/>
  <c r="DO2" i="22"/>
  <c r="DN2" i="22"/>
  <c r="DM2" i="22"/>
  <c r="DL2" i="22"/>
  <c r="DK2" i="22"/>
  <c r="DJ2" i="22"/>
  <c r="DI2" i="22"/>
  <c r="DH2" i="22"/>
  <c r="DG2" i="22"/>
  <c r="DF2" i="22"/>
  <c r="DE2" i="22"/>
  <c r="DD2" i="22"/>
  <c r="DC2" i="22"/>
  <c r="DB2" i="22"/>
  <c r="DA2" i="22"/>
  <c r="CZ2" i="22"/>
  <c r="CY2" i="22"/>
  <c r="CX2" i="22"/>
  <c r="CW2" i="22"/>
  <c r="CV2" i="22"/>
  <c r="CU2" i="22"/>
  <c r="CT2" i="22"/>
  <c r="CS2" i="22"/>
  <c r="CR2" i="22"/>
  <c r="CQ2" i="22"/>
  <c r="CP2" i="22"/>
  <c r="CO2" i="22"/>
  <c r="CN2" i="22"/>
  <c r="CM2" i="22"/>
  <c r="CL2" i="22"/>
  <c r="CK2" i="22"/>
  <c r="CJ2" i="22"/>
  <c r="CI2" i="22"/>
  <c r="CH2" i="22"/>
  <c r="CG2" i="22"/>
  <c r="CF2" i="22"/>
  <c r="CE2" i="22"/>
  <c r="CD2" i="22"/>
  <c r="CC2" i="22"/>
  <c r="CB2" i="22"/>
  <c r="CA2" i="22"/>
  <c r="BZ2" i="22"/>
  <c r="BY2" i="22"/>
  <c r="BX2" i="22"/>
  <c r="BW2" i="22"/>
  <c r="BV2" i="22"/>
  <c r="BU2" i="22"/>
  <c r="BT2" i="22"/>
  <c r="BS2" i="22"/>
  <c r="BR2" i="22"/>
  <c r="BQ2" i="22"/>
  <c r="BP2" i="22"/>
  <c r="BO2" i="22"/>
  <c r="BN2" i="22"/>
  <c r="BM2" i="22"/>
  <c r="BL2" i="22"/>
  <c r="BK2" i="22"/>
  <c r="BJ2" i="22"/>
  <c r="BI2" i="22"/>
  <c r="BH2" i="22"/>
  <c r="BG2" i="22"/>
  <c r="BF2" i="22"/>
  <c r="BE2" i="22"/>
  <c r="BD2" i="22"/>
  <c r="BC2" i="22"/>
  <c r="BB2" i="22"/>
  <c r="BA2" i="22"/>
  <c r="AZ2" i="22"/>
  <c r="AY2" i="22"/>
  <c r="AX2" i="22"/>
  <c r="AW2" i="22"/>
  <c r="AV2" i="22"/>
  <c r="AU2" i="22"/>
  <c r="AT2" i="22"/>
  <c r="AS2" i="22"/>
  <c r="AR2" i="22"/>
  <c r="AQ2" i="22"/>
  <c r="AP2" i="22"/>
  <c r="AO2" i="22"/>
  <c r="AN2" i="22"/>
  <c r="AM2" i="22"/>
  <c r="AL2" i="22"/>
  <c r="AK2" i="22"/>
  <c r="AJ2" i="22"/>
  <c r="AI2" i="22"/>
  <c r="AH2" i="22"/>
  <c r="AG2" i="22"/>
  <c r="AF2" i="22"/>
  <c r="AE2" i="22"/>
  <c r="AD2" i="22"/>
  <c r="AC2" i="22"/>
  <c r="AB2" i="22"/>
  <c r="AA2" i="22"/>
  <c r="Z2" i="22"/>
  <c r="Y2" i="22"/>
  <c r="X2" i="22"/>
  <c r="W2" i="22"/>
  <c r="V2" i="22"/>
  <c r="U2" i="22"/>
  <c r="T2" i="22"/>
  <c r="S2" i="22"/>
  <c r="R2" i="22"/>
  <c r="Q2" i="22"/>
  <c r="P2" i="22"/>
  <c r="O2" i="22"/>
  <c r="N2" i="22"/>
  <c r="M2" i="22"/>
  <c r="L2" i="22"/>
  <c r="K2" i="22"/>
  <c r="J2" i="22"/>
  <c r="I2" i="22"/>
  <c r="H2" i="22"/>
  <c r="G2" i="22"/>
  <c r="F2" i="22"/>
  <c r="E2" i="22"/>
  <c r="D2" i="22"/>
  <c r="C2" i="22"/>
  <c r="B2" i="22"/>
  <c r="W7" i="29" l="1"/>
  <c r="W2" i="2" s="1"/>
  <c r="W11" i="29"/>
  <c r="W21" i="29"/>
  <c r="W23" i="29"/>
  <c r="W30" i="29"/>
  <c r="W15" i="29"/>
  <c r="W17" i="29"/>
  <c r="W28" i="29"/>
  <c r="W33" i="29"/>
  <c r="W3" i="29"/>
  <c r="W12" i="29"/>
  <c r="W22" i="29"/>
  <c r="W34" i="29"/>
  <c r="W41" i="29"/>
  <c r="W44" i="29"/>
  <c r="W47" i="29"/>
  <c r="W54" i="29"/>
  <c r="W56" i="29"/>
  <c r="W8" i="29"/>
  <c r="W25" i="29"/>
  <c r="W40" i="29"/>
  <c r="W43" i="29"/>
  <c r="W10" i="29"/>
  <c r="W36" i="29"/>
  <c r="W39" i="29"/>
  <c r="W51" i="29"/>
  <c r="W55" i="29"/>
  <c r="W60" i="29"/>
  <c r="W62" i="29"/>
  <c r="W69" i="29"/>
  <c r="W71" i="29"/>
  <c r="W78" i="29"/>
  <c r="W80" i="29"/>
  <c r="W85" i="29"/>
  <c r="W89" i="29"/>
  <c r="W4" i="29"/>
  <c r="W45" i="29"/>
  <c r="W50" i="29"/>
  <c r="W58" i="29"/>
  <c r="W63" i="29"/>
  <c r="W66" i="29"/>
  <c r="W87" i="29"/>
  <c r="W93" i="29"/>
  <c r="W95" i="29"/>
  <c r="W103" i="29"/>
  <c r="W67" i="29"/>
  <c r="W70" i="29"/>
  <c r="W76" i="29"/>
  <c r="W102" i="29"/>
  <c r="W112" i="29"/>
  <c r="W26" i="29"/>
  <c r="W32" i="29"/>
  <c r="W48" i="29"/>
  <c r="W52" i="29"/>
  <c r="W59" i="29"/>
  <c r="W73" i="29"/>
  <c r="W82" i="29"/>
  <c r="W91" i="29"/>
  <c r="W97" i="29"/>
  <c r="W109" i="29"/>
  <c r="W111" i="29"/>
  <c r="W114" i="29"/>
  <c r="W49" i="29"/>
  <c r="W65" i="29"/>
  <c r="W74" i="29"/>
  <c r="W105" i="29"/>
  <c r="W108" i="29"/>
  <c r="W84" i="29"/>
  <c r="W99" i="29"/>
  <c r="W115" i="29"/>
  <c r="W118" i="29"/>
  <c r="W127" i="29"/>
  <c r="W130" i="29"/>
  <c r="W133" i="29"/>
  <c r="W142" i="29"/>
  <c r="W145" i="29"/>
  <c r="W147" i="29"/>
  <c r="W157" i="29"/>
  <c r="W159" i="29"/>
  <c r="W162" i="29"/>
  <c r="W100" i="29"/>
  <c r="W110" i="29"/>
  <c r="W19" i="29"/>
  <c r="W104" i="29"/>
  <c r="W119" i="29"/>
  <c r="W122" i="29"/>
  <c r="W126" i="29"/>
  <c r="W136" i="29"/>
  <c r="W140" i="29"/>
  <c r="W144" i="29"/>
  <c r="W160" i="29"/>
  <c r="W164" i="29"/>
  <c r="W168" i="29"/>
  <c r="W170" i="29"/>
  <c r="W173" i="29"/>
  <c r="W182" i="29"/>
  <c r="W185" i="29"/>
  <c r="W188" i="29"/>
  <c r="W198" i="29"/>
  <c r="W201" i="29"/>
  <c r="W141" i="29"/>
  <c r="W151" i="29"/>
  <c r="W155" i="29"/>
  <c r="W158" i="29"/>
  <c r="W184" i="29"/>
  <c r="W194" i="29"/>
  <c r="W197" i="29"/>
  <c r="W200" i="29"/>
  <c r="W196" i="29"/>
  <c r="W116" i="29"/>
  <c r="W120" i="29"/>
  <c r="W123" i="29"/>
  <c r="W137" i="29"/>
  <c r="W179" i="29"/>
  <c r="W193" i="29"/>
  <c r="W98" i="29"/>
  <c r="W107" i="29"/>
  <c r="W131" i="29"/>
  <c r="W134" i="29"/>
  <c r="W138" i="29"/>
  <c r="W148" i="29"/>
  <c r="W152" i="29"/>
  <c r="W156" i="29"/>
  <c r="W166" i="29"/>
  <c r="W175" i="29"/>
  <c r="W178" i="29"/>
  <c r="W181" i="29"/>
  <c r="W190" i="29"/>
  <c r="W129" i="29"/>
  <c r="W149" i="29"/>
  <c r="W167" i="29"/>
  <c r="W174" i="29"/>
  <c r="W192" i="29"/>
  <c r="W153" i="29"/>
  <c r="W177" i="29"/>
  <c r="W163" i="29"/>
  <c r="W171" i="29"/>
  <c r="W189" i="29"/>
  <c r="W186" i="29"/>
  <c r="W125" i="29"/>
  <c r="W172" i="29"/>
  <c r="W161" i="29"/>
  <c r="W187" i="29"/>
  <c r="W135" i="29"/>
  <c r="W121" i="29"/>
  <c r="W9" i="29"/>
  <c r="W139" i="29"/>
  <c r="W81" i="29"/>
  <c r="W31" i="29"/>
  <c r="W96" i="29"/>
  <c r="W20" i="29"/>
  <c r="W5" i="29"/>
  <c r="W150" i="29"/>
  <c r="W2" i="29"/>
  <c r="W79" i="29"/>
  <c r="W124" i="29"/>
  <c r="W72" i="29"/>
  <c r="W75" i="29"/>
  <c r="W53" i="29"/>
  <c r="W94" i="29"/>
  <c r="W64" i="29"/>
  <c r="W13" i="29"/>
  <c r="W24" i="29"/>
  <c r="W18" i="29"/>
  <c r="W29" i="29"/>
  <c r="W16" i="29"/>
  <c r="W143" i="29"/>
  <c r="W180" i="29"/>
  <c r="W132" i="29"/>
  <c r="W6" i="29"/>
  <c r="W68" i="29"/>
  <c r="W42" i="29"/>
  <c r="W37" i="29"/>
  <c r="W14" i="29"/>
  <c r="W92" i="29"/>
  <c r="W146" i="29"/>
  <c r="W38" i="29"/>
  <c r="W191" i="29"/>
  <c r="W154" i="29"/>
  <c r="W86" i="29"/>
  <c r="W199" i="29"/>
  <c r="W117" i="29"/>
  <c r="W176" i="29"/>
  <c r="W195" i="29"/>
  <c r="W113" i="29"/>
  <c r="W169" i="29"/>
  <c r="W88" i="29"/>
  <c r="W83" i="29"/>
  <c r="W106" i="29"/>
  <c r="W90" i="29"/>
  <c r="W61" i="29"/>
  <c r="W46" i="29"/>
  <c r="W35" i="29"/>
  <c r="W165" i="29"/>
  <c r="W183" i="29"/>
  <c r="W128" i="29"/>
  <c r="W57" i="29"/>
  <c r="W101" i="29"/>
  <c r="W77" i="29"/>
  <c r="W27" i="29"/>
  <c r="Y5" i="29"/>
  <c r="Y8" i="29"/>
  <c r="Y16" i="29"/>
  <c r="Y19" i="29"/>
  <c r="Y26" i="29"/>
  <c r="Y6" i="29"/>
  <c r="Y13" i="29"/>
  <c r="Y21" i="29"/>
  <c r="Y23" i="29"/>
  <c r="Y30" i="29"/>
  <c r="Y15" i="29"/>
  <c r="Y28" i="29"/>
  <c r="Y39" i="29"/>
  <c r="Y42" i="29"/>
  <c r="Y45" i="29"/>
  <c r="Y52" i="29"/>
  <c r="Y57" i="29"/>
  <c r="Y9" i="29"/>
  <c r="Y12" i="29"/>
  <c r="Y31" i="29"/>
  <c r="Y34" i="29"/>
  <c r="Y38" i="29"/>
  <c r="Y41" i="29"/>
  <c r="Y50" i="29"/>
  <c r="Y47" i="29"/>
  <c r="Y54" i="29"/>
  <c r="Y56" i="29"/>
  <c r="Y61" i="29"/>
  <c r="Y65" i="29"/>
  <c r="Y73" i="29"/>
  <c r="Y82" i="29"/>
  <c r="Y97" i="29"/>
  <c r="Y17" i="29"/>
  <c r="Y20" i="29"/>
  <c r="Y36" i="29"/>
  <c r="Y46" i="29"/>
  <c r="Y60" i="29"/>
  <c r="Y64" i="29"/>
  <c r="Y69" i="29"/>
  <c r="Y71" i="29"/>
  <c r="Y75" i="29"/>
  <c r="Y78" i="29"/>
  <c r="Y80" i="29"/>
  <c r="Y89" i="29"/>
  <c r="Y63" i="29"/>
  <c r="Y95" i="29"/>
  <c r="Y100" i="29"/>
  <c r="Y110" i="29"/>
  <c r="Y113" i="29"/>
  <c r="Y43" i="29"/>
  <c r="Y67" i="29"/>
  <c r="Y83" i="29"/>
  <c r="Y107" i="29"/>
  <c r="Y112" i="29"/>
  <c r="Y93" i="29"/>
  <c r="Y102" i="29"/>
  <c r="Y106" i="29"/>
  <c r="Y58" i="29"/>
  <c r="Y105" i="29"/>
  <c r="Y114" i="29"/>
  <c r="Y116" i="29"/>
  <c r="Y125" i="29"/>
  <c r="Y128" i="29"/>
  <c r="Y131" i="29"/>
  <c r="Y140" i="29"/>
  <c r="Y143" i="29"/>
  <c r="Y155" i="29"/>
  <c r="Y160" i="29"/>
  <c r="Y53" i="29"/>
  <c r="Y74" i="29"/>
  <c r="Y103" i="29"/>
  <c r="Y24" i="29"/>
  <c r="Y118" i="29"/>
  <c r="Y132" i="29"/>
  <c r="Y135" i="29"/>
  <c r="Y139" i="29"/>
  <c r="Y149" i="29"/>
  <c r="Y153" i="29"/>
  <c r="Y157" i="29"/>
  <c r="Y171" i="29"/>
  <c r="Y181" i="29"/>
  <c r="Y183" i="29"/>
  <c r="Y186" i="29"/>
  <c r="Y196" i="29"/>
  <c r="Y199" i="29"/>
  <c r="Y146" i="29"/>
  <c r="Y150" i="29"/>
  <c r="Y154" i="29"/>
  <c r="Y164" i="29"/>
  <c r="Y177" i="29"/>
  <c r="Y180" i="29"/>
  <c r="Y192" i="29"/>
  <c r="Y195" i="29"/>
  <c r="Y198" i="29"/>
  <c r="Y191" i="29"/>
  <c r="Y129" i="29"/>
  <c r="Y133" i="29"/>
  <c r="Y136" i="29"/>
  <c r="Y168" i="29"/>
  <c r="Y182" i="29"/>
  <c r="Y188" i="29"/>
  <c r="Y121" i="29"/>
  <c r="Y49" i="29"/>
  <c r="Y120" i="29"/>
  <c r="Y123" i="29"/>
  <c r="Y127" i="29"/>
  <c r="Y144" i="29"/>
  <c r="Y147" i="29"/>
  <c r="Y151" i="29"/>
  <c r="Y161" i="29"/>
  <c r="Y165" i="29"/>
  <c r="Y169" i="29"/>
  <c r="Y173" i="29"/>
  <c r="Y176" i="29"/>
  <c r="Y179" i="29"/>
  <c r="Y194" i="29"/>
  <c r="Y109" i="29"/>
  <c r="Y117" i="29"/>
  <c r="Y134" i="29"/>
  <c r="Y187" i="29"/>
  <c r="Y158" i="29"/>
  <c r="Y190" i="29"/>
  <c r="Y200" i="29"/>
  <c r="Y138" i="29"/>
  <c r="Y172" i="29"/>
  <c r="Y124" i="29"/>
  <c r="Y142" i="29"/>
  <c r="Y162" i="29"/>
  <c r="Y175" i="29"/>
  <c r="Y166" i="29"/>
  <c r="Y184" i="29"/>
  <c r="Y152" i="29"/>
  <c r="Y99" i="29"/>
  <c r="Y178" i="29"/>
  <c r="Y25" i="29"/>
  <c r="Y104" i="29"/>
  <c r="Y156" i="29"/>
  <c r="Y59" i="29"/>
  <c r="Y98" i="29"/>
  <c r="Y86" i="29"/>
  <c r="Y44" i="29"/>
  <c r="Y76" i="29"/>
  <c r="Y72" i="29"/>
  <c r="Y70" i="29"/>
  <c r="Y35" i="29"/>
  <c r="Y10" i="29"/>
  <c r="Y130" i="29"/>
  <c r="Y193" i="29"/>
  <c r="Y62" i="29"/>
  <c r="Y141" i="29"/>
  <c r="Y77" i="29"/>
  <c r="Y111" i="29"/>
  <c r="Y96" i="29"/>
  <c r="Y37" i="29"/>
  <c r="Y51" i="29"/>
  <c r="Y32" i="29"/>
  <c r="Y29" i="29"/>
  <c r="Y33" i="29"/>
  <c r="Y14" i="29"/>
  <c r="Y167" i="29"/>
  <c r="Y122" i="29"/>
  <c r="Y85" i="29"/>
  <c r="Y68" i="29"/>
  <c r="Y90" i="29"/>
  <c r="Y81" i="29"/>
  <c r="Y92" i="29"/>
  <c r="Y4" i="29"/>
  <c r="Y7" i="29"/>
  <c r="Y2" i="2" s="1"/>
  <c r="Y185" i="29"/>
  <c r="Y163" i="29"/>
  <c r="Y159" i="29"/>
  <c r="Y2" i="29"/>
  <c r="Y174" i="29"/>
  <c r="Y91" i="29"/>
  <c r="Y55" i="29"/>
  <c r="Y18" i="29"/>
  <c r="Y87" i="29"/>
  <c r="Y48" i="29"/>
  <c r="Y22" i="29"/>
  <c r="Y148" i="29"/>
  <c r="Y189" i="29"/>
  <c r="Y197" i="29"/>
  <c r="Y27" i="29"/>
  <c r="Y201" i="29"/>
  <c r="Y170" i="29"/>
  <c r="Y145" i="29"/>
  <c r="Y119" i="29"/>
  <c r="Y126" i="29"/>
  <c r="Y94" i="29"/>
  <c r="Y84" i="29"/>
  <c r="Y101" i="29"/>
  <c r="Y88" i="29"/>
  <c r="Y79" i="29"/>
  <c r="Y11" i="29"/>
  <c r="Y66" i="29"/>
  <c r="Y40" i="29"/>
  <c r="Y3" i="29"/>
  <c r="Y137" i="29"/>
  <c r="Y115" i="29"/>
  <c r="Y108" i="29"/>
  <c r="U9" i="29"/>
  <c r="U12" i="29"/>
  <c r="U17" i="29"/>
  <c r="U20" i="29"/>
  <c r="U24" i="29"/>
  <c r="U28" i="29"/>
  <c r="U31" i="29"/>
  <c r="U34" i="29"/>
  <c r="U8" i="29"/>
  <c r="U16" i="29"/>
  <c r="U19" i="29"/>
  <c r="U26" i="29"/>
  <c r="U36" i="29"/>
  <c r="U5" i="29"/>
  <c r="U25" i="29"/>
  <c r="U30" i="29"/>
  <c r="U43" i="29"/>
  <c r="U46" i="29"/>
  <c r="U49" i="29"/>
  <c r="U53" i="29"/>
  <c r="U58" i="29"/>
  <c r="U21" i="29"/>
  <c r="U39" i="29"/>
  <c r="U42" i="29"/>
  <c r="U45" i="29"/>
  <c r="U13" i="29"/>
  <c r="U23" i="29"/>
  <c r="U38" i="29"/>
  <c r="U50" i="29"/>
  <c r="U63" i="29"/>
  <c r="U72" i="29"/>
  <c r="U74" i="29"/>
  <c r="U83" i="29"/>
  <c r="U87" i="29"/>
  <c r="U90" i="29"/>
  <c r="U95" i="29"/>
  <c r="U15" i="29"/>
  <c r="U61" i="29"/>
  <c r="U65" i="29"/>
  <c r="U67" i="29"/>
  <c r="U76" i="29"/>
  <c r="U79" i="29"/>
  <c r="U82" i="29"/>
  <c r="U97" i="29"/>
  <c r="U32" i="29"/>
  <c r="U41" i="29"/>
  <c r="U52" i="29"/>
  <c r="U54" i="29"/>
  <c r="U73" i="29"/>
  <c r="U75" i="29"/>
  <c r="U78" i="29"/>
  <c r="U91" i="29"/>
  <c r="U94" i="29"/>
  <c r="U105" i="29"/>
  <c r="U114" i="29"/>
  <c r="U6" i="29"/>
  <c r="U56" i="29"/>
  <c r="U69" i="29"/>
  <c r="U93" i="29"/>
  <c r="U103" i="29"/>
  <c r="U110" i="29"/>
  <c r="U113" i="29"/>
  <c r="U64" i="29"/>
  <c r="U71" i="29"/>
  <c r="U84" i="29"/>
  <c r="U86" i="29"/>
  <c r="U89" i="29"/>
  <c r="U98" i="29"/>
  <c r="U100" i="29"/>
  <c r="U101" i="29"/>
  <c r="U107" i="29"/>
  <c r="U117" i="29"/>
  <c r="U120" i="29"/>
  <c r="U129" i="29"/>
  <c r="U132" i="29"/>
  <c r="U134" i="29"/>
  <c r="U144" i="29"/>
  <c r="U146" i="29"/>
  <c r="U149" i="29"/>
  <c r="U158" i="29"/>
  <c r="U161" i="29"/>
  <c r="U164" i="29"/>
  <c r="U35" i="29"/>
  <c r="U60" i="29"/>
  <c r="U80" i="29"/>
  <c r="U106" i="29"/>
  <c r="U47" i="29"/>
  <c r="U109" i="29"/>
  <c r="U102" i="29"/>
  <c r="U123" i="29"/>
  <c r="U127" i="29"/>
  <c r="U131" i="29"/>
  <c r="U147" i="29"/>
  <c r="U151" i="29"/>
  <c r="U155" i="29"/>
  <c r="U165" i="29"/>
  <c r="U169" i="29"/>
  <c r="U172" i="29"/>
  <c r="U175" i="29"/>
  <c r="U184" i="29"/>
  <c r="U187" i="29"/>
  <c r="U190" i="29"/>
  <c r="U200" i="29"/>
  <c r="U138" i="29"/>
  <c r="U142" i="29"/>
  <c r="U162" i="29"/>
  <c r="U171" i="29"/>
  <c r="U181" i="29"/>
  <c r="U183" i="29"/>
  <c r="U186" i="29"/>
  <c r="U196" i="29"/>
  <c r="U199" i="29"/>
  <c r="U192" i="29"/>
  <c r="U195" i="29"/>
  <c r="U121" i="29"/>
  <c r="U124" i="29"/>
  <c r="U128" i="29"/>
  <c r="U166" i="29"/>
  <c r="U198" i="29"/>
  <c r="U116" i="29"/>
  <c r="U112" i="29"/>
  <c r="U118" i="29"/>
  <c r="U125" i="29"/>
  <c r="U135" i="29"/>
  <c r="U139" i="29"/>
  <c r="U143" i="29"/>
  <c r="U153" i="29"/>
  <c r="U157" i="29"/>
  <c r="U160" i="29"/>
  <c r="U177" i="29"/>
  <c r="U180" i="29"/>
  <c r="U182" i="29"/>
  <c r="U57" i="29"/>
  <c r="U179" i="29"/>
  <c r="U133" i="29"/>
  <c r="U150" i="29"/>
  <c r="U168" i="29"/>
  <c r="U188" i="29"/>
  <c r="U191" i="29"/>
  <c r="U176" i="29"/>
  <c r="U194" i="29"/>
  <c r="U136" i="29"/>
  <c r="U154" i="29"/>
  <c r="U173" i="29"/>
  <c r="U140" i="29"/>
  <c r="U201" i="29"/>
  <c r="U2" i="29"/>
  <c r="U148" i="29"/>
  <c r="U197" i="29"/>
  <c r="U122" i="29"/>
  <c r="U115" i="29"/>
  <c r="U85" i="29"/>
  <c r="U108" i="29"/>
  <c r="U68" i="29"/>
  <c r="U81" i="29"/>
  <c r="U92" i="29"/>
  <c r="U4" i="29"/>
  <c r="U7" i="29"/>
  <c r="U2" i="2" s="1"/>
  <c r="U27" i="29"/>
  <c r="U167" i="29"/>
  <c r="U137" i="29"/>
  <c r="U178" i="29"/>
  <c r="U104" i="29"/>
  <c r="U156" i="29"/>
  <c r="U59" i="29"/>
  <c r="U44" i="29"/>
  <c r="U70" i="29"/>
  <c r="U145" i="29"/>
  <c r="U119" i="29"/>
  <c r="U40" i="29"/>
  <c r="U152" i="29"/>
  <c r="U10" i="29"/>
  <c r="U29" i="29"/>
  <c r="U170" i="29"/>
  <c r="U189" i="29"/>
  <c r="U126" i="29"/>
  <c r="U11" i="29"/>
  <c r="U22" i="29"/>
  <c r="U163" i="29"/>
  <c r="U185" i="29"/>
  <c r="U159" i="29"/>
  <c r="U3" i="29"/>
  <c r="U174" i="29"/>
  <c r="U130" i="29"/>
  <c r="U193" i="29"/>
  <c r="U62" i="29"/>
  <c r="U141" i="29"/>
  <c r="U77" i="29"/>
  <c r="U111" i="29"/>
  <c r="U96" i="29"/>
  <c r="U37" i="29"/>
  <c r="U55" i="29"/>
  <c r="U51" i="29"/>
  <c r="U33" i="29"/>
  <c r="U99" i="29"/>
  <c r="U88" i="29"/>
  <c r="U18" i="29"/>
  <c r="U66" i="29"/>
  <c r="U48" i="29"/>
  <c r="U14" i="29"/>
  <c r="X6" i="29"/>
  <c r="X13" i="29"/>
  <c r="X25" i="29"/>
  <c r="X27" i="29"/>
  <c r="X32" i="29"/>
  <c r="X7" i="29"/>
  <c r="X2" i="2" s="1"/>
  <c r="X14" i="29"/>
  <c r="X35" i="29"/>
  <c r="X9" i="29"/>
  <c r="X31" i="29"/>
  <c r="X38" i="29"/>
  <c r="X48" i="29"/>
  <c r="X50" i="29"/>
  <c r="X55" i="29"/>
  <c r="X3" i="29"/>
  <c r="X22" i="29"/>
  <c r="X44" i="29"/>
  <c r="X47" i="29"/>
  <c r="X17" i="29"/>
  <c r="X20" i="29"/>
  <c r="X40" i="29"/>
  <c r="X46" i="29"/>
  <c r="X59" i="29"/>
  <c r="X64" i="29"/>
  <c r="X75" i="29"/>
  <c r="X86" i="29"/>
  <c r="X91" i="29"/>
  <c r="X94" i="29"/>
  <c r="X10" i="29"/>
  <c r="X39" i="29"/>
  <c r="X51" i="29"/>
  <c r="X57" i="29"/>
  <c r="X62" i="29"/>
  <c r="X43" i="29"/>
  <c r="X83" i="29"/>
  <c r="X88" i="29"/>
  <c r="X101" i="29"/>
  <c r="X104" i="29"/>
  <c r="X107" i="29"/>
  <c r="X16" i="29"/>
  <c r="X37" i="29"/>
  <c r="X54" i="29"/>
  <c r="X76" i="29"/>
  <c r="X79" i="29"/>
  <c r="X102" i="29"/>
  <c r="X106" i="29"/>
  <c r="X24" i="29"/>
  <c r="X53" i="29"/>
  <c r="X58" i="29"/>
  <c r="X66" i="29"/>
  <c r="X72" i="29"/>
  <c r="X81" i="29"/>
  <c r="X90" i="29"/>
  <c r="X103" i="29"/>
  <c r="X29" i="29"/>
  <c r="X42" i="29"/>
  <c r="X68" i="29"/>
  <c r="X113" i="29"/>
  <c r="X119" i="29"/>
  <c r="X124" i="29"/>
  <c r="X136" i="29"/>
  <c r="X139" i="29"/>
  <c r="X148" i="29"/>
  <c r="X151" i="29"/>
  <c r="X154" i="29"/>
  <c r="X163" i="29"/>
  <c r="X166" i="29"/>
  <c r="X169" i="29"/>
  <c r="X108" i="29"/>
  <c r="X111" i="29"/>
  <c r="X61" i="29"/>
  <c r="X65" i="29"/>
  <c r="X110" i="29"/>
  <c r="X114" i="29"/>
  <c r="X115" i="29"/>
  <c r="X125" i="29"/>
  <c r="X129" i="29"/>
  <c r="X133" i="29"/>
  <c r="X143" i="29"/>
  <c r="X146" i="29"/>
  <c r="X150" i="29"/>
  <c r="X167" i="29"/>
  <c r="X174" i="29"/>
  <c r="X177" i="29"/>
  <c r="X180" i="29"/>
  <c r="X189" i="29"/>
  <c r="X192" i="29"/>
  <c r="X195" i="29"/>
  <c r="X147" i="29"/>
  <c r="X165" i="29"/>
  <c r="X170" i="29"/>
  <c r="X191" i="29"/>
  <c r="X197" i="29"/>
  <c r="X200" i="29"/>
  <c r="X122" i="29"/>
  <c r="X126" i="29"/>
  <c r="X130" i="29"/>
  <c r="X140" i="29"/>
  <c r="X144" i="29"/>
  <c r="X161" i="29"/>
  <c r="X173" i="29"/>
  <c r="X176" i="29"/>
  <c r="X185" i="29"/>
  <c r="X188" i="29"/>
  <c r="X201" i="29"/>
  <c r="X184" i="29"/>
  <c r="X118" i="29"/>
  <c r="X117" i="29"/>
  <c r="X121" i="29"/>
  <c r="X137" i="29"/>
  <c r="X141" i="29"/>
  <c r="X145" i="29"/>
  <c r="X155" i="29"/>
  <c r="X158" i="29"/>
  <c r="X162" i="29"/>
  <c r="X172" i="29"/>
  <c r="X187" i="29"/>
  <c r="X132" i="29"/>
  <c r="X152" i="29"/>
  <c r="X181" i="29"/>
  <c r="X199" i="29"/>
  <c r="X135" i="29"/>
  <c r="X156" i="29"/>
  <c r="X183" i="29"/>
  <c r="X128" i="29"/>
  <c r="X196" i="29"/>
  <c r="X159" i="29"/>
  <c r="X193" i="29"/>
  <c r="X178" i="29"/>
  <c r="X168" i="29"/>
  <c r="X138" i="29"/>
  <c r="X149" i="29"/>
  <c r="X142" i="29"/>
  <c r="X131" i="29"/>
  <c r="X78" i="29"/>
  <c r="X69" i="29"/>
  <c r="X98" i="29"/>
  <c r="X95" i="29"/>
  <c r="X89" i="29"/>
  <c r="X52" i="29"/>
  <c r="X18" i="29"/>
  <c r="X41" i="29"/>
  <c r="X45" i="29"/>
  <c r="X28" i="29"/>
  <c r="X19" i="29"/>
  <c r="X12" i="29"/>
  <c r="X4" i="29"/>
  <c r="X15" i="29"/>
  <c r="X8" i="29"/>
  <c r="X134" i="29"/>
  <c r="X127" i="29"/>
  <c r="X116" i="29"/>
  <c r="X109" i="29"/>
  <c r="X99" i="29"/>
  <c r="X30" i="29"/>
  <c r="X112" i="29"/>
  <c r="X84" i="29"/>
  <c r="X82" i="29"/>
  <c r="X67" i="29"/>
  <c r="X100" i="29"/>
  <c r="X85" i="29"/>
  <c r="X56" i="29"/>
  <c r="X96" i="29"/>
  <c r="X63" i="29"/>
  <c r="X21" i="29"/>
  <c r="X26" i="29"/>
  <c r="X175" i="29"/>
  <c r="X120" i="29"/>
  <c r="X123" i="29"/>
  <c r="X92" i="29"/>
  <c r="X97" i="29"/>
  <c r="X74" i="29"/>
  <c r="X11" i="29"/>
  <c r="X36" i="29"/>
  <c r="X171" i="29"/>
  <c r="X93" i="29"/>
  <c r="X77" i="29"/>
  <c r="X33" i="29"/>
  <c r="X73" i="29"/>
  <c r="X70" i="29"/>
  <c r="X5" i="29"/>
  <c r="X190" i="29"/>
  <c r="X164" i="29"/>
  <c r="X157" i="29"/>
  <c r="X153" i="29"/>
  <c r="X194" i="29"/>
  <c r="X198" i="29"/>
  <c r="X182" i="29"/>
  <c r="X2" i="29"/>
  <c r="X186" i="29"/>
  <c r="X105" i="29"/>
  <c r="X160" i="29"/>
  <c r="X87" i="29"/>
  <c r="X80" i="29"/>
  <c r="X60" i="29"/>
  <c r="X49" i="29"/>
  <c r="X71" i="29"/>
  <c r="X23" i="29"/>
  <c r="X179" i="29"/>
  <c r="X34" i="29"/>
  <c r="R4" i="29"/>
  <c r="R11" i="29"/>
  <c r="R18" i="29"/>
  <c r="R37" i="29"/>
  <c r="R5" i="29"/>
  <c r="R14" i="29"/>
  <c r="R23" i="29"/>
  <c r="R27" i="29"/>
  <c r="R30" i="29"/>
  <c r="R33" i="29"/>
  <c r="R35" i="29"/>
  <c r="R20" i="29"/>
  <c r="R38" i="29"/>
  <c r="R41" i="29"/>
  <c r="R44" i="29"/>
  <c r="R59" i="29"/>
  <c r="R29" i="29"/>
  <c r="R40" i="29"/>
  <c r="R49" i="29"/>
  <c r="R53" i="29"/>
  <c r="R62" i="29"/>
  <c r="R64" i="29"/>
  <c r="R68" i="29"/>
  <c r="R71" i="29"/>
  <c r="R77" i="29"/>
  <c r="R82" i="29"/>
  <c r="R85" i="29"/>
  <c r="R86" i="29"/>
  <c r="R89" i="29"/>
  <c r="R94" i="29"/>
  <c r="R97" i="29"/>
  <c r="R8" i="29"/>
  <c r="R42" i="29"/>
  <c r="R48" i="29"/>
  <c r="R55" i="29"/>
  <c r="R66" i="29"/>
  <c r="R92" i="29"/>
  <c r="R12" i="29"/>
  <c r="R22" i="29"/>
  <c r="R46" i="29"/>
  <c r="R72" i="29"/>
  <c r="R81" i="29"/>
  <c r="R99" i="29"/>
  <c r="R100" i="29"/>
  <c r="R104" i="29"/>
  <c r="R112" i="29"/>
  <c r="R61" i="29"/>
  <c r="R74" i="29"/>
  <c r="R96" i="29"/>
  <c r="R101" i="29"/>
  <c r="R106" i="29"/>
  <c r="R109" i="29"/>
  <c r="R111" i="29"/>
  <c r="R9" i="29"/>
  <c r="R51" i="29"/>
  <c r="R57" i="29"/>
  <c r="R70" i="29"/>
  <c r="R83" i="29"/>
  <c r="R88" i="29"/>
  <c r="R105" i="29"/>
  <c r="R108" i="29"/>
  <c r="R79" i="29"/>
  <c r="R124" i="29"/>
  <c r="R127" i="29"/>
  <c r="R130" i="29"/>
  <c r="R139" i="29"/>
  <c r="R142" i="29"/>
  <c r="R145" i="29"/>
  <c r="R154" i="29"/>
  <c r="R157" i="29"/>
  <c r="R159" i="29"/>
  <c r="R169" i="29"/>
  <c r="R45" i="29"/>
  <c r="R113" i="29"/>
  <c r="R128" i="29"/>
  <c r="R132" i="29"/>
  <c r="R135" i="29"/>
  <c r="R149" i="29"/>
  <c r="R153" i="29"/>
  <c r="R163" i="29"/>
  <c r="R167" i="29"/>
  <c r="R170" i="29"/>
  <c r="R180" i="29"/>
  <c r="R182" i="29"/>
  <c r="R185" i="29"/>
  <c r="R195" i="29"/>
  <c r="R198" i="29"/>
  <c r="R201" i="29"/>
  <c r="R143" i="29"/>
  <c r="R160" i="29"/>
  <c r="R164" i="29"/>
  <c r="R168" i="29"/>
  <c r="R176" i="29"/>
  <c r="R179" i="29"/>
  <c r="R187" i="29"/>
  <c r="R190" i="29"/>
  <c r="R115" i="29"/>
  <c r="R119" i="29"/>
  <c r="R122" i="29"/>
  <c r="R126" i="29"/>
  <c r="R146" i="29"/>
  <c r="R150" i="29"/>
  <c r="R191" i="29"/>
  <c r="R194" i="29"/>
  <c r="R197" i="29"/>
  <c r="R2" i="29"/>
  <c r="R117" i="29"/>
  <c r="R116" i="29"/>
  <c r="R120" i="29"/>
  <c r="R123" i="29"/>
  <c r="R137" i="29"/>
  <c r="R141" i="29"/>
  <c r="R161" i="29"/>
  <c r="R165" i="29"/>
  <c r="R172" i="29"/>
  <c r="R175" i="29"/>
  <c r="R178" i="29"/>
  <c r="R193" i="29"/>
  <c r="R121" i="29"/>
  <c r="R138" i="29"/>
  <c r="R156" i="29"/>
  <c r="R183" i="29"/>
  <c r="R186" i="29"/>
  <c r="R152" i="29"/>
  <c r="R174" i="29"/>
  <c r="R199" i="29"/>
  <c r="R131" i="29"/>
  <c r="R148" i="29"/>
  <c r="R171" i="29"/>
  <c r="R189" i="29"/>
  <c r="R134" i="29"/>
  <c r="R151" i="29"/>
  <c r="R144" i="29"/>
  <c r="R125" i="29"/>
  <c r="R91" i="29"/>
  <c r="R118" i="29"/>
  <c r="R114" i="29"/>
  <c r="R56" i="29"/>
  <c r="R84" i="29"/>
  <c r="R78" i="29"/>
  <c r="R36" i="29"/>
  <c r="R17" i="29"/>
  <c r="R21" i="29"/>
  <c r="R155" i="29"/>
  <c r="R67" i="29"/>
  <c r="R184" i="29"/>
  <c r="R140" i="29"/>
  <c r="R188" i="29"/>
  <c r="R162" i="29"/>
  <c r="R50" i="29"/>
  <c r="R65" i="29"/>
  <c r="R58" i="29"/>
  <c r="R39" i="29"/>
  <c r="R103" i="29"/>
  <c r="R95" i="29"/>
  <c r="R69" i="29"/>
  <c r="R34" i="29"/>
  <c r="R26" i="29"/>
  <c r="R52" i="29"/>
  <c r="R24" i="29"/>
  <c r="R32" i="29"/>
  <c r="R19" i="29"/>
  <c r="R28" i="29"/>
  <c r="R200" i="29"/>
  <c r="R133" i="29"/>
  <c r="R43" i="29"/>
  <c r="R10" i="29"/>
  <c r="R3" i="29"/>
  <c r="R192" i="29"/>
  <c r="R177" i="29"/>
  <c r="R107" i="29"/>
  <c r="R75" i="29"/>
  <c r="R15" i="29"/>
  <c r="R13" i="29"/>
  <c r="R87" i="29"/>
  <c r="R98" i="29"/>
  <c r="R196" i="29"/>
  <c r="R158" i="29"/>
  <c r="R47" i="29"/>
  <c r="R6" i="29"/>
  <c r="R166" i="29"/>
  <c r="R181" i="29"/>
  <c r="R73" i="29"/>
  <c r="R173" i="29"/>
  <c r="R129" i="29"/>
  <c r="R110" i="29"/>
  <c r="R147" i="29"/>
  <c r="R63" i="29"/>
  <c r="R90" i="29"/>
  <c r="R102" i="29"/>
  <c r="R93" i="29"/>
  <c r="R60" i="29"/>
  <c r="R31" i="29"/>
  <c r="R16" i="29"/>
  <c r="R25" i="29"/>
  <c r="R136" i="29"/>
  <c r="R76" i="29"/>
  <c r="R80" i="29"/>
  <c r="R54" i="29"/>
  <c r="R7" i="29"/>
  <c r="R2" i="2" s="1"/>
  <c r="V14" i="29"/>
  <c r="V15" i="29"/>
  <c r="V33" i="29"/>
  <c r="V35" i="29"/>
  <c r="V9" i="29"/>
  <c r="V12" i="29"/>
  <c r="V20" i="29"/>
  <c r="V22" i="29"/>
  <c r="V24" i="29"/>
  <c r="V31" i="29"/>
  <c r="V34" i="29"/>
  <c r="V8" i="29"/>
  <c r="V40" i="29"/>
  <c r="V5" i="29"/>
  <c r="V11" i="29"/>
  <c r="V18" i="29"/>
  <c r="V27" i="29"/>
  <c r="V30" i="29"/>
  <c r="V46" i="29"/>
  <c r="V49" i="29"/>
  <c r="V51" i="29"/>
  <c r="V53" i="29"/>
  <c r="V4" i="29"/>
  <c r="V45" i="29"/>
  <c r="V57" i="29"/>
  <c r="V66" i="29"/>
  <c r="V92" i="29"/>
  <c r="V93" i="29"/>
  <c r="V13" i="29"/>
  <c r="V23" i="29"/>
  <c r="V38" i="29"/>
  <c r="V44" i="29"/>
  <c r="V70" i="29"/>
  <c r="V72" i="29"/>
  <c r="V74" i="29"/>
  <c r="V81" i="29"/>
  <c r="V83" i="29"/>
  <c r="V88" i="29"/>
  <c r="V90" i="29"/>
  <c r="V100" i="29"/>
  <c r="V102" i="29"/>
  <c r="V16" i="29"/>
  <c r="V26" i="29"/>
  <c r="V37" i="29"/>
  <c r="V48" i="29"/>
  <c r="V59" i="29"/>
  <c r="V79" i="29"/>
  <c r="V82" i="29"/>
  <c r="V97" i="29"/>
  <c r="V106" i="29"/>
  <c r="V109" i="29"/>
  <c r="V111" i="29"/>
  <c r="V41" i="29"/>
  <c r="V62" i="29"/>
  <c r="V75" i="29"/>
  <c r="V78" i="29"/>
  <c r="V85" i="29"/>
  <c r="V94" i="29"/>
  <c r="V105" i="29"/>
  <c r="V108" i="29"/>
  <c r="V19" i="29"/>
  <c r="V29" i="29"/>
  <c r="V42" i="29"/>
  <c r="V61" i="29"/>
  <c r="V68" i="29"/>
  <c r="V96" i="29"/>
  <c r="V99" i="29"/>
  <c r="V104" i="29"/>
  <c r="V89" i="29"/>
  <c r="V112" i="29"/>
  <c r="V121" i="29"/>
  <c r="V123" i="29"/>
  <c r="V126" i="29"/>
  <c r="V135" i="29"/>
  <c r="V138" i="29"/>
  <c r="V141" i="29"/>
  <c r="V150" i="29"/>
  <c r="V153" i="29"/>
  <c r="V156" i="29"/>
  <c r="V165" i="29"/>
  <c r="V168" i="29"/>
  <c r="V64" i="29"/>
  <c r="V55" i="29"/>
  <c r="V71" i="29"/>
  <c r="V86" i="29"/>
  <c r="V101" i="29"/>
  <c r="V116" i="29"/>
  <c r="V120" i="29"/>
  <c r="V130" i="29"/>
  <c r="V137" i="29"/>
  <c r="V154" i="29"/>
  <c r="V161" i="29"/>
  <c r="V176" i="29"/>
  <c r="V179" i="29"/>
  <c r="V191" i="29"/>
  <c r="V194" i="29"/>
  <c r="V197" i="29"/>
  <c r="V145" i="29"/>
  <c r="V169" i="29"/>
  <c r="V187" i="29"/>
  <c r="V193" i="29"/>
  <c r="V189" i="29"/>
  <c r="V199" i="29"/>
  <c r="V113" i="29"/>
  <c r="V117" i="29"/>
  <c r="V127" i="29"/>
  <c r="V131" i="29"/>
  <c r="V134" i="29"/>
  <c r="V148" i="29"/>
  <c r="V152" i="29"/>
  <c r="V172" i="29"/>
  <c r="V175" i="29"/>
  <c r="V178" i="29"/>
  <c r="V190" i="29"/>
  <c r="V186" i="29"/>
  <c r="V124" i="29"/>
  <c r="V128" i="29"/>
  <c r="V132" i="29"/>
  <c r="V142" i="29"/>
  <c r="V149" i="29"/>
  <c r="V159" i="29"/>
  <c r="V163" i="29"/>
  <c r="V167" i="29"/>
  <c r="V171" i="29"/>
  <c r="V174" i="29"/>
  <c r="V183" i="29"/>
  <c r="V77" i="29"/>
  <c r="V115" i="29"/>
  <c r="V119" i="29"/>
  <c r="V122" i="29"/>
  <c r="V146" i="29"/>
  <c r="V164" i="29"/>
  <c r="V185" i="29"/>
  <c r="V170" i="29"/>
  <c r="V195" i="29"/>
  <c r="V143" i="29"/>
  <c r="V160" i="29"/>
  <c r="V182" i="29"/>
  <c r="V201" i="29"/>
  <c r="V139" i="29"/>
  <c r="V157" i="29"/>
  <c r="V180" i="29"/>
  <c r="V198" i="29"/>
  <c r="V192" i="29"/>
  <c r="V177" i="29"/>
  <c r="V155" i="29"/>
  <c r="V184" i="29"/>
  <c r="V67" i="29"/>
  <c r="V2" i="29"/>
  <c r="V188" i="29"/>
  <c r="V107" i="29"/>
  <c r="V162" i="29"/>
  <c r="V50" i="29"/>
  <c r="V65" i="29"/>
  <c r="V58" i="29"/>
  <c r="V39" i="29"/>
  <c r="V103" i="29"/>
  <c r="V95" i="29"/>
  <c r="V69" i="29"/>
  <c r="V52" i="29"/>
  <c r="V32" i="29"/>
  <c r="V173" i="29"/>
  <c r="V129" i="29"/>
  <c r="V110" i="29"/>
  <c r="V63" i="29"/>
  <c r="V87" i="29"/>
  <c r="V98" i="29"/>
  <c r="V28" i="29"/>
  <c r="V54" i="29"/>
  <c r="V6" i="29"/>
  <c r="V140" i="29"/>
  <c r="V91" i="29"/>
  <c r="V118" i="29"/>
  <c r="V21" i="29"/>
  <c r="V166" i="29"/>
  <c r="V181" i="29"/>
  <c r="V73" i="29"/>
  <c r="V196" i="29"/>
  <c r="V147" i="29"/>
  <c r="V60" i="29"/>
  <c r="V25" i="29"/>
  <c r="V43" i="29"/>
  <c r="V47" i="29"/>
  <c r="V7" i="29"/>
  <c r="V2" i="2" s="1"/>
  <c r="V10" i="29"/>
  <c r="V125" i="29"/>
  <c r="V114" i="29"/>
  <c r="V56" i="29"/>
  <c r="V84" i="29"/>
  <c r="V158" i="29"/>
  <c r="V136" i="29"/>
  <c r="V200" i="29"/>
  <c r="V144" i="29"/>
  <c r="V133" i="29"/>
  <c r="V76" i="29"/>
  <c r="V80" i="29"/>
  <c r="V3" i="29"/>
  <c r="V151" i="29"/>
  <c r="V36" i="29"/>
  <c r="V17" i="29"/>
  <c r="S3" i="29"/>
  <c r="S8" i="29"/>
  <c r="S10" i="29"/>
  <c r="S25" i="29"/>
  <c r="S26" i="29"/>
  <c r="S29" i="29"/>
  <c r="S32" i="29"/>
  <c r="S4" i="29"/>
  <c r="S11" i="29"/>
  <c r="S18" i="29"/>
  <c r="S21" i="29"/>
  <c r="S7" i="29"/>
  <c r="S2" i="2" s="1"/>
  <c r="S14" i="29"/>
  <c r="S17" i="29"/>
  <c r="S33" i="29"/>
  <c r="S37" i="29"/>
  <c r="S45" i="29"/>
  <c r="S48" i="29"/>
  <c r="S50" i="29"/>
  <c r="S55" i="29"/>
  <c r="S36" i="29"/>
  <c r="S41" i="29"/>
  <c r="S44" i="29"/>
  <c r="S47" i="29"/>
  <c r="S52" i="29"/>
  <c r="S28" i="29"/>
  <c r="S43" i="29"/>
  <c r="S54" i="29"/>
  <c r="S59" i="29"/>
  <c r="S67" i="29"/>
  <c r="S73" i="29"/>
  <c r="S84" i="29"/>
  <c r="S91" i="29"/>
  <c r="S96" i="29"/>
  <c r="S98" i="29"/>
  <c r="S34" i="29"/>
  <c r="S49" i="29"/>
  <c r="S62" i="29"/>
  <c r="S69" i="29"/>
  <c r="S71" i="29"/>
  <c r="S77" i="29"/>
  <c r="S78" i="29"/>
  <c r="S80" i="29"/>
  <c r="S85" i="29"/>
  <c r="S89" i="29"/>
  <c r="S99" i="29"/>
  <c r="S104" i="29"/>
  <c r="S56" i="29"/>
  <c r="S66" i="29"/>
  <c r="S87" i="29"/>
  <c r="S93" i="29"/>
  <c r="S107" i="29"/>
  <c r="S12" i="29"/>
  <c r="S22" i="29"/>
  <c r="S39" i="29"/>
  <c r="S58" i="29"/>
  <c r="S65" i="29"/>
  <c r="S81" i="29"/>
  <c r="S100" i="29"/>
  <c r="S102" i="29"/>
  <c r="S112" i="29"/>
  <c r="S115" i="29"/>
  <c r="S40" i="29"/>
  <c r="S60" i="29"/>
  <c r="S92" i="29"/>
  <c r="S95" i="29"/>
  <c r="S109" i="29"/>
  <c r="S51" i="29"/>
  <c r="S63" i="29"/>
  <c r="S103" i="29"/>
  <c r="S108" i="29"/>
  <c r="S110" i="29"/>
  <c r="S116" i="29"/>
  <c r="S119" i="29"/>
  <c r="S131" i="29"/>
  <c r="S136" i="29"/>
  <c r="S148" i="29"/>
  <c r="S151" i="29"/>
  <c r="S160" i="29"/>
  <c r="S163" i="29"/>
  <c r="S166" i="29"/>
  <c r="S70" i="29"/>
  <c r="S76" i="29"/>
  <c r="S118" i="29"/>
  <c r="S134" i="29"/>
  <c r="S138" i="29"/>
  <c r="S142" i="29"/>
  <c r="S152" i="29"/>
  <c r="S156" i="29"/>
  <c r="S159" i="29"/>
  <c r="S171" i="29"/>
  <c r="S174" i="29"/>
  <c r="S177" i="29"/>
  <c r="S186" i="29"/>
  <c r="S189" i="29"/>
  <c r="S192" i="29"/>
  <c r="S149" i="29"/>
  <c r="S153" i="29"/>
  <c r="S167" i="29"/>
  <c r="S173" i="29"/>
  <c r="S182" i="29"/>
  <c r="S185" i="29"/>
  <c r="S188" i="29"/>
  <c r="S198" i="29"/>
  <c r="S201" i="29"/>
  <c r="S194" i="29"/>
  <c r="S88" i="29"/>
  <c r="S105" i="29"/>
  <c r="S111" i="29"/>
  <c r="S125" i="29"/>
  <c r="S129" i="29"/>
  <c r="S133" i="29"/>
  <c r="S157" i="29"/>
  <c r="S170" i="29"/>
  <c r="S197" i="29"/>
  <c r="S200" i="29"/>
  <c r="S120" i="29"/>
  <c r="S123" i="29"/>
  <c r="S114" i="29"/>
  <c r="S122" i="29"/>
  <c r="S126" i="29"/>
  <c r="S130" i="29"/>
  <c r="S140" i="29"/>
  <c r="S144" i="29"/>
  <c r="S147" i="29"/>
  <c r="S164" i="29"/>
  <c r="S168" i="29"/>
  <c r="S179" i="29"/>
  <c r="S184" i="29"/>
  <c r="S141" i="29"/>
  <c r="S158" i="29"/>
  <c r="S190" i="29"/>
  <c r="S145" i="29"/>
  <c r="S175" i="29"/>
  <c r="S193" i="29"/>
  <c r="S196" i="29"/>
  <c r="S137" i="29"/>
  <c r="S127" i="29"/>
  <c r="S162" i="29"/>
  <c r="S178" i="29"/>
  <c r="S155" i="29"/>
  <c r="S181" i="29"/>
  <c r="S165" i="29"/>
  <c r="S183" i="29"/>
  <c r="S187" i="29"/>
  <c r="S191" i="29"/>
  <c r="S180" i="29"/>
  <c r="S132" i="29"/>
  <c r="S128" i="29"/>
  <c r="S154" i="29"/>
  <c r="S57" i="29"/>
  <c r="S74" i="29"/>
  <c r="S6" i="29"/>
  <c r="S101" i="29"/>
  <c r="S86" i="29"/>
  <c r="S68" i="29"/>
  <c r="S42" i="29"/>
  <c r="S27" i="29"/>
  <c r="S30" i="29"/>
  <c r="S2" i="29"/>
  <c r="S135" i="29"/>
  <c r="S121" i="29"/>
  <c r="S9" i="29"/>
  <c r="S139" i="29"/>
  <c r="S31" i="29"/>
  <c r="S82" i="29"/>
  <c r="S20" i="29"/>
  <c r="S19" i="29"/>
  <c r="S38" i="29"/>
  <c r="S176" i="29"/>
  <c r="S195" i="29"/>
  <c r="S106" i="29"/>
  <c r="S90" i="29"/>
  <c r="S97" i="29"/>
  <c r="S172" i="29"/>
  <c r="S161" i="29"/>
  <c r="S143" i="29"/>
  <c r="S15" i="29"/>
  <c r="S23" i="29"/>
  <c r="S5" i="29"/>
  <c r="S53" i="29"/>
  <c r="S64" i="29"/>
  <c r="S146" i="29"/>
  <c r="S169" i="29"/>
  <c r="S83" i="29"/>
  <c r="S61" i="29"/>
  <c r="S24" i="29"/>
  <c r="S35" i="29"/>
  <c r="S16" i="29"/>
  <c r="S117" i="29"/>
  <c r="S150" i="29"/>
  <c r="S79" i="29"/>
  <c r="S124" i="29"/>
  <c r="S72" i="29"/>
  <c r="S75" i="29"/>
  <c r="S94" i="29"/>
  <c r="S13" i="29"/>
  <c r="S199" i="29"/>
  <c r="S113" i="29"/>
  <c r="S46" i="29"/>
  <c r="T16" i="29"/>
  <c r="T22" i="29"/>
  <c r="T36" i="29"/>
  <c r="T3" i="29"/>
  <c r="T10" i="29"/>
  <c r="T13" i="29"/>
  <c r="T25" i="29"/>
  <c r="T29" i="29"/>
  <c r="T32" i="29"/>
  <c r="T11" i="29"/>
  <c r="T18" i="29"/>
  <c r="T21" i="29"/>
  <c r="T27" i="29"/>
  <c r="T39" i="29"/>
  <c r="T42" i="29"/>
  <c r="T51" i="29"/>
  <c r="T57" i="29"/>
  <c r="T7" i="29"/>
  <c r="T2" i="2" s="1"/>
  <c r="T14" i="29"/>
  <c r="T17" i="29"/>
  <c r="T20" i="29"/>
  <c r="T24" i="29"/>
  <c r="T33" i="29"/>
  <c r="T37" i="29"/>
  <c r="T38" i="29"/>
  <c r="T48" i="29"/>
  <c r="T50" i="29"/>
  <c r="T44" i="29"/>
  <c r="T58" i="29"/>
  <c r="T61" i="29"/>
  <c r="T65" i="29"/>
  <c r="T70" i="29"/>
  <c r="T76" i="29"/>
  <c r="T79" i="29"/>
  <c r="T81" i="29"/>
  <c r="T88" i="29"/>
  <c r="T28" i="29"/>
  <c r="T31" i="29"/>
  <c r="T43" i="29"/>
  <c r="T53" i="29"/>
  <c r="T54" i="29"/>
  <c r="T59" i="29"/>
  <c r="T64" i="29"/>
  <c r="T68" i="29"/>
  <c r="T73" i="29"/>
  <c r="T75" i="29"/>
  <c r="T84" i="29"/>
  <c r="T86" i="29"/>
  <c r="T91" i="29"/>
  <c r="T94" i="29"/>
  <c r="T96" i="29"/>
  <c r="T98" i="29"/>
  <c r="T101" i="29"/>
  <c r="T6" i="29"/>
  <c r="T62" i="29"/>
  <c r="T69" i="29"/>
  <c r="T85" i="29"/>
  <c r="T103" i="29"/>
  <c r="T108" i="29"/>
  <c r="T110" i="29"/>
  <c r="T113" i="29"/>
  <c r="T46" i="29"/>
  <c r="T66" i="29"/>
  <c r="T72" i="29"/>
  <c r="T87" i="29"/>
  <c r="T90" i="29"/>
  <c r="T99" i="29"/>
  <c r="T104" i="29"/>
  <c r="T107" i="29"/>
  <c r="T35" i="29"/>
  <c r="T47" i="29"/>
  <c r="T55" i="29"/>
  <c r="T77" i="29"/>
  <c r="T80" i="29"/>
  <c r="T102" i="29"/>
  <c r="T106" i="29"/>
  <c r="T9" i="29"/>
  <c r="T95" i="29"/>
  <c r="T111" i="29"/>
  <c r="T122" i="29"/>
  <c r="T125" i="29"/>
  <c r="T128" i="29"/>
  <c r="T137" i="29"/>
  <c r="T140" i="29"/>
  <c r="T143" i="29"/>
  <c r="T152" i="29"/>
  <c r="T155" i="29"/>
  <c r="T167" i="29"/>
  <c r="T92" i="29"/>
  <c r="T83" i="29"/>
  <c r="T117" i="29"/>
  <c r="T121" i="29"/>
  <c r="T124" i="29"/>
  <c r="T141" i="29"/>
  <c r="T145" i="29"/>
  <c r="T148" i="29"/>
  <c r="T158" i="29"/>
  <c r="T162" i="29"/>
  <c r="T166" i="29"/>
  <c r="T178" i="29"/>
  <c r="T181" i="29"/>
  <c r="T183" i="29"/>
  <c r="T193" i="29"/>
  <c r="T196" i="29"/>
  <c r="T199" i="29"/>
  <c r="T139" i="29"/>
  <c r="T156" i="29"/>
  <c r="T163" i="29"/>
  <c r="T174" i="29"/>
  <c r="T177" i="29"/>
  <c r="T180" i="29"/>
  <c r="T189" i="29"/>
  <c r="T195" i="29"/>
  <c r="T185" i="29"/>
  <c r="T188" i="29"/>
  <c r="T40" i="29"/>
  <c r="T118" i="29"/>
  <c r="T132" i="29"/>
  <c r="T135" i="29"/>
  <c r="T159" i="29"/>
  <c r="T192" i="29"/>
  <c r="T191" i="29"/>
  <c r="T114" i="29"/>
  <c r="T115" i="29"/>
  <c r="T119" i="29"/>
  <c r="T129" i="29"/>
  <c r="T133" i="29"/>
  <c r="T136" i="29"/>
  <c r="T146" i="29"/>
  <c r="T150" i="29"/>
  <c r="T154" i="29"/>
  <c r="T170" i="29"/>
  <c r="T173" i="29"/>
  <c r="T176" i="29"/>
  <c r="T201" i="29"/>
  <c r="T126" i="29"/>
  <c r="T144" i="29"/>
  <c r="T161" i="29"/>
  <c r="T172" i="29"/>
  <c r="T197" i="29"/>
  <c r="T147" i="29"/>
  <c r="T165" i="29"/>
  <c r="T200" i="29"/>
  <c r="T130" i="29"/>
  <c r="T151" i="29"/>
  <c r="T169" i="29"/>
  <c r="T184" i="29"/>
  <c r="T187" i="29"/>
  <c r="T179" i="29"/>
  <c r="T198" i="29"/>
  <c r="T171" i="29"/>
  <c r="T100" i="29"/>
  <c r="T93" i="29"/>
  <c r="T56" i="29"/>
  <c r="T63" i="29"/>
  <c r="T5" i="29"/>
  <c r="T26" i="29"/>
  <c r="T34" i="29"/>
  <c r="T2" i="29"/>
  <c r="T131" i="29"/>
  <c r="T78" i="29"/>
  <c r="T89" i="29"/>
  <c r="T52" i="29"/>
  <c r="T45" i="29"/>
  <c r="T19" i="29"/>
  <c r="T4" i="29"/>
  <c r="T15" i="29"/>
  <c r="T8" i="29"/>
  <c r="T160" i="29"/>
  <c r="T49" i="29"/>
  <c r="T71" i="29"/>
  <c r="T74" i="29"/>
  <c r="T23" i="29"/>
  <c r="T41" i="29"/>
  <c r="T12" i="29"/>
  <c r="T67" i="29"/>
  <c r="T168" i="29"/>
  <c r="T153" i="29"/>
  <c r="T105" i="29"/>
  <c r="T175" i="29"/>
  <c r="T149" i="29"/>
  <c r="T142" i="29"/>
  <c r="T194" i="29"/>
  <c r="T138" i="29"/>
  <c r="T134" i="29"/>
  <c r="T127" i="29"/>
  <c r="T123" i="29"/>
  <c r="T116" i="29"/>
  <c r="T109" i="29"/>
  <c r="T30" i="29"/>
  <c r="T112" i="29"/>
  <c r="T97" i="29"/>
  <c r="T82" i="29"/>
  <c r="T190" i="29"/>
  <c r="T164" i="29"/>
  <c r="T157" i="29"/>
  <c r="T120" i="29"/>
  <c r="T182" i="29"/>
  <c r="T186" i="29"/>
  <c r="T60" i="29"/>
  <c r="Q5" i="29"/>
  <c r="Q13" i="29"/>
  <c r="Q19" i="29"/>
  <c r="Q21" i="29"/>
  <c r="Q23" i="29"/>
  <c r="Q30" i="29"/>
  <c r="Q35" i="29"/>
  <c r="Q6" i="29"/>
  <c r="Q9" i="29"/>
  <c r="Q12" i="29"/>
  <c r="Q17" i="29"/>
  <c r="Q20" i="29"/>
  <c r="Q28" i="29"/>
  <c r="Q24" i="29"/>
  <c r="Q36" i="29"/>
  <c r="Q47" i="29"/>
  <c r="Q52" i="29"/>
  <c r="Q54" i="29"/>
  <c r="Q16" i="29"/>
  <c r="Q26" i="29"/>
  <c r="Q43" i="29"/>
  <c r="Q46" i="29"/>
  <c r="Q49" i="29"/>
  <c r="Q53" i="29"/>
  <c r="Q8" i="29"/>
  <c r="Q15" i="29"/>
  <c r="Q31" i="29"/>
  <c r="Q34" i="29"/>
  <c r="Q42" i="29"/>
  <c r="Q69" i="29"/>
  <c r="Q75" i="29"/>
  <c r="Q78" i="29"/>
  <c r="Q80" i="29"/>
  <c r="Q41" i="29"/>
  <c r="Q56" i="29"/>
  <c r="Q57" i="29"/>
  <c r="Q60" i="29"/>
  <c r="Q83" i="29"/>
  <c r="Q87" i="29"/>
  <c r="Q93" i="29"/>
  <c r="Q95" i="29"/>
  <c r="Q100" i="29"/>
  <c r="Q102" i="29"/>
  <c r="Q103" i="29"/>
  <c r="Q39" i="29"/>
  <c r="Q58" i="29"/>
  <c r="Q61" i="29"/>
  <c r="Q65" i="29"/>
  <c r="Q74" i="29"/>
  <c r="Q90" i="29"/>
  <c r="Q106" i="29"/>
  <c r="Q109" i="29"/>
  <c r="Q50" i="29"/>
  <c r="Q64" i="29"/>
  <c r="Q71" i="29"/>
  <c r="Q89" i="29"/>
  <c r="Q105" i="29"/>
  <c r="Q114" i="29"/>
  <c r="Q45" i="29"/>
  <c r="Q63" i="29"/>
  <c r="Q76" i="29"/>
  <c r="Q79" i="29"/>
  <c r="Q118" i="29"/>
  <c r="Q121" i="29"/>
  <c r="Q123" i="29"/>
  <c r="Q133" i="29"/>
  <c r="Q135" i="29"/>
  <c r="Q138" i="29"/>
  <c r="Q147" i="29"/>
  <c r="Q150" i="29"/>
  <c r="Q153" i="29"/>
  <c r="Q162" i="29"/>
  <c r="Q165" i="29"/>
  <c r="Q168" i="29"/>
  <c r="Q91" i="29"/>
  <c r="Q97" i="29"/>
  <c r="Q38" i="29"/>
  <c r="Q82" i="29"/>
  <c r="Q107" i="29"/>
  <c r="Q112" i="29"/>
  <c r="Q110" i="29"/>
  <c r="Q125" i="29"/>
  <c r="Q129" i="29"/>
  <c r="Q139" i="29"/>
  <c r="Q143" i="29"/>
  <c r="Q146" i="29"/>
  <c r="Q157" i="29"/>
  <c r="Q160" i="29"/>
  <c r="Q164" i="29"/>
  <c r="Q173" i="29"/>
  <c r="Q176" i="29"/>
  <c r="Q179" i="29"/>
  <c r="Q188" i="29"/>
  <c r="Q191" i="29"/>
  <c r="Q194" i="29"/>
  <c r="Q140" i="29"/>
  <c r="Q144" i="29"/>
  <c r="Q154" i="29"/>
  <c r="Q161" i="29"/>
  <c r="Q172" i="29"/>
  <c r="Q175" i="29"/>
  <c r="Q184" i="29"/>
  <c r="Q187" i="29"/>
  <c r="Q190" i="29"/>
  <c r="Q67" i="29"/>
  <c r="Q116" i="29"/>
  <c r="Q120" i="29"/>
  <c r="Q136" i="29"/>
  <c r="Q200" i="29"/>
  <c r="Q196" i="29"/>
  <c r="Q73" i="29"/>
  <c r="Q94" i="29"/>
  <c r="Q117" i="29"/>
  <c r="Q127" i="29"/>
  <c r="Q131" i="29"/>
  <c r="Q134" i="29"/>
  <c r="Q151" i="29"/>
  <c r="Q155" i="29"/>
  <c r="Q158" i="29"/>
  <c r="Q169" i="29"/>
  <c r="Q171" i="29"/>
  <c r="Q181" i="29"/>
  <c r="Q183" i="29"/>
  <c r="Q186" i="29"/>
  <c r="Q199" i="29"/>
  <c r="Q113" i="29"/>
  <c r="Q177" i="29"/>
  <c r="Q195" i="29"/>
  <c r="Q142" i="29"/>
  <c r="Q180" i="29"/>
  <c r="Q198" i="29"/>
  <c r="Q124" i="29"/>
  <c r="Q132" i="29"/>
  <c r="Q192" i="29"/>
  <c r="Q128" i="29"/>
  <c r="Q166" i="29"/>
  <c r="Q182" i="29"/>
  <c r="Q149" i="29"/>
  <c r="Q185" i="29"/>
  <c r="Q167" i="29"/>
  <c r="Q159" i="29"/>
  <c r="Q170" i="29"/>
  <c r="Q99" i="29"/>
  <c r="Q189" i="29"/>
  <c r="Q145" i="29"/>
  <c r="Q137" i="29"/>
  <c r="Q119" i="29"/>
  <c r="Q126" i="29"/>
  <c r="Q88" i="29"/>
  <c r="Q18" i="29"/>
  <c r="Q11" i="29"/>
  <c r="Q66" i="29"/>
  <c r="Q48" i="29"/>
  <c r="Q40" i="29"/>
  <c r="Q22" i="29"/>
  <c r="Q14" i="29"/>
  <c r="Q148" i="29"/>
  <c r="Q3" i="29"/>
  <c r="Q178" i="29"/>
  <c r="Q197" i="29"/>
  <c r="Q122" i="29"/>
  <c r="Q25" i="29"/>
  <c r="Q85" i="29"/>
  <c r="Q98" i="29"/>
  <c r="Q86" i="29"/>
  <c r="Q72" i="29"/>
  <c r="Q92" i="29"/>
  <c r="Q4" i="29"/>
  <c r="Q7" i="29"/>
  <c r="Q2" i="2" s="1"/>
  <c r="Q27" i="29"/>
  <c r="Q130" i="29"/>
  <c r="Q62" i="29"/>
  <c r="Q141" i="29"/>
  <c r="Q111" i="29"/>
  <c r="Q37" i="29"/>
  <c r="Q33" i="29"/>
  <c r="Q201" i="29"/>
  <c r="Q115" i="29"/>
  <c r="Q108" i="29"/>
  <c r="Q68" i="29"/>
  <c r="Q81" i="29"/>
  <c r="Q32" i="29"/>
  <c r="Q10" i="29"/>
  <c r="Q163" i="29"/>
  <c r="Q2" i="29"/>
  <c r="Q174" i="29"/>
  <c r="Q77" i="29"/>
  <c r="Q101" i="29"/>
  <c r="Q55" i="29"/>
  <c r="Q29" i="29"/>
  <c r="Q152" i="29"/>
  <c r="Q104" i="29"/>
  <c r="Q156" i="29"/>
  <c r="Q59" i="29"/>
  <c r="Q44" i="29"/>
  <c r="Q70" i="29"/>
  <c r="Q193" i="29"/>
  <c r="Q84" i="29"/>
  <c r="Q96" i="29"/>
  <c r="Q51" i="29"/>
  <c r="M17" i="2"/>
  <c r="E17" i="2" l="1"/>
  <c r="D17" i="2"/>
  <c r="L17" i="6" l="1"/>
  <c r="L19" i="12" s="1"/>
  <c r="J20" i="5"/>
  <c r="J8" i="12" s="1"/>
  <c r="I17" i="7"/>
  <c r="I18" i="12" s="1"/>
  <c r="I17" i="4"/>
  <c r="I21" i="12" s="1"/>
  <c r="G20" i="5"/>
  <c r="G8" i="12" s="1"/>
  <c r="E17" i="4"/>
  <c r="E21" i="12" s="1"/>
  <c r="E17" i="5"/>
  <c r="E20" i="12" s="1"/>
  <c r="D17" i="5"/>
  <c r="D20" i="12" s="1"/>
  <c r="D17" i="6"/>
  <c r="D19" i="12" s="1"/>
  <c r="D17" i="4"/>
  <c r="D21" i="12" s="1"/>
  <c r="H17" i="4"/>
  <c r="H21" i="12" s="1"/>
  <c r="H17" i="7"/>
  <c r="H18" i="12" s="1"/>
  <c r="F20" i="5"/>
  <c r="F8" i="12" s="1"/>
  <c r="I20" i="5"/>
  <c r="I8" i="12" s="1"/>
  <c r="K17" i="4"/>
  <c r="K21" i="12" s="1"/>
  <c r="K17" i="6"/>
  <c r="K19" i="12" s="1"/>
  <c r="G17" i="4"/>
  <c r="G21" i="12" s="1"/>
  <c r="E20" i="6"/>
  <c r="E7" i="12" s="1"/>
  <c r="E20" i="7"/>
  <c r="E6" i="12" s="1"/>
  <c r="H20" i="6"/>
  <c r="H7" i="12" s="1"/>
  <c r="H20" i="5"/>
  <c r="H8" i="12" s="1"/>
  <c r="H20" i="4"/>
  <c r="H9" i="12" s="1"/>
  <c r="H20" i="7"/>
  <c r="H6" i="12" s="1"/>
  <c r="D20" i="7"/>
  <c r="D6" i="12" s="1"/>
  <c r="D20" i="6"/>
  <c r="D7" i="12" s="1"/>
  <c r="B36" i="13"/>
  <c r="F36" i="13"/>
  <c r="J20" i="11"/>
  <c r="J2" i="12" s="1"/>
  <c r="C36" i="13"/>
  <c r="K36" i="13"/>
  <c r="J36" i="13"/>
  <c r="K20" i="11"/>
  <c r="K2" i="12" s="1"/>
  <c r="H36" i="13"/>
  <c r="G36" i="13"/>
  <c r="E17" i="9"/>
  <c r="E16" i="12" s="1"/>
  <c r="D20" i="10"/>
  <c r="D3" i="12" s="1"/>
  <c r="F20" i="10"/>
  <c r="F3" i="12" s="1"/>
  <c r="G17" i="11"/>
  <c r="G14" i="12" s="1"/>
  <c r="G20" i="11"/>
  <c r="G2" i="12" s="1"/>
  <c r="E17" i="8"/>
  <c r="E17" i="12" s="1"/>
  <c r="I17" i="8"/>
  <c r="I17" i="12" s="1"/>
  <c r="D17" i="10"/>
  <c r="D15" i="12" s="1"/>
  <c r="E17" i="11"/>
  <c r="E14" i="12" s="1"/>
  <c r="I17" i="11"/>
  <c r="I14" i="12" s="1"/>
  <c r="I36" i="13"/>
  <c r="D17" i="8"/>
  <c r="D17" i="12" s="1"/>
  <c r="F17" i="10"/>
  <c r="F15" i="12" s="1"/>
  <c r="F20" i="8"/>
  <c r="F5" i="12" s="1"/>
  <c r="L17" i="3"/>
  <c r="L22" i="12" s="1"/>
  <c r="L17" i="4"/>
  <c r="L21" i="12" s="1"/>
  <c r="H17" i="6"/>
  <c r="H19" i="12" s="1"/>
  <c r="I20" i="7"/>
  <c r="I6" i="12" s="1"/>
  <c r="B17" i="8"/>
  <c r="B17" i="12" s="1"/>
  <c r="D20" i="8"/>
  <c r="D5" i="12" s="1"/>
  <c r="J17" i="8"/>
  <c r="J17" i="12" s="1"/>
  <c r="J20" i="8"/>
  <c r="J5" i="12" s="1"/>
  <c r="E20" i="9"/>
  <c r="E4" i="12" s="1"/>
  <c r="I20" i="9"/>
  <c r="I4" i="12" s="1"/>
  <c r="I17" i="9"/>
  <c r="I16" i="12" s="1"/>
  <c r="H17" i="10"/>
  <c r="H15" i="12" s="1"/>
  <c r="L17" i="10"/>
  <c r="L15" i="12" s="1"/>
  <c r="F20" i="11"/>
  <c r="F2" i="12" s="1"/>
  <c r="G20" i="6"/>
  <c r="G7" i="12" s="1"/>
  <c r="K17" i="8"/>
  <c r="K17" i="12" s="1"/>
  <c r="J20" i="9"/>
  <c r="J4" i="12" s="1"/>
  <c r="I20" i="11"/>
  <c r="I2" i="12" s="1"/>
  <c r="E17" i="6"/>
  <c r="E19" i="12" s="1"/>
  <c r="C17" i="8"/>
  <c r="C17" i="12" s="1"/>
  <c r="F20" i="9"/>
  <c r="F4" i="12" s="1"/>
  <c r="G20" i="10"/>
  <c r="G3" i="12" s="1"/>
  <c r="D20" i="11"/>
  <c r="D2" i="12" s="1"/>
  <c r="L17" i="8"/>
  <c r="L17" i="12" s="1"/>
  <c r="G17" i="8"/>
  <c r="G17" i="12" s="1"/>
  <c r="D17" i="9"/>
  <c r="D16" i="12" s="1"/>
  <c r="B17" i="11"/>
  <c r="B14" i="12" s="1"/>
  <c r="H20" i="11"/>
  <c r="H2" i="12" s="1"/>
  <c r="F20" i="6"/>
  <c r="F7" i="12" s="1"/>
  <c r="J20" i="10"/>
  <c r="J3" i="12" s="1"/>
  <c r="H20" i="10"/>
  <c r="H3" i="12" s="1"/>
  <c r="E20" i="11"/>
  <c r="E2" i="12" s="1"/>
  <c r="F17" i="5"/>
  <c r="F20" i="12" s="1"/>
  <c r="D17" i="7"/>
  <c r="D18" i="12" s="1"/>
  <c r="G20" i="8"/>
  <c r="G5" i="12" s="1"/>
  <c r="B17" i="9"/>
  <c r="B16" i="12" s="1"/>
  <c r="F17" i="9"/>
  <c r="F16" i="12" s="1"/>
  <c r="J17" i="9"/>
  <c r="J16" i="12" s="1"/>
  <c r="L36" i="13"/>
  <c r="J17" i="10"/>
  <c r="J15" i="12" s="1"/>
  <c r="H20" i="9"/>
  <c r="H4" i="12" s="1"/>
  <c r="D20" i="9"/>
  <c r="D4" i="12" s="1"/>
  <c r="F17" i="8"/>
  <c r="F17" i="12" s="1"/>
  <c r="J17" i="11"/>
  <c r="J14" i="12" s="1"/>
  <c r="C17" i="11"/>
  <c r="C14" i="12" s="1"/>
  <c r="K17" i="11"/>
  <c r="K14" i="12" s="1"/>
  <c r="F17" i="11"/>
  <c r="F14" i="12" s="1"/>
  <c r="M17" i="11"/>
  <c r="M14" i="12" s="1"/>
  <c r="L17" i="9"/>
  <c r="L16" i="12" s="1"/>
  <c r="H17" i="9"/>
  <c r="H16" i="12" s="1"/>
  <c r="G20" i="9"/>
  <c r="G4" i="12" s="1"/>
  <c r="H17" i="8"/>
  <c r="H17" i="12" s="1"/>
  <c r="H20" i="8"/>
  <c r="H5" i="12" s="1"/>
  <c r="B17" i="7"/>
  <c r="B18" i="12" s="1"/>
  <c r="J20" i="7"/>
  <c r="J6" i="12" s="1"/>
  <c r="E17" i="7"/>
  <c r="E18" i="12" s="1"/>
  <c r="G20" i="7"/>
  <c r="G6" i="12" s="1"/>
  <c r="J20" i="4"/>
  <c r="J9" i="12" s="1"/>
  <c r="H17" i="3"/>
  <c r="H22" i="12" s="1"/>
  <c r="J20" i="3"/>
  <c r="J10" i="12" s="1"/>
  <c r="I17" i="6"/>
  <c r="I19" i="12" s="1"/>
  <c r="L17" i="7"/>
  <c r="L18" i="12" s="1"/>
  <c r="F20" i="4"/>
  <c r="F9" i="12" s="1"/>
  <c r="F20" i="7"/>
  <c r="F6" i="12" s="1"/>
  <c r="E17" i="3"/>
  <c r="E22" i="12" s="1"/>
  <c r="G20" i="3"/>
  <c r="G10" i="12" s="1"/>
  <c r="B17" i="10"/>
  <c r="B15" i="12" s="1"/>
  <c r="C17" i="10"/>
  <c r="C15" i="12" s="1"/>
  <c r="E20" i="10"/>
  <c r="E3" i="12" s="1"/>
  <c r="I20" i="10"/>
  <c r="I3" i="12" s="1"/>
  <c r="B17" i="4"/>
  <c r="B21" i="12" s="1"/>
  <c r="C17" i="4"/>
  <c r="C21" i="12" s="1"/>
  <c r="E20" i="4"/>
  <c r="E9" i="12" s="1"/>
  <c r="G17" i="10"/>
  <c r="G15" i="12" s="1"/>
  <c r="I17" i="3"/>
  <c r="I22" i="12" s="1"/>
  <c r="D20" i="3"/>
  <c r="D10" i="12" s="1"/>
  <c r="H20" i="3"/>
  <c r="H10" i="12" s="1"/>
  <c r="E17" i="10"/>
  <c r="E15" i="12" s="1"/>
  <c r="I17" i="10"/>
  <c r="I15" i="12" s="1"/>
  <c r="B17" i="3"/>
  <c r="B22" i="12" s="1"/>
  <c r="C17" i="3"/>
  <c r="C22" i="12" s="1"/>
  <c r="E20" i="3"/>
  <c r="E10" i="12" s="1"/>
  <c r="K17" i="3"/>
  <c r="K22" i="12" s="1"/>
  <c r="C17" i="7"/>
  <c r="C18" i="12" s="1"/>
  <c r="K17" i="7"/>
  <c r="K18" i="12" s="1"/>
  <c r="D17" i="3"/>
  <c r="D22" i="12" s="1"/>
  <c r="F20" i="3"/>
  <c r="F10" i="12" s="1"/>
  <c r="D20" i="5"/>
  <c r="D8" i="12" s="1"/>
  <c r="B17" i="6"/>
  <c r="B19" i="12" s="1"/>
  <c r="C17" i="6"/>
  <c r="C19" i="12" s="1"/>
  <c r="K17" i="10"/>
  <c r="K15" i="12" s="1"/>
  <c r="D17" i="11"/>
  <c r="D14" i="12" s="1"/>
  <c r="H17" i="11"/>
  <c r="H14" i="12" s="1"/>
  <c r="L17" i="11"/>
  <c r="L14" i="12" s="1"/>
  <c r="F17" i="4"/>
  <c r="F21" i="12" s="1"/>
  <c r="B17" i="5"/>
  <c r="B20" i="12" s="1"/>
  <c r="C17" i="5"/>
  <c r="C20" i="12" s="1"/>
  <c r="G17" i="5"/>
  <c r="G20" i="12" s="1"/>
  <c r="K17" i="5"/>
  <c r="K20" i="12" s="1"/>
  <c r="C17" i="9"/>
  <c r="C16" i="12" s="1"/>
  <c r="G17" i="9"/>
  <c r="G16" i="12" s="1"/>
  <c r="K17" i="9"/>
  <c r="K16" i="12" s="1"/>
  <c r="D20" i="4"/>
  <c r="D9" i="12" s="1"/>
  <c r="I20" i="3"/>
  <c r="I10" i="12" s="1"/>
  <c r="J17" i="4"/>
  <c r="J21" i="12" s="1"/>
  <c r="G17" i="3"/>
  <c r="G22" i="12" s="1"/>
  <c r="E20" i="5"/>
  <c r="E8" i="12" s="1"/>
  <c r="G20" i="4"/>
  <c r="G9" i="12" s="1"/>
  <c r="F17" i="3"/>
  <c r="F22" i="12" s="1"/>
  <c r="J17" i="3"/>
  <c r="J22" i="12" s="1"/>
  <c r="E20" i="8"/>
  <c r="E5" i="12" s="1"/>
  <c r="I20" i="8"/>
  <c r="I5" i="12" s="1"/>
  <c r="J17" i="6"/>
  <c r="J19" i="12" s="1"/>
  <c r="I20" i="2"/>
  <c r="I11" i="12" s="1"/>
  <c r="K17" i="2"/>
  <c r="K23" i="12" s="1"/>
  <c r="J17" i="2"/>
  <c r="J23" i="12" s="1"/>
  <c r="D20" i="2"/>
  <c r="D11" i="12" s="1"/>
  <c r="C17" i="2"/>
  <c r="C23" i="12" s="1"/>
  <c r="E20" i="2"/>
  <c r="E11" i="12" s="1"/>
  <c r="L17" i="2"/>
  <c r="L23" i="12" s="1"/>
  <c r="B17" i="2"/>
  <c r="B23" i="12" s="1"/>
  <c r="H17" i="2"/>
  <c r="H23" i="12" s="1"/>
  <c r="F17" i="2"/>
  <c r="F23" i="12" s="1"/>
  <c r="H20" i="2"/>
  <c r="H11" i="12" s="1"/>
  <c r="G17" i="2"/>
  <c r="G23" i="12" s="1"/>
  <c r="I17" i="2"/>
  <c r="I23" i="12" s="1"/>
  <c r="E23" i="12"/>
  <c r="G20" i="2"/>
  <c r="G11" i="12" s="1"/>
  <c r="J20" i="2"/>
  <c r="J11" i="12" s="1"/>
  <c r="F20" i="2"/>
  <c r="F11" i="12" s="1"/>
  <c r="D23" i="12"/>
  <c r="E41" i="12" l="1"/>
  <c r="E45" i="12"/>
  <c r="E38" i="12"/>
  <c r="E40" i="12"/>
  <c r="E44" i="12"/>
  <c r="E46" i="12"/>
  <c r="E39" i="12"/>
  <c r="E43" i="12"/>
  <c r="E47" i="12"/>
  <c r="E42" i="12"/>
  <c r="F42" i="12"/>
  <c r="F46" i="12"/>
  <c r="F39" i="12"/>
  <c r="F43" i="12"/>
  <c r="F41" i="12"/>
  <c r="F45" i="12"/>
  <c r="F38" i="12"/>
  <c r="F40" i="12"/>
  <c r="F44" i="12"/>
  <c r="F47" i="12"/>
  <c r="D40" i="12"/>
  <c r="D44" i="12"/>
  <c r="D45" i="12"/>
  <c r="D39" i="12"/>
  <c r="D43" i="12"/>
  <c r="D47" i="12"/>
  <c r="D41" i="12"/>
  <c r="D38" i="12"/>
  <c r="D42" i="12"/>
  <c r="D46" i="12"/>
  <c r="G39" i="12"/>
  <c r="G43" i="12"/>
  <c r="G47" i="12"/>
  <c r="G42" i="12"/>
  <c r="G46" i="12"/>
  <c r="G44" i="12"/>
  <c r="G41" i="12"/>
  <c r="G45" i="12"/>
  <c r="G38" i="12"/>
  <c r="G40" i="12"/>
  <c r="H40" i="12"/>
  <c r="H44" i="12"/>
  <c r="H41" i="12"/>
  <c r="H39" i="12"/>
  <c r="H43" i="12"/>
  <c r="H47" i="12"/>
  <c r="H42" i="12"/>
  <c r="H46" i="12"/>
  <c r="H45" i="12"/>
  <c r="H38" i="12"/>
  <c r="J17" i="5"/>
  <c r="J20" i="12" s="1"/>
  <c r="G17" i="6"/>
  <c r="G19" i="12" s="1"/>
  <c r="I20" i="4"/>
  <c r="I9" i="12" s="1"/>
  <c r="I20" i="6"/>
  <c r="I7" i="12" s="1"/>
  <c r="I39" i="12" s="1"/>
  <c r="I17" i="5"/>
  <c r="I20" i="12" s="1"/>
  <c r="F17" i="6"/>
  <c r="F19" i="12" s="1"/>
  <c r="G17" i="7"/>
  <c r="G18" i="12" s="1"/>
  <c r="F17" i="7"/>
  <c r="F18" i="12" s="1"/>
  <c r="J20" i="6"/>
  <c r="J7" i="12" s="1"/>
  <c r="J23" i="15" s="1"/>
  <c r="J17" i="7"/>
  <c r="J18" i="12" s="1"/>
  <c r="L17" i="5"/>
  <c r="L20" i="12" s="1"/>
  <c r="H17" i="5"/>
  <c r="H20" i="12" s="1"/>
  <c r="H24" i="15"/>
  <c r="H23" i="15"/>
  <c r="G24" i="15"/>
  <c r="G23" i="15"/>
  <c r="F24" i="15"/>
  <c r="F23" i="15"/>
  <c r="E23" i="15"/>
  <c r="E24" i="15"/>
  <c r="D24" i="15"/>
  <c r="D23" i="15"/>
  <c r="K20" i="2"/>
  <c r="K11" i="12" s="1"/>
  <c r="N17" i="8"/>
  <c r="K20" i="8"/>
  <c r="K5" i="12" s="1"/>
  <c r="P17" i="8"/>
  <c r="P17" i="12" s="1"/>
  <c r="K20" i="4"/>
  <c r="K9" i="12" s="1"/>
  <c r="M17" i="3"/>
  <c r="M22" i="12" s="1"/>
  <c r="K20" i="10"/>
  <c r="K3" i="12" s="1"/>
  <c r="M17" i="10"/>
  <c r="M15" i="12" s="1"/>
  <c r="N17" i="2"/>
  <c r="N23" i="12" s="1"/>
  <c r="M17" i="8"/>
  <c r="M17" i="12" s="1"/>
  <c r="M17" i="5"/>
  <c r="M20" i="12" s="1"/>
  <c r="K20" i="6"/>
  <c r="K7" i="12" s="1"/>
  <c r="K20" i="9"/>
  <c r="K4" i="12" s="1"/>
  <c r="M17" i="6"/>
  <c r="M19" i="12" s="1"/>
  <c r="M20" i="2"/>
  <c r="M11" i="12" s="1"/>
  <c r="K20" i="5"/>
  <c r="K8" i="12" s="1"/>
  <c r="M17" i="4"/>
  <c r="M21" i="12" s="1"/>
  <c r="K20" i="3"/>
  <c r="K10" i="12" s="1"/>
  <c r="M17" i="9"/>
  <c r="M16" i="12" s="1"/>
  <c r="P36" i="13"/>
  <c r="Q17" i="7"/>
  <c r="Q18" i="12" s="1"/>
  <c r="P17" i="7"/>
  <c r="P18" i="12" s="1"/>
  <c r="N36" i="13"/>
  <c r="L20" i="7"/>
  <c r="U36" i="13"/>
  <c r="Y36" i="13"/>
  <c r="W36" i="13"/>
  <c r="X36" i="13"/>
  <c r="N17" i="4"/>
  <c r="N21" i="12" s="1"/>
  <c r="L20" i="5"/>
  <c r="L8" i="12" s="1"/>
  <c r="N17" i="6"/>
  <c r="N19" i="12" s="1"/>
  <c r="L20" i="3"/>
  <c r="L10" i="12" s="1"/>
  <c r="N17" i="5"/>
  <c r="N20" i="12" s="1"/>
  <c r="N17" i="7"/>
  <c r="N18" i="12" s="1"/>
  <c r="L20" i="11"/>
  <c r="L2" i="12" s="1"/>
  <c r="N17" i="11"/>
  <c r="P17" i="3"/>
  <c r="P22" i="12" s="1"/>
  <c r="N17" i="10"/>
  <c r="N15" i="12" s="1"/>
  <c r="L20" i="10"/>
  <c r="N17" i="3"/>
  <c r="N22" i="12" s="1"/>
  <c r="L20" i="4"/>
  <c r="L9" i="12" s="1"/>
  <c r="M20" i="4"/>
  <c r="M9" i="12" s="1"/>
  <c r="L20" i="6"/>
  <c r="L7" i="12" s="1"/>
  <c r="P17" i="10"/>
  <c r="P15" i="12" s="1"/>
  <c r="M20" i="10"/>
  <c r="M3" i="12" s="1"/>
  <c r="P17" i="6"/>
  <c r="P19" i="12" s="1"/>
  <c r="M20" i="8"/>
  <c r="M5" i="12" s="1"/>
  <c r="P17" i="5"/>
  <c r="P20" i="12" s="1"/>
  <c r="N17" i="9"/>
  <c r="L20" i="9"/>
  <c r="Q17" i="5"/>
  <c r="Q20" i="12" s="1"/>
  <c r="M20" i="5"/>
  <c r="M8" i="12" s="1"/>
  <c r="M20" i="11"/>
  <c r="M2" i="12" s="1"/>
  <c r="M20" i="3"/>
  <c r="M10" i="12" s="1"/>
  <c r="P17" i="11"/>
  <c r="P14" i="12" s="1"/>
  <c r="M20" i="9"/>
  <c r="M4" i="12" s="1"/>
  <c r="P17" i="4"/>
  <c r="P21" i="12" s="1"/>
  <c r="P17" i="9"/>
  <c r="P16" i="12" s="1"/>
  <c r="M20" i="6"/>
  <c r="M7" i="12" s="1"/>
  <c r="Q17" i="11"/>
  <c r="Q14" i="12" s="1"/>
  <c r="Q17" i="3"/>
  <c r="Q22" i="12" s="1"/>
  <c r="N20" i="3"/>
  <c r="N10" i="12" s="1"/>
  <c r="Q17" i="9"/>
  <c r="Q16" i="12" s="1"/>
  <c r="N20" i="9"/>
  <c r="N20" i="5"/>
  <c r="N8" i="12" s="1"/>
  <c r="N20" i="6"/>
  <c r="Q17" i="6"/>
  <c r="Q19" i="12" s="1"/>
  <c r="N20" i="8"/>
  <c r="N5" i="12" s="1"/>
  <c r="Q17" i="8"/>
  <c r="N20" i="4"/>
  <c r="Q17" i="4"/>
  <c r="Q21" i="12" s="1"/>
  <c r="N20" i="10"/>
  <c r="Q17" i="10"/>
  <c r="N20" i="11"/>
  <c r="N2" i="12" s="1"/>
  <c r="P17" i="2"/>
  <c r="P23" i="12" s="1"/>
  <c r="L20" i="2"/>
  <c r="L11" i="12" s="1"/>
  <c r="M23" i="12"/>
  <c r="J45" i="12" l="1"/>
  <c r="I41" i="12"/>
  <c r="J44" i="12"/>
  <c r="J47" i="12"/>
  <c r="I40" i="12"/>
  <c r="J43" i="12"/>
  <c r="J40" i="12"/>
  <c r="J41" i="12"/>
  <c r="I46" i="12"/>
  <c r="I47" i="12"/>
  <c r="J39" i="12"/>
  <c r="J46" i="12"/>
  <c r="I42" i="12"/>
  <c r="I38" i="12"/>
  <c r="I43" i="12"/>
  <c r="J42" i="12"/>
  <c r="J38" i="12"/>
  <c r="I45" i="12"/>
  <c r="I44" i="12"/>
  <c r="I23" i="15"/>
  <c r="I24" i="15"/>
  <c r="J24" i="15"/>
  <c r="J27" i="12" s="1"/>
  <c r="T36" i="13"/>
  <c r="F35" i="12"/>
  <c r="E35" i="12"/>
  <c r="D35" i="12"/>
  <c r="H27" i="12"/>
  <c r="H31" i="12"/>
  <c r="H26" i="12"/>
  <c r="H30" i="15"/>
  <c r="H34" i="15"/>
  <c r="H28" i="12"/>
  <c r="H32" i="12"/>
  <c r="H31" i="15"/>
  <c r="H35" i="15"/>
  <c r="H29" i="12"/>
  <c r="H33" i="12"/>
  <c r="H28" i="15"/>
  <c r="H32" i="15"/>
  <c r="H27" i="15"/>
  <c r="H30" i="12"/>
  <c r="H34" i="12"/>
  <c r="H29" i="15"/>
  <c r="H33" i="15"/>
  <c r="H36" i="15"/>
  <c r="H35" i="12"/>
  <c r="G27" i="12"/>
  <c r="G29" i="12"/>
  <c r="G31" i="12"/>
  <c r="G33" i="12"/>
  <c r="G28" i="15"/>
  <c r="G30" i="15"/>
  <c r="G32" i="15"/>
  <c r="G34" i="15"/>
  <c r="G26" i="12"/>
  <c r="G27" i="15"/>
  <c r="G28" i="12"/>
  <c r="G30" i="12"/>
  <c r="G32" i="12"/>
  <c r="G34" i="12"/>
  <c r="G29" i="15"/>
  <c r="G31" i="15"/>
  <c r="G33" i="15"/>
  <c r="G35" i="15"/>
  <c r="G36" i="15"/>
  <c r="G35" i="12"/>
  <c r="F27" i="12"/>
  <c r="F31" i="12"/>
  <c r="F30" i="15"/>
  <c r="F34" i="15"/>
  <c r="F27" i="15"/>
  <c r="F30" i="12"/>
  <c r="F34" i="12"/>
  <c r="F29" i="15"/>
  <c r="F33" i="15"/>
  <c r="F29" i="12"/>
  <c r="F33" i="12"/>
  <c r="F26" i="12"/>
  <c r="F28" i="15"/>
  <c r="F32" i="15"/>
  <c r="F28" i="12"/>
  <c r="F32" i="12"/>
  <c r="F31" i="15"/>
  <c r="F35" i="15"/>
  <c r="F36" i="15"/>
  <c r="E27" i="12"/>
  <c r="E28" i="12"/>
  <c r="E29" i="12"/>
  <c r="E30" i="12"/>
  <c r="E31" i="12"/>
  <c r="E32" i="12"/>
  <c r="E33" i="12"/>
  <c r="E34" i="12"/>
  <c r="E28" i="15"/>
  <c r="E29" i="15"/>
  <c r="E30" i="15"/>
  <c r="E31" i="15"/>
  <c r="E32" i="15"/>
  <c r="E33" i="15"/>
  <c r="E34" i="15"/>
  <c r="E35" i="15"/>
  <c r="E26" i="12"/>
  <c r="E27" i="15"/>
  <c r="E36" i="15"/>
  <c r="D27" i="12"/>
  <c r="D31" i="12"/>
  <c r="D26" i="12"/>
  <c r="D30" i="15"/>
  <c r="D34" i="15"/>
  <c r="D28" i="12"/>
  <c r="D32" i="12"/>
  <c r="D31" i="15"/>
  <c r="D35" i="15"/>
  <c r="D29" i="12"/>
  <c r="D33" i="12"/>
  <c r="D28" i="15"/>
  <c r="D32" i="15"/>
  <c r="D27" i="15"/>
  <c r="D30" i="12"/>
  <c r="D34" i="12"/>
  <c r="D29" i="15"/>
  <c r="D33" i="15"/>
  <c r="D36" i="15"/>
  <c r="V36" i="13"/>
  <c r="R36" i="13"/>
  <c r="O36" i="13"/>
  <c r="E36" i="13"/>
  <c r="M36" i="13"/>
  <c r="D36" i="13"/>
  <c r="S36" i="13"/>
  <c r="Q36" i="13"/>
  <c r="L20" i="8"/>
  <c r="B20" i="8" s="1"/>
  <c r="B5" i="12" s="1"/>
  <c r="O17" i="2"/>
  <c r="O23" i="12" s="1"/>
  <c r="M20" i="7"/>
  <c r="M6" i="12" s="1"/>
  <c r="M24" i="15" s="1"/>
  <c r="N20" i="7"/>
  <c r="M17" i="7"/>
  <c r="M18" i="12" s="1"/>
  <c r="K20" i="7"/>
  <c r="K6" i="12" s="1"/>
  <c r="K24" i="15" s="1"/>
  <c r="O17" i="10"/>
  <c r="O15" i="12" s="1"/>
  <c r="O17" i="6"/>
  <c r="O19" i="12" s="1"/>
  <c r="O17" i="4"/>
  <c r="O21" i="12" s="1"/>
  <c r="B20" i="5"/>
  <c r="B8" i="12" s="1"/>
  <c r="O17" i="5"/>
  <c r="O20" i="12" s="1"/>
  <c r="B20" i="6"/>
  <c r="B7" i="12" s="1"/>
  <c r="R17" i="9"/>
  <c r="R16" i="12" s="1"/>
  <c r="R17" i="11"/>
  <c r="R14" i="12" s="1"/>
  <c r="R17" i="4"/>
  <c r="R21" i="12" s="1"/>
  <c r="B20" i="3"/>
  <c r="B10" i="12" s="1"/>
  <c r="R17" i="5"/>
  <c r="R20" i="12" s="1"/>
  <c r="R17" i="3"/>
  <c r="R22" i="12" s="1"/>
  <c r="N16" i="12"/>
  <c r="O17" i="9"/>
  <c r="O16" i="12" s="1"/>
  <c r="N14" i="12"/>
  <c r="O17" i="11"/>
  <c r="O14" i="12" s="1"/>
  <c r="O17" i="3"/>
  <c r="O22" i="12" s="1"/>
  <c r="R17" i="6"/>
  <c r="R19" i="12" s="1"/>
  <c r="L4" i="12"/>
  <c r="B20" i="9"/>
  <c r="B4" i="12" s="1"/>
  <c r="L6" i="12"/>
  <c r="C20" i="5"/>
  <c r="C8" i="12" s="1"/>
  <c r="B20" i="4"/>
  <c r="B9" i="12" s="1"/>
  <c r="N17" i="12"/>
  <c r="O17" i="8"/>
  <c r="O17" i="12" s="1"/>
  <c r="L3" i="12"/>
  <c r="B20" i="10"/>
  <c r="B3" i="12" s="1"/>
  <c r="B20" i="11"/>
  <c r="B2" i="12" s="1"/>
  <c r="R17" i="7"/>
  <c r="R18" i="12" s="1"/>
  <c r="C20" i="3"/>
  <c r="C10" i="12" s="1"/>
  <c r="N3" i="12"/>
  <c r="C20" i="10"/>
  <c r="C3" i="12" s="1"/>
  <c r="C20" i="8"/>
  <c r="C5" i="12" s="1"/>
  <c r="N4" i="12"/>
  <c r="C20" i="9"/>
  <c r="C4" i="12" s="1"/>
  <c r="C20" i="11"/>
  <c r="C2" i="12" s="1"/>
  <c r="N9" i="12"/>
  <c r="C20" i="4"/>
  <c r="C9" i="12" s="1"/>
  <c r="N7" i="12"/>
  <c r="C20" i="6"/>
  <c r="C7" i="12" s="1"/>
  <c r="Q15" i="12"/>
  <c r="R17" i="10"/>
  <c r="R15" i="12" s="1"/>
  <c r="Q17" i="12"/>
  <c r="R17" i="8"/>
  <c r="R17" i="12" s="1"/>
  <c r="B20" i="2"/>
  <c r="B11" i="12" s="1"/>
  <c r="Q17" i="2"/>
  <c r="N20" i="2"/>
  <c r="B41" i="12" l="1"/>
  <c r="B45" i="12"/>
  <c r="B40" i="12"/>
  <c r="B42" i="12"/>
  <c r="B46" i="12"/>
  <c r="B44" i="12"/>
  <c r="B39" i="12"/>
  <c r="B43" i="12"/>
  <c r="B47" i="12"/>
  <c r="B38" i="12"/>
  <c r="I27" i="12"/>
  <c r="I31" i="12"/>
  <c r="I35" i="12"/>
  <c r="I28" i="12"/>
  <c r="I32" i="12"/>
  <c r="I26" i="12"/>
  <c r="I29" i="12"/>
  <c r="I30" i="12"/>
  <c r="I34" i="12"/>
  <c r="I33" i="12"/>
  <c r="I29" i="15"/>
  <c r="I27" i="15"/>
  <c r="I36" i="15"/>
  <c r="I30" i="15"/>
  <c r="I34" i="15"/>
  <c r="J35" i="15"/>
  <c r="J34" i="15"/>
  <c r="I33" i="15"/>
  <c r="J32" i="15"/>
  <c r="J29" i="12"/>
  <c r="I35" i="15"/>
  <c r="I31" i="15"/>
  <c r="J36" i="15"/>
  <c r="J28" i="12"/>
  <c r="J33" i="12"/>
  <c r="J30" i="12"/>
  <c r="J31" i="15"/>
  <c r="J28" i="15"/>
  <c r="J29" i="15"/>
  <c r="J30" i="15"/>
  <c r="J35" i="12"/>
  <c r="I32" i="15"/>
  <c r="I28" i="15"/>
  <c r="J32" i="12"/>
  <c r="J26" i="12"/>
  <c r="J34" i="12"/>
  <c r="J31" i="12"/>
  <c r="J33" i="15"/>
  <c r="J27" i="15"/>
  <c r="K23" i="15"/>
  <c r="K31" i="12" s="1"/>
  <c r="M23" i="15"/>
  <c r="M35" i="12" s="1"/>
  <c r="L5" i="12"/>
  <c r="L24" i="15" s="1"/>
  <c r="C20" i="7"/>
  <c r="C6" i="12" s="1"/>
  <c r="N6" i="12"/>
  <c r="B20" i="7"/>
  <c r="B6" i="12" s="1"/>
  <c r="O17" i="7"/>
  <c r="O18" i="12" s="1"/>
  <c r="Q23" i="12"/>
  <c r="R17" i="2"/>
  <c r="R23" i="12" s="1"/>
  <c r="N11" i="12"/>
  <c r="C20" i="2"/>
  <c r="C11" i="12" s="1"/>
  <c r="C39" i="12" l="1"/>
  <c r="K39" i="12" s="1"/>
  <c r="C43" i="12"/>
  <c r="K43" i="12" s="1"/>
  <c r="C47" i="12"/>
  <c r="K47" i="12" s="1"/>
  <c r="C42" i="12"/>
  <c r="K42" i="12" s="1"/>
  <c r="C46" i="12"/>
  <c r="K46" i="12" s="1"/>
  <c r="C38" i="12"/>
  <c r="K38" i="12" s="1"/>
  <c r="C40" i="12"/>
  <c r="K40" i="12" s="1"/>
  <c r="C41" i="12"/>
  <c r="K41" i="12" s="1"/>
  <c r="C45" i="12"/>
  <c r="K45" i="12" s="1"/>
  <c r="C44" i="12"/>
  <c r="K44" i="12" s="1"/>
  <c r="K27" i="15"/>
  <c r="K30" i="15"/>
  <c r="K35" i="15"/>
  <c r="K29" i="12"/>
  <c r="K34" i="12"/>
  <c r="M27" i="12"/>
  <c r="M33" i="12"/>
  <c r="M36" i="15"/>
  <c r="M29" i="15"/>
  <c r="M32" i="12"/>
  <c r="K33" i="15"/>
  <c r="K32" i="12"/>
  <c r="K26" i="12"/>
  <c r="K28" i="15"/>
  <c r="K27" i="12"/>
  <c r="B23" i="15"/>
  <c r="K35" i="12"/>
  <c r="K31" i="15"/>
  <c r="K30" i="12"/>
  <c r="K34" i="15"/>
  <c r="K33" i="12"/>
  <c r="L23" i="15"/>
  <c r="L29" i="12" s="1"/>
  <c r="K36" i="15"/>
  <c r="K29" i="15"/>
  <c r="K28" i="12"/>
  <c r="K32" i="15"/>
  <c r="M34" i="15"/>
  <c r="M35" i="15"/>
  <c r="M28" i="12"/>
  <c r="M29" i="12"/>
  <c r="M34" i="12"/>
  <c r="M30" i="15"/>
  <c r="M31" i="15"/>
  <c r="M32" i="15"/>
  <c r="M27" i="15"/>
  <c r="M30" i="12"/>
  <c r="M31" i="12"/>
  <c r="M26" i="12"/>
  <c r="M28" i="15"/>
  <c r="M33" i="15"/>
  <c r="N23" i="15"/>
  <c r="N24" i="15"/>
  <c r="C23" i="15"/>
  <c r="B24" i="15"/>
  <c r="C24" i="15"/>
  <c r="L30" i="15" l="1"/>
  <c r="L33" i="12"/>
  <c r="L29" i="15"/>
  <c r="L33" i="15"/>
  <c r="L36" i="15"/>
  <c r="L30" i="12"/>
  <c r="L34" i="12"/>
  <c r="L34" i="15"/>
  <c r="L35" i="12"/>
  <c r="L27" i="12"/>
  <c r="L31" i="12"/>
  <c r="L26" i="12"/>
  <c r="L31" i="15"/>
  <c r="L35" i="15"/>
  <c r="L28" i="12"/>
  <c r="L32" i="12"/>
  <c r="L28" i="15"/>
  <c r="L32" i="15"/>
  <c r="L27" i="15"/>
  <c r="N29" i="12"/>
  <c r="N33" i="12"/>
  <c r="N28" i="15"/>
  <c r="N32" i="15"/>
  <c r="N30" i="12"/>
  <c r="N34" i="12"/>
  <c r="N29" i="15"/>
  <c r="N33" i="15"/>
  <c r="N27" i="15"/>
  <c r="N27" i="12"/>
  <c r="N31" i="12"/>
  <c r="N30" i="15"/>
  <c r="N34" i="15"/>
  <c r="N28" i="12"/>
  <c r="N32" i="12"/>
  <c r="N26" i="12"/>
  <c r="N31" i="15"/>
  <c r="N35" i="15"/>
  <c r="N35" i="12"/>
  <c r="N36" i="15"/>
  <c r="C29" i="12"/>
  <c r="C28" i="12"/>
  <c r="C35" i="15"/>
  <c r="C34" i="15"/>
  <c r="C33" i="15"/>
  <c r="C33" i="12"/>
  <c r="C32" i="12"/>
  <c r="C27" i="12"/>
  <c r="C30" i="12"/>
  <c r="C27" i="15"/>
  <c r="C28" i="15"/>
  <c r="C26" i="12"/>
  <c r="C31" i="12"/>
  <c r="C34" i="12"/>
  <c r="C32" i="15"/>
  <c r="C31" i="15"/>
  <c r="C30" i="15"/>
  <c r="C29" i="15"/>
  <c r="C35" i="12"/>
  <c r="C36" i="15"/>
  <c r="B34" i="12"/>
  <c r="B35" i="15"/>
  <c r="B29" i="12"/>
  <c r="B30" i="15"/>
  <c r="B29" i="15"/>
  <c r="B26" i="12"/>
  <c r="B32" i="15"/>
  <c r="B34" i="15"/>
  <c r="B28" i="12"/>
  <c r="B31" i="12"/>
  <c r="B35" i="12"/>
  <c r="B30" i="12"/>
  <c r="B31" i="15"/>
  <c r="B27" i="15"/>
  <c r="B36" i="15"/>
  <c r="B32" i="12"/>
  <c r="B33" i="15"/>
  <c r="B27" i="12"/>
  <c r="B28" i="15"/>
  <c r="B33"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92018C1-B105-5448-BA41-A78D59055AA3}" name="Connection" type="4" refreshedVersion="6" background="1" refreshOnLoad="1" saveData="1">
    <webPr consecutive="1" xl2000="1" url="https://hashtagbasketball.com/fantasy-basketball-rankings" htmlTables="1" htmlFormat="all"/>
  </connection>
</connections>
</file>

<file path=xl/sharedStrings.xml><?xml version="1.0" encoding="utf-8"?>
<sst xmlns="http://schemas.openxmlformats.org/spreadsheetml/2006/main" count="4820" uniqueCount="898">
  <si>
    <t>Player</t>
  </si>
  <si>
    <t>Our Rank</t>
  </si>
  <si>
    <t>g</t>
  </si>
  <si>
    <t>FG%</t>
  </si>
  <si>
    <t>FT%</t>
  </si>
  <si>
    <t>3PM</t>
  </si>
  <si>
    <t>REB</t>
  </si>
  <si>
    <t>AST</t>
  </si>
  <si>
    <t>STL</t>
  </si>
  <si>
    <t>BLK</t>
  </si>
  <si>
    <t>TO</t>
  </si>
  <si>
    <t>PTS</t>
  </si>
  <si>
    <t>FGM</t>
  </si>
  <si>
    <t>FGA</t>
  </si>
  <si>
    <t>Anthony Davis</t>
  </si>
  <si>
    <t>Stephen Curry</t>
  </si>
  <si>
    <t>Giannis Antetokounmpo</t>
  </si>
  <si>
    <t>Damian Lillard</t>
  </si>
  <si>
    <t>Paul George</t>
  </si>
  <si>
    <t>Bradley Beal</t>
  </si>
  <si>
    <t>Jimmy Butler</t>
  </si>
  <si>
    <t>LeBron James</t>
  </si>
  <si>
    <t>Nikola Vucevic</t>
  </si>
  <si>
    <t>Rudy Gobert</t>
  </si>
  <si>
    <t>Andre Drummond</t>
  </si>
  <si>
    <t>Myles Turner</t>
  </si>
  <si>
    <t>Deandre Ayton</t>
  </si>
  <si>
    <t>Russell Westbrook</t>
  </si>
  <si>
    <t>Devin Booker</t>
  </si>
  <si>
    <t>Chris Paul</t>
  </si>
  <si>
    <t>John Collins</t>
  </si>
  <si>
    <t>Robert Covington</t>
  </si>
  <si>
    <t>Mitchell Robinson</t>
  </si>
  <si>
    <t>Mike Conley</t>
  </si>
  <si>
    <t>Pascal Siakam</t>
  </si>
  <si>
    <t>Luka Doncic</t>
  </si>
  <si>
    <t>Kristaps Porzingis</t>
  </si>
  <si>
    <t>Trae Young</t>
  </si>
  <si>
    <t>Draymond Green</t>
  </si>
  <si>
    <t>Buddy Hield</t>
  </si>
  <si>
    <t>Ben Simmons</t>
  </si>
  <si>
    <t>Tobias Harris</t>
  </si>
  <si>
    <t>Clint Capela</t>
  </si>
  <si>
    <t>Kyle Lowry</t>
  </si>
  <si>
    <t>Khris Middleton</t>
  </si>
  <si>
    <t>Danilo Gallinari</t>
  </si>
  <si>
    <t>Brook Lopez</t>
  </si>
  <si>
    <t>Al Horford</t>
  </si>
  <si>
    <t>Zion Williamson</t>
  </si>
  <si>
    <t>Lauri Markkanen</t>
  </si>
  <si>
    <t>DeMar DeRozan</t>
  </si>
  <si>
    <t>Zach LaVine</t>
  </si>
  <si>
    <t>Kevin Love</t>
  </si>
  <si>
    <t>D'Angelo Russell</t>
  </si>
  <si>
    <t>Victor Oladipo</t>
  </si>
  <si>
    <t>Jayson Tatum</t>
  </si>
  <si>
    <t>Blake Griffin</t>
  </si>
  <si>
    <t>Jonas Valanciunas</t>
  </si>
  <si>
    <t>Derrick Favors</t>
  </si>
  <si>
    <t>Bam Adebayo</t>
  </si>
  <si>
    <t>Jamal Murray</t>
  </si>
  <si>
    <t>Thomas Bryant</t>
  </si>
  <si>
    <t>Ja Morant</t>
  </si>
  <si>
    <t>Julius Randle</t>
  </si>
  <si>
    <t>Jeremy Lamb</t>
  </si>
  <si>
    <t>Dewayne Dedmon</t>
  </si>
  <si>
    <t>Aaron Gordon</t>
  </si>
  <si>
    <t>Marcus Smart</t>
  </si>
  <si>
    <t>Montrezl Harrell</t>
  </si>
  <si>
    <t>Lonzo Ball</t>
  </si>
  <si>
    <t>Jonathan Isaac</t>
  </si>
  <si>
    <t>Gordon Hayward</t>
  </si>
  <si>
    <t>Domantas Sabonis</t>
  </si>
  <si>
    <t>Terry Rozier</t>
  </si>
  <si>
    <t>Ricky Rubio</t>
  </si>
  <si>
    <t>Mikal Bridges</t>
  </si>
  <si>
    <t>Jeff Teague</t>
  </si>
  <si>
    <t>Joe Ingles</t>
  </si>
  <si>
    <t>Jarrett Allen</t>
  </si>
  <si>
    <t>Serge Ibaka</t>
  </si>
  <si>
    <t>Terrence Ross</t>
  </si>
  <si>
    <t>Paul Millsap</t>
  </si>
  <si>
    <t>Delon Wright</t>
  </si>
  <si>
    <t>Gary Harris</t>
  </si>
  <si>
    <t>Lou Williams</t>
  </si>
  <si>
    <t>DeAndre Jordan</t>
  </si>
  <si>
    <t>Rudy Gay</t>
  </si>
  <si>
    <t>Dejounte Murray</t>
  </si>
  <si>
    <t>Bojan Bogdanovic</t>
  </si>
  <si>
    <t>Patrick Beverley</t>
  </si>
  <si>
    <t>Dwight Powell</t>
  </si>
  <si>
    <t>Joe Harris</t>
  </si>
  <si>
    <t>Kyle Kuzma</t>
  </si>
  <si>
    <t>Tomas Satoransky</t>
  </si>
  <si>
    <t>Andrew Wiggins</t>
  </si>
  <si>
    <t>Spencer Dinwiddie</t>
  </si>
  <si>
    <t>Harrison Barnes</t>
  </si>
  <si>
    <t>Goran Dragic</t>
  </si>
  <si>
    <t>Reggie Jackson</t>
  </si>
  <si>
    <t>RJ Barrett</t>
  </si>
  <si>
    <t>Jaylen Brown</t>
  </si>
  <si>
    <t>De'Andre Hunter</t>
  </si>
  <si>
    <t>Dario Saric</t>
  </si>
  <si>
    <t>Rajon Rondo</t>
  </si>
  <si>
    <t>Dennis Schroder</t>
  </si>
  <si>
    <t>Mason Plumlee</t>
  </si>
  <si>
    <t>Kentavious Caldwell-Pope</t>
  </si>
  <si>
    <t>James Johnson</t>
  </si>
  <si>
    <t>Rodney Hood</t>
  </si>
  <si>
    <t>Malik Beasley</t>
  </si>
  <si>
    <t>Jordan Clarkson</t>
  </si>
  <si>
    <t>George Hill</t>
  </si>
  <si>
    <t>Tristan Thompson</t>
  </si>
  <si>
    <t>Marcus Morris</t>
  </si>
  <si>
    <t>Norman Powell</t>
  </si>
  <si>
    <t>Danuel House Jr</t>
  </si>
  <si>
    <t>Ish Smith</t>
  </si>
  <si>
    <t>Gorgui Dieng</t>
  </si>
  <si>
    <t>Boban Marjanovic</t>
  </si>
  <si>
    <t>Daniel Theis</t>
  </si>
  <si>
    <t>Chris Boucher</t>
  </si>
  <si>
    <t>Avg Rank</t>
  </si>
  <si>
    <t>Avg GP</t>
  </si>
  <si>
    <t>AVERAGES</t>
  </si>
  <si>
    <t>TOTALS</t>
  </si>
  <si>
    <t>Team FG%</t>
  </si>
  <si>
    <t>FTM</t>
  </si>
  <si>
    <t>FTA</t>
  </si>
  <si>
    <t>Team FT%</t>
  </si>
  <si>
    <t>Avg FG%</t>
  </si>
  <si>
    <t>Avg FT%</t>
  </si>
  <si>
    <t>Dwight Howard</t>
  </si>
  <si>
    <t>Justin</t>
  </si>
  <si>
    <t>Harman</t>
  </si>
  <si>
    <t>Karnvir</t>
  </si>
  <si>
    <t>Jatin</t>
  </si>
  <si>
    <t>Harvir</t>
  </si>
  <si>
    <t>Sartaj</t>
  </si>
  <si>
    <t>Ajay</t>
  </si>
  <si>
    <t>Angad</t>
  </si>
  <si>
    <t>Arsh</t>
  </si>
  <si>
    <t>Me</t>
  </si>
  <si>
    <t>Mean</t>
  </si>
  <si>
    <t>St. Dev</t>
  </si>
  <si>
    <t>fgZ</t>
  </si>
  <si>
    <t>ftZ</t>
  </si>
  <si>
    <t>3Z</t>
  </si>
  <si>
    <t>rebZ</t>
  </si>
  <si>
    <t>astZ</t>
  </si>
  <si>
    <t>stlZ</t>
  </si>
  <si>
    <t>blkZ</t>
  </si>
  <si>
    <t>toZ</t>
  </si>
  <si>
    <t>ptsZ</t>
  </si>
  <si>
    <t>Team 1</t>
  </si>
  <si>
    <t>Team 2</t>
  </si>
  <si>
    <t>Gp</t>
  </si>
  <si>
    <t>Rank</t>
  </si>
  <si>
    <t>Diff (T1 - T2)</t>
  </si>
  <si>
    <t>Type Name of Players</t>
  </si>
  <si>
    <t>under Team 1 and 2</t>
  </si>
  <si>
    <t>R#</t>
  </si>
  <si>
    <t>PLAYER</t>
  </si>
  <si>
    <t>TREB</t>
  </si>
  <si>
    <t>CJ McCollum</t>
  </si>
  <si>
    <t>PJ Tucker</t>
  </si>
  <si>
    <t>Moe Harkless</t>
  </si>
  <si>
    <t>Alec Burks</t>
  </si>
  <si>
    <t>ALL</t>
  </si>
  <si>
    <t>Top 50</t>
  </si>
  <si>
    <t>Top 100</t>
  </si>
  <si>
    <t>Top 200</t>
  </si>
  <si>
    <t>50-100</t>
  </si>
  <si>
    <t>SHOW</t>
  </si>
  <si>
    <t>POSITION</t>
  </si>
  <si>
    <t>RANK BY</t>
  </si>
  <si>
    <t>POS</t>
  </si>
  <si>
    <t>TEAM</t>
  </si>
  <si>
    <t>MPG</t>
  </si>
  <si>
    <t>TOTAL</t>
  </si>
  <si>
    <t>PF,C</t>
  </si>
  <si>
    <t>LAL</t>
  </si>
  <si>
    <r>
      <t xml:space="preserve">0.52 </t>
    </r>
    <r>
      <rPr>
        <sz val="8.4"/>
        <color rgb="FF333333"/>
        <rFont val="Arial"/>
        <family val="2"/>
      </rPr>
      <t>(10.0/19.3)</t>
    </r>
  </si>
  <si>
    <r>
      <t xml:space="preserve">0.81 </t>
    </r>
    <r>
      <rPr>
        <sz val="8.4"/>
        <color rgb="FF333333"/>
        <rFont val="Arial"/>
        <family val="2"/>
      </rPr>
      <t>(6.6/8.1)</t>
    </r>
  </si>
  <si>
    <t>PG,SG</t>
  </si>
  <si>
    <t>HOU</t>
  </si>
  <si>
    <r>
      <t xml:space="preserve">0.45 </t>
    </r>
    <r>
      <rPr>
        <sz val="8.4"/>
        <color rgb="FF333333"/>
        <rFont val="Arial"/>
        <family val="2"/>
      </rPr>
      <t>(9.4/21.1)</t>
    </r>
  </si>
  <si>
    <r>
      <t xml:space="preserve">0.87 </t>
    </r>
    <r>
      <rPr>
        <sz val="8.4"/>
        <color rgb="FF333333"/>
        <rFont val="Arial"/>
        <family val="2"/>
      </rPr>
      <t>(8.9/10.2)</t>
    </r>
  </si>
  <si>
    <t>GSW</t>
  </si>
  <si>
    <r>
      <t xml:space="preserve">0.48 </t>
    </r>
    <r>
      <rPr>
        <sz val="8.4"/>
        <color rgb="FF333333"/>
        <rFont val="Arial"/>
        <family val="2"/>
      </rPr>
      <t>(10.1/21.1)</t>
    </r>
  </si>
  <si>
    <r>
      <t xml:space="preserve">0.91 </t>
    </r>
    <r>
      <rPr>
        <sz val="8.4"/>
        <color rgb="FF333333"/>
        <rFont val="Arial"/>
        <family val="2"/>
      </rPr>
      <t>(4.2/4.6)</t>
    </r>
  </si>
  <si>
    <t>SF,PF</t>
  </si>
  <si>
    <t>MIL</t>
  </si>
  <si>
    <r>
      <t xml:space="preserve">0.56 </t>
    </r>
    <r>
      <rPr>
        <sz val="8.4"/>
        <color rgb="FF333333"/>
        <rFont val="Arial"/>
        <family val="2"/>
      </rPr>
      <t>(10.2/18.1)</t>
    </r>
  </si>
  <si>
    <r>
      <t xml:space="preserve">0.74 </t>
    </r>
    <r>
      <rPr>
        <sz val="8.4"/>
        <color rgb="FF333333"/>
        <rFont val="Arial"/>
        <family val="2"/>
      </rPr>
      <t>(7.3/9.8)</t>
    </r>
  </si>
  <si>
    <t>C</t>
  </si>
  <si>
    <t>MIN</t>
  </si>
  <si>
    <r>
      <t xml:space="preserve">0.52 </t>
    </r>
    <r>
      <rPr>
        <sz val="8.4"/>
        <color rgb="FF333333"/>
        <rFont val="Arial"/>
        <family val="2"/>
      </rPr>
      <t>(9.3/18.0)</t>
    </r>
  </si>
  <si>
    <r>
      <t xml:space="preserve">0.85 </t>
    </r>
    <r>
      <rPr>
        <sz val="8.4"/>
        <color rgb="FF333333"/>
        <rFont val="Arial"/>
        <family val="2"/>
      </rPr>
      <t>(5.2/6.1)</t>
    </r>
  </si>
  <si>
    <t>DEN</t>
  </si>
  <si>
    <r>
      <t xml:space="preserve">0.51 </t>
    </r>
    <r>
      <rPr>
        <sz val="8.4"/>
        <color rgb="FF333333"/>
        <rFont val="Arial"/>
        <family val="2"/>
      </rPr>
      <t>(8.3/16.2)</t>
    </r>
  </si>
  <si>
    <r>
      <t xml:space="preserve">0.83 </t>
    </r>
    <r>
      <rPr>
        <sz val="8.4"/>
        <color rgb="FF333333"/>
        <rFont val="Arial"/>
        <family val="2"/>
      </rPr>
      <t>(3.9/4.7)</t>
    </r>
  </si>
  <si>
    <t>PHI</t>
  </si>
  <si>
    <r>
      <t xml:space="preserve">0.49 </t>
    </r>
    <r>
      <rPr>
        <sz val="8.4"/>
        <color rgb="FF333333"/>
        <rFont val="Arial"/>
        <family val="2"/>
      </rPr>
      <t>(9.1/18.6)</t>
    </r>
  </si>
  <si>
    <r>
      <t xml:space="preserve">0.80 </t>
    </r>
    <r>
      <rPr>
        <sz val="8.4"/>
        <color rgb="FF333333"/>
        <rFont val="Arial"/>
        <family val="2"/>
      </rPr>
      <t>(8.2/10.2)</t>
    </r>
  </si>
  <si>
    <t>LAC</t>
  </si>
  <si>
    <t>SG,SF</t>
  </si>
  <si>
    <r>
      <t xml:space="preserve">0.50 </t>
    </r>
    <r>
      <rPr>
        <sz val="8.4"/>
        <color rgb="FF333333"/>
        <rFont val="Arial"/>
        <family val="2"/>
      </rPr>
      <t>(8.0/16.0)</t>
    </r>
  </si>
  <si>
    <r>
      <t xml:space="preserve">0.85 </t>
    </r>
    <r>
      <rPr>
        <sz val="8.4"/>
        <color rgb="FF333333"/>
        <rFont val="Arial"/>
        <family val="2"/>
      </rPr>
      <t>(6.0/7.1)</t>
    </r>
  </si>
  <si>
    <t>PG</t>
  </si>
  <si>
    <t>POR</t>
  </si>
  <si>
    <r>
      <t xml:space="preserve">0.45 </t>
    </r>
    <r>
      <rPr>
        <sz val="8.4"/>
        <color rgb="FF333333"/>
        <rFont val="Arial"/>
        <family val="2"/>
      </rPr>
      <t>(9.1/20.4)</t>
    </r>
  </si>
  <si>
    <r>
      <t xml:space="preserve">0.91 </t>
    </r>
    <r>
      <rPr>
        <sz val="8.4"/>
        <color rgb="FF333333"/>
        <rFont val="Arial"/>
        <family val="2"/>
      </rPr>
      <t>(6.2/6.8)</t>
    </r>
  </si>
  <si>
    <t>MIA</t>
  </si>
  <si>
    <r>
      <t xml:space="preserve">0.46 </t>
    </r>
    <r>
      <rPr>
        <sz val="8.4"/>
        <color rgb="FF333333"/>
        <rFont val="Arial"/>
        <family val="2"/>
      </rPr>
      <t>(7.6/16.4)</t>
    </r>
  </si>
  <si>
    <r>
      <t xml:space="preserve">0.86 </t>
    </r>
    <r>
      <rPr>
        <sz val="8.4"/>
        <color rgb="FF333333"/>
        <rFont val="Arial"/>
        <family val="2"/>
      </rPr>
      <t>(5.4/6.3)</t>
    </r>
  </si>
  <si>
    <r>
      <t xml:space="preserve">0.51 </t>
    </r>
    <r>
      <rPr>
        <sz val="8.4"/>
        <color rgb="FF333333"/>
        <rFont val="Arial"/>
        <family val="2"/>
      </rPr>
      <t>(9.9/19.4)</t>
    </r>
  </si>
  <si>
    <r>
      <t xml:space="preserve">0.70 </t>
    </r>
    <r>
      <rPr>
        <sz val="8.4"/>
        <color rgb="FF333333"/>
        <rFont val="Arial"/>
        <family val="2"/>
      </rPr>
      <t>(5.0/7.1)</t>
    </r>
  </si>
  <si>
    <t>BKN</t>
  </si>
  <si>
    <r>
      <t xml:space="preserve">0.46 </t>
    </r>
    <r>
      <rPr>
        <sz val="8.4"/>
        <color rgb="FF333333"/>
        <rFont val="Arial"/>
        <family val="2"/>
      </rPr>
      <t>(9.5/20.5)</t>
    </r>
  </si>
  <si>
    <r>
      <t xml:space="preserve">0.87 </t>
    </r>
    <r>
      <rPr>
        <sz val="8.4"/>
        <color rgb="FF333333"/>
        <rFont val="Arial"/>
        <family val="2"/>
      </rPr>
      <t>(3.4/3.9)</t>
    </r>
  </si>
  <si>
    <t>SG</t>
  </si>
  <si>
    <t>WAS</t>
  </si>
  <si>
    <r>
      <t xml:space="preserve">0.47 </t>
    </r>
    <r>
      <rPr>
        <sz val="8.4"/>
        <color rgb="FF333333"/>
        <rFont val="Arial"/>
        <family val="2"/>
      </rPr>
      <t>(9.9/21.1)</t>
    </r>
  </si>
  <si>
    <r>
      <t xml:space="preserve">0.80 </t>
    </r>
    <r>
      <rPr>
        <sz val="8.4"/>
        <color rgb="FF333333"/>
        <rFont val="Arial"/>
        <family val="2"/>
      </rPr>
      <t>(4.4/5.5)</t>
    </r>
  </si>
  <si>
    <t>ORL</t>
  </si>
  <si>
    <r>
      <t xml:space="preserve">0.49 </t>
    </r>
    <r>
      <rPr>
        <sz val="8.4"/>
        <color rgb="FF333333"/>
        <rFont val="Arial"/>
        <family val="2"/>
      </rPr>
      <t>(8.3/17.1)</t>
    </r>
  </si>
  <si>
    <r>
      <t xml:space="preserve">0.80 </t>
    </r>
    <r>
      <rPr>
        <sz val="8.4"/>
        <color rgb="FF333333"/>
        <rFont val="Arial"/>
        <family val="2"/>
      </rPr>
      <t>(2.4/3.0)</t>
    </r>
  </si>
  <si>
    <t>BOS</t>
  </si>
  <si>
    <r>
      <t xml:space="preserve">0.45 </t>
    </r>
    <r>
      <rPr>
        <sz val="8.4"/>
        <color rgb="FF333333"/>
        <rFont val="Arial"/>
        <family val="2"/>
      </rPr>
      <t>(8.6/19.0)</t>
    </r>
  </si>
  <si>
    <r>
      <t xml:space="preserve">0.84 </t>
    </r>
    <r>
      <rPr>
        <sz val="8.4"/>
        <color rgb="FF333333"/>
        <rFont val="Arial"/>
        <family val="2"/>
      </rPr>
      <t>(4.6/5.5)</t>
    </r>
  </si>
  <si>
    <t>PHO</t>
  </si>
  <si>
    <r>
      <t xml:space="preserve">0.47 </t>
    </r>
    <r>
      <rPr>
        <sz val="8.4"/>
        <color rgb="FF333333"/>
        <rFont val="Arial"/>
        <family val="2"/>
      </rPr>
      <t>(9.4/20.1)</t>
    </r>
  </si>
  <si>
    <r>
      <t xml:space="preserve">0.85 </t>
    </r>
    <r>
      <rPr>
        <sz val="8.4"/>
        <color rgb="FF333333"/>
        <rFont val="Arial"/>
        <family val="2"/>
      </rPr>
      <t>(6.4/7.5)</t>
    </r>
  </si>
  <si>
    <t>UTA</t>
  </si>
  <si>
    <r>
      <t xml:space="preserve">0.68 </t>
    </r>
    <r>
      <rPr>
        <sz val="8.4"/>
        <color rgb="FF333333"/>
        <rFont val="Arial"/>
        <family val="2"/>
      </rPr>
      <t>(6.3/9.3)</t>
    </r>
  </si>
  <si>
    <r>
      <t xml:space="preserve">0.65 </t>
    </r>
    <r>
      <rPr>
        <sz val="8.4"/>
        <color rgb="FF333333"/>
        <rFont val="Arial"/>
        <family val="2"/>
      </rPr>
      <t>(4.4/6.8)</t>
    </r>
  </si>
  <si>
    <t>NOP</t>
  </si>
  <si>
    <r>
      <t xml:space="preserve">0.47 </t>
    </r>
    <r>
      <rPr>
        <sz val="8.4"/>
        <color rgb="FF333333"/>
        <rFont val="Arial"/>
        <family val="2"/>
      </rPr>
      <t>(8.6/18.4)</t>
    </r>
  </si>
  <si>
    <r>
      <t xml:space="preserve">0.78 </t>
    </r>
    <r>
      <rPr>
        <sz val="8.4"/>
        <color rgb="FF333333"/>
        <rFont val="Arial"/>
        <family val="2"/>
      </rPr>
      <t>(3.1/4.0)</t>
    </r>
  </si>
  <si>
    <t>DET</t>
  </si>
  <si>
    <r>
      <t xml:space="preserve">0.54 </t>
    </r>
    <r>
      <rPr>
        <sz val="8.4"/>
        <color rgb="FF333333"/>
        <rFont val="Arial"/>
        <family val="2"/>
      </rPr>
      <t>(7.6/14.2)</t>
    </r>
  </si>
  <si>
    <r>
      <t xml:space="preserve">0.60 </t>
    </r>
    <r>
      <rPr>
        <sz val="8.4"/>
        <color rgb="FF333333"/>
        <rFont val="Arial"/>
        <family val="2"/>
      </rPr>
      <t>(3.3/5.5)</t>
    </r>
  </si>
  <si>
    <r>
      <t xml:space="preserve">0.56 </t>
    </r>
    <r>
      <rPr>
        <sz val="8.4"/>
        <color rgb="FF333333"/>
        <rFont val="Arial"/>
        <family val="2"/>
      </rPr>
      <t>(8.5/15.3)</t>
    </r>
  </si>
  <si>
    <r>
      <t xml:space="preserve">0.75 </t>
    </r>
    <r>
      <rPr>
        <sz val="8.4"/>
        <color rgb="FF333333"/>
        <rFont val="Arial"/>
        <family val="2"/>
      </rPr>
      <t>(2.4/3.2)</t>
    </r>
  </si>
  <si>
    <t>ATL</t>
  </si>
  <si>
    <r>
      <t xml:space="preserve">0.56 </t>
    </r>
    <r>
      <rPr>
        <sz val="8.4"/>
        <color rgb="FF333333"/>
        <rFont val="Arial"/>
        <family val="2"/>
      </rPr>
      <t>(8.6/15.4)</t>
    </r>
  </si>
  <si>
    <r>
      <t xml:space="preserve">0.76 </t>
    </r>
    <r>
      <rPr>
        <sz val="8.4"/>
        <color rgb="FF333333"/>
        <rFont val="Arial"/>
        <family val="2"/>
      </rPr>
      <t>(3.7/4.9)</t>
    </r>
  </si>
  <si>
    <r>
      <t xml:space="preserve">0.45 </t>
    </r>
    <r>
      <rPr>
        <sz val="8.4"/>
        <color rgb="FF333333"/>
        <rFont val="Arial"/>
        <family val="2"/>
      </rPr>
      <t>(8.1/18.2)</t>
    </r>
  </si>
  <si>
    <r>
      <t xml:space="preserve">0.70 </t>
    </r>
    <r>
      <rPr>
        <sz val="8.4"/>
        <color rgb="FF333333"/>
        <rFont val="Arial"/>
        <family val="2"/>
      </rPr>
      <t>(3.3/4.7)</t>
    </r>
  </si>
  <si>
    <r>
      <t xml:space="preserve">0.43 </t>
    </r>
    <r>
      <rPr>
        <sz val="8.4"/>
        <color rgb="FF333333"/>
        <rFont val="Arial"/>
        <family val="2"/>
      </rPr>
      <t>(7.5/17.3)</t>
    </r>
  </si>
  <si>
    <r>
      <t xml:space="preserve">0.86 </t>
    </r>
    <r>
      <rPr>
        <sz val="8.4"/>
        <color rgb="FF333333"/>
        <rFont val="Arial"/>
        <family val="2"/>
      </rPr>
      <t>(4.9/5.7)</t>
    </r>
  </si>
  <si>
    <t>IND</t>
  </si>
  <si>
    <r>
      <t xml:space="preserve">0.48 </t>
    </r>
    <r>
      <rPr>
        <sz val="8.4"/>
        <color rgb="FF333333"/>
        <rFont val="Arial"/>
        <family val="2"/>
      </rPr>
      <t>(5.6/11.7)</t>
    </r>
  </si>
  <si>
    <r>
      <t xml:space="preserve">0.73 </t>
    </r>
    <r>
      <rPr>
        <sz val="8.4"/>
        <color rgb="FF333333"/>
        <rFont val="Arial"/>
        <family val="2"/>
      </rPr>
      <t>(2.2/3.0)</t>
    </r>
  </si>
  <si>
    <t>NYK</t>
  </si>
  <si>
    <r>
      <t xml:space="preserve">0.46 </t>
    </r>
    <r>
      <rPr>
        <sz val="8.4"/>
        <color rgb="FF333333"/>
        <rFont val="Arial"/>
        <family val="2"/>
      </rPr>
      <t>(6.1/13.4)</t>
    </r>
  </si>
  <si>
    <r>
      <t xml:space="preserve">0.84 </t>
    </r>
    <r>
      <rPr>
        <sz val="8.4"/>
        <color rgb="FF333333"/>
        <rFont val="Arial"/>
        <family val="2"/>
      </rPr>
      <t>(4.9/5.8)</t>
    </r>
  </si>
  <si>
    <t>OKC</t>
  </si>
  <si>
    <r>
      <t xml:space="preserve">0.43 </t>
    </r>
    <r>
      <rPr>
        <sz val="8.4"/>
        <color rgb="FF333333"/>
        <rFont val="Arial"/>
        <family val="2"/>
      </rPr>
      <t>(5.3/12.2)</t>
    </r>
  </si>
  <si>
    <r>
      <t xml:space="preserve">0.88 </t>
    </r>
    <r>
      <rPr>
        <sz val="8.4"/>
        <color rgb="FF333333"/>
        <rFont val="Arial"/>
        <family val="2"/>
      </rPr>
      <t>(2.9/3.3)</t>
    </r>
  </si>
  <si>
    <t>CHI</t>
  </si>
  <si>
    <r>
      <t xml:space="preserve">0.80 </t>
    </r>
    <r>
      <rPr>
        <sz val="8.4"/>
        <color rgb="FF333333"/>
        <rFont val="Arial"/>
        <family val="2"/>
      </rPr>
      <t>(1.6/2.0)</t>
    </r>
  </si>
  <si>
    <r>
      <t xml:space="preserve">0.45 </t>
    </r>
    <r>
      <rPr>
        <sz val="8.4"/>
        <color rgb="FF333333"/>
        <rFont val="Arial"/>
        <family val="2"/>
      </rPr>
      <t>(4.1/9.1)</t>
    </r>
  </si>
  <si>
    <r>
      <t xml:space="preserve">0.69 </t>
    </r>
    <r>
      <rPr>
        <sz val="8.4"/>
        <color rgb="FF333333"/>
        <rFont val="Arial"/>
        <family val="2"/>
      </rPr>
      <t>(1.1/1.6)</t>
    </r>
  </si>
  <si>
    <t>SAS</t>
  </si>
  <si>
    <r>
      <t xml:space="preserve">0.51 </t>
    </r>
    <r>
      <rPr>
        <sz val="8.4"/>
        <color rgb="FF333333"/>
        <rFont val="Arial"/>
        <family val="2"/>
      </rPr>
      <t>(8.1/16.0)</t>
    </r>
  </si>
  <si>
    <r>
      <t xml:space="preserve">0.85 </t>
    </r>
    <r>
      <rPr>
        <sz val="8.4"/>
        <color rgb="FF333333"/>
        <rFont val="Arial"/>
        <family val="2"/>
      </rPr>
      <t>(4.5/5.3)</t>
    </r>
  </si>
  <si>
    <t>PF</t>
  </si>
  <si>
    <t>TOR</t>
  </si>
  <si>
    <r>
      <t xml:space="preserve">0.52 </t>
    </r>
    <r>
      <rPr>
        <sz val="8.4"/>
        <color rgb="FF333333"/>
        <rFont val="Arial"/>
        <family val="2"/>
      </rPr>
      <t>(7.1/13.6)</t>
    </r>
  </si>
  <si>
    <r>
      <t xml:space="preserve">0.79 </t>
    </r>
    <r>
      <rPr>
        <sz val="8.4"/>
        <color rgb="FF333333"/>
        <rFont val="Arial"/>
        <family val="2"/>
      </rPr>
      <t>(3.4/4.3)</t>
    </r>
  </si>
  <si>
    <r>
      <t xml:space="preserve">0.44 </t>
    </r>
    <r>
      <rPr>
        <sz val="8.4"/>
        <color rgb="FF333333"/>
        <rFont val="Arial"/>
        <family val="2"/>
      </rPr>
      <t>(4.6/10.4)</t>
    </r>
  </si>
  <si>
    <r>
      <t xml:space="preserve">0.76 </t>
    </r>
    <r>
      <rPr>
        <sz val="8.4"/>
        <color rgb="FF333333"/>
        <rFont val="Arial"/>
        <family val="2"/>
      </rPr>
      <t>(1.9/2.5)</t>
    </r>
  </si>
  <si>
    <t>SAC</t>
  </si>
  <si>
    <r>
      <t xml:space="preserve">0.46 </t>
    </r>
    <r>
      <rPr>
        <sz val="8.4"/>
        <color rgb="FF333333"/>
        <rFont val="Arial"/>
        <family val="2"/>
      </rPr>
      <t>(8.0/17.5)</t>
    </r>
  </si>
  <si>
    <r>
      <t xml:space="preserve">0.88 </t>
    </r>
    <r>
      <rPr>
        <sz val="8.4"/>
        <color rgb="FF333333"/>
        <rFont val="Arial"/>
        <family val="2"/>
      </rPr>
      <t>(2.2/2.5)</t>
    </r>
  </si>
  <si>
    <r>
      <t xml:space="preserve">0.45 </t>
    </r>
    <r>
      <rPr>
        <sz val="8.4"/>
        <color rgb="FF333333"/>
        <rFont val="Arial"/>
        <family val="2"/>
      </rPr>
      <t>(8.0/17.9)</t>
    </r>
  </si>
  <si>
    <r>
      <t xml:space="preserve">0.79 </t>
    </r>
    <r>
      <rPr>
        <sz val="8.4"/>
        <color rgb="FF333333"/>
        <rFont val="Arial"/>
        <family val="2"/>
      </rPr>
      <t>(2.3/2.9)</t>
    </r>
  </si>
  <si>
    <r>
      <t xml:space="preserve">0.45 </t>
    </r>
    <r>
      <rPr>
        <sz val="8.4"/>
        <color rgb="FF333333"/>
        <rFont val="Arial"/>
        <family val="2"/>
      </rPr>
      <t>(7.2/16.1)</t>
    </r>
  </si>
  <si>
    <r>
      <t xml:space="preserve">0.83 </t>
    </r>
    <r>
      <rPr>
        <sz val="8.4"/>
        <color rgb="FF333333"/>
        <rFont val="Arial"/>
        <family val="2"/>
      </rPr>
      <t>(3.0/3.6)</t>
    </r>
  </si>
  <si>
    <r>
      <t xml:space="preserve">0.55 </t>
    </r>
    <r>
      <rPr>
        <sz val="8.4"/>
        <color rgb="FF333333"/>
        <rFont val="Arial"/>
        <family val="2"/>
      </rPr>
      <t>(7.1/12.8)</t>
    </r>
  </si>
  <si>
    <r>
      <t xml:space="preserve">0.63 </t>
    </r>
    <r>
      <rPr>
        <sz val="8.4"/>
        <color rgb="FF333333"/>
        <rFont val="Arial"/>
        <family val="2"/>
      </rPr>
      <t>(3.5/5.6)</t>
    </r>
  </si>
  <si>
    <r>
      <t xml:space="preserve">0.43 </t>
    </r>
    <r>
      <rPr>
        <sz val="8.4"/>
        <color rgb="FF333333"/>
        <rFont val="Arial"/>
        <family val="2"/>
      </rPr>
      <t>(5.7/13.2)</t>
    </r>
  </si>
  <si>
    <r>
      <t xml:space="preserve">0.83 </t>
    </r>
    <r>
      <rPr>
        <sz val="8.4"/>
        <color rgb="FF333333"/>
        <rFont val="Arial"/>
        <family val="2"/>
      </rPr>
      <t>(2.5/3.0)</t>
    </r>
  </si>
  <si>
    <t>DAL</t>
  </si>
  <si>
    <r>
      <t xml:space="preserve">0.45 </t>
    </r>
    <r>
      <rPr>
        <sz val="8.4"/>
        <color rgb="FF333333"/>
        <rFont val="Arial"/>
        <family val="2"/>
      </rPr>
      <t>(6.8/15.2)</t>
    </r>
  </si>
  <si>
    <r>
      <t xml:space="preserve">0.46 </t>
    </r>
    <r>
      <rPr>
        <sz val="8.4"/>
        <color rgb="FF333333"/>
        <rFont val="Arial"/>
        <family val="2"/>
      </rPr>
      <t>(8.2/17.8)</t>
    </r>
  </si>
  <si>
    <r>
      <t xml:space="preserve">0.84 </t>
    </r>
    <r>
      <rPr>
        <sz val="8.4"/>
        <color rgb="FF333333"/>
        <rFont val="Arial"/>
        <family val="2"/>
      </rPr>
      <t>(5.2/6.2)</t>
    </r>
  </si>
  <si>
    <t>CLE</t>
  </si>
  <si>
    <r>
      <t xml:space="preserve">0.44 </t>
    </r>
    <r>
      <rPr>
        <sz val="8.4"/>
        <color rgb="FF333333"/>
        <rFont val="Arial"/>
        <family val="2"/>
      </rPr>
      <t>(5.2/11.8)</t>
    </r>
  </si>
  <si>
    <r>
      <t xml:space="preserve">0.91 </t>
    </r>
    <r>
      <rPr>
        <sz val="8.4"/>
        <color rgb="FF333333"/>
        <rFont val="Arial"/>
        <family val="2"/>
      </rPr>
      <t>(5.1/5.6)</t>
    </r>
  </si>
  <si>
    <r>
      <t xml:space="preserve">0.47 </t>
    </r>
    <r>
      <rPr>
        <sz val="8.4"/>
        <color rgb="FF333333"/>
        <rFont val="Arial"/>
        <family val="2"/>
      </rPr>
      <t>(7.1/15.0)</t>
    </r>
  </si>
  <si>
    <r>
      <t xml:space="preserve">0.87 </t>
    </r>
    <r>
      <rPr>
        <sz val="8.4"/>
        <color rgb="FF333333"/>
        <rFont val="Arial"/>
        <family val="2"/>
      </rPr>
      <t>(3.3/3.8)</t>
    </r>
  </si>
  <si>
    <r>
      <t xml:space="preserve">0.45 </t>
    </r>
    <r>
      <rPr>
        <sz val="8.4"/>
        <color rgb="FF333333"/>
        <rFont val="Arial"/>
        <family val="2"/>
      </rPr>
      <t>(6.2/13.8)</t>
    </r>
  </si>
  <si>
    <r>
      <t xml:space="preserve">0.90 </t>
    </r>
    <r>
      <rPr>
        <sz val="8.4"/>
        <color rgb="FF333333"/>
        <rFont val="Arial"/>
        <family val="2"/>
      </rPr>
      <t>(5.6/6.2)</t>
    </r>
  </si>
  <si>
    <r>
      <t xml:space="preserve">0.44 </t>
    </r>
    <r>
      <rPr>
        <sz val="8.4"/>
        <color rgb="FF333333"/>
        <rFont val="Arial"/>
        <family val="2"/>
      </rPr>
      <t>(7.8/17.7)</t>
    </r>
  </si>
  <si>
    <r>
      <t xml:space="preserve">0.74 </t>
    </r>
    <r>
      <rPr>
        <sz val="8.4"/>
        <color rgb="FF333333"/>
        <rFont val="Arial"/>
        <family val="2"/>
      </rPr>
      <t>(5.3/7.2)</t>
    </r>
  </si>
  <si>
    <r>
      <t xml:space="preserve">0.55 </t>
    </r>
    <r>
      <rPr>
        <sz val="8.4"/>
        <color rgb="FF333333"/>
        <rFont val="Arial"/>
        <family val="2"/>
      </rPr>
      <t>(5.8/10.6)</t>
    </r>
  </si>
  <si>
    <r>
      <t xml:space="preserve">0.73 </t>
    </r>
    <r>
      <rPr>
        <sz val="8.4"/>
        <color rgb="FF333333"/>
        <rFont val="Arial"/>
        <family val="2"/>
      </rPr>
      <t>(2.7/3.7)</t>
    </r>
  </si>
  <si>
    <r>
      <t xml:space="preserve">0.46 </t>
    </r>
    <r>
      <rPr>
        <sz val="8.4"/>
        <color rgb="FF333333"/>
        <rFont val="Arial"/>
        <family val="2"/>
      </rPr>
      <t>(6.9/14.9)</t>
    </r>
  </si>
  <si>
    <r>
      <t xml:space="preserve">0.73 </t>
    </r>
    <r>
      <rPr>
        <sz val="8.4"/>
        <color rgb="FF333333"/>
        <rFont val="Arial"/>
        <family val="2"/>
      </rPr>
      <t>(4.0/5.5)</t>
    </r>
  </si>
  <si>
    <r>
      <t xml:space="preserve">0.44 </t>
    </r>
    <r>
      <rPr>
        <sz val="8.4"/>
        <color rgb="FF333333"/>
        <rFont val="Arial"/>
        <family val="2"/>
      </rPr>
      <t>(9.2/20.8)</t>
    </r>
  </si>
  <si>
    <r>
      <t xml:space="preserve">0.81 </t>
    </r>
    <r>
      <rPr>
        <sz val="8.4"/>
        <color rgb="FF333333"/>
        <rFont val="Arial"/>
        <family val="2"/>
      </rPr>
      <t>(4.4/5.4)</t>
    </r>
  </si>
  <si>
    <r>
      <t xml:space="preserve">0.44 </t>
    </r>
    <r>
      <rPr>
        <sz val="8.4"/>
        <color rgb="FF333333"/>
        <rFont val="Arial"/>
        <family val="2"/>
      </rPr>
      <t>(7.2/16.2)</t>
    </r>
  </si>
  <si>
    <r>
      <t xml:space="preserve">0.78 </t>
    </r>
    <r>
      <rPr>
        <sz val="8.4"/>
        <color rgb="FF333333"/>
        <rFont val="Arial"/>
        <family val="2"/>
      </rPr>
      <t>(2.9/3.7)</t>
    </r>
  </si>
  <si>
    <r>
      <t xml:space="preserve">0.48 </t>
    </r>
    <r>
      <rPr>
        <sz val="8.4"/>
        <color rgb="FF333333"/>
        <rFont val="Arial"/>
        <family val="2"/>
      </rPr>
      <t>(5.5/11.5)</t>
    </r>
  </si>
  <si>
    <r>
      <t xml:space="preserve">0.78 </t>
    </r>
    <r>
      <rPr>
        <sz val="8.4"/>
        <color rgb="FF333333"/>
        <rFont val="Arial"/>
        <family val="2"/>
      </rPr>
      <t>(2.5/3.2)</t>
    </r>
  </si>
  <si>
    <r>
      <t xml:space="preserve">0.56 </t>
    </r>
    <r>
      <rPr>
        <sz val="8.4"/>
        <color rgb="FF333333"/>
        <rFont val="Arial"/>
        <family val="2"/>
      </rPr>
      <t>(6.0/10.7)</t>
    </r>
  </si>
  <si>
    <t>MEM</t>
  </si>
  <si>
    <r>
      <t xml:space="preserve">0.49 </t>
    </r>
    <r>
      <rPr>
        <sz val="8.4"/>
        <color rgb="FF333333"/>
        <rFont val="Arial"/>
        <family val="2"/>
      </rPr>
      <t>(6.3/12.9)</t>
    </r>
  </si>
  <si>
    <r>
      <t xml:space="preserve">0.77 </t>
    </r>
    <r>
      <rPr>
        <sz val="8.4"/>
        <color rgb="FF333333"/>
        <rFont val="Arial"/>
        <family val="2"/>
      </rPr>
      <t>(3.4/4.4)</t>
    </r>
  </si>
  <si>
    <r>
      <t xml:space="preserve">0.55 </t>
    </r>
    <r>
      <rPr>
        <sz val="8.4"/>
        <color rgb="FF333333"/>
        <rFont val="Arial"/>
        <family val="2"/>
      </rPr>
      <t>(6.1/11.0)</t>
    </r>
  </si>
  <si>
    <r>
      <t xml:space="preserve">0.80 </t>
    </r>
    <r>
      <rPr>
        <sz val="8.4"/>
        <color rgb="FF333333"/>
        <rFont val="Arial"/>
        <family val="2"/>
      </rPr>
      <t>(4.0/5.0)</t>
    </r>
  </si>
  <si>
    <r>
      <t xml:space="preserve">0.47 </t>
    </r>
    <r>
      <rPr>
        <sz val="8.4"/>
        <color rgb="FF333333"/>
        <rFont val="Arial"/>
        <family val="2"/>
      </rPr>
      <t>(8.2/17.3)</t>
    </r>
  </si>
  <si>
    <r>
      <t xml:space="preserve">0.82 </t>
    </r>
    <r>
      <rPr>
        <sz val="8.4"/>
        <color rgb="FF333333"/>
        <rFont val="Arial"/>
        <family val="2"/>
      </rPr>
      <t>(4.7/5.7)</t>
    </r>
  </si>
  <si>
    <r>
      <t xml:space="preserve">0.50 </t>
    </r>
    <r>
      <rPr>
        <sz val="8.4"/>
        <color rgb="FF333333"/>
        <rFont val="Arial"/>
        <family val="2"/>
      </rPr>
      <t>(5.2/10.5)</t>
    </r>
  </si>
  <si>
    <r>
      <t xml:space="preserve">0.86 </t>
    </r>
    <r>
      <rPr>
        <sz val="8.4"/>
        <color rgb="FF333333"/>
        <rFont val="Arial"/>
        <family val="2"/>
      </rPr>
      <t>(1.2/1.4)</t>
    </r>
  </si>
  <si>
    <r>
      <t xml:space="preserve">0.45 </t>
    </r>
    <r>
      <rPr>
        <sz val="8.4"/>
        <color rgb="FF333333"/>
        <rFont val="Arial"/>
        <family val="2"/>
      </rPr>
      <t>(5.1/11.4)</t>
    </r>
  </si>
  <si>
    <r>
      <t xml:space="preserve">0.84 </t>
    </r>
    <r>
      <rPr>
        <sz val="8.4"/>
        <color rgb="FF333333"/>
        <rFont val="Arial"/>
        <family val="2"/>
      </rPr>
      <t>(2.7/3.2)</t>
    </r>
  </si>
  <si>
    <r>
      <t xml:space="preserve">0.45 </t>
    </r>
    <r>
      <rPr>
        <sz val="8.4"/>
        <color rgb="FF333333"/>
        <rFont val="Arial"/>
        <family val="2"/>
      </rPr>
      <t>(4.5/9.9)</t>
    </r>
  </si>
  <si>
    <r>
      <t xml:space="preserve">0.88 </t>
    </r>
    <r>
      <rPr>
        <sz val="8.4"/>
        <color rgb="FF333333"/>
        <rFont val="Arial"/>
        <family val="2"/>
      </rPr>
      <t>(1.4/1.6)</t>
    </r>
  </si>
  <si>
    <r>
      <t xml:space="preserve">0.49 </t>
    </r>
    <r>
      <rPr>
        <sz val="8.4"/>
        <color rgb="FF333333"/>
        <rFont val="Arial"/>
        <family val="2"/>
      </rPr>
      <t>(6.5/13.2)</t>
    </r>
  </si>
  <si>
    <r>
      <t xml:space="preserve">0.93 </t>
    </r>
    <r>
      <rPr>
        <sz val="8.4"/>
        <color rgb="FF333333"/>
        <rFont val="Arial"/>
        <family val="2"/>
      </rPr>
      <t>(2.6/2.8)</t>
    </r>
  </si>
  <si>
    <r>
      <t xml:space="preserve">0.43 </t>
    </r>
    <r>
      <rPr>
        <sz val="8.4"/>
        <color rgb="FF333333"/>
        <rFont val="Arial"/>
        <family val="2"/>
      </rPr>
      <t>(6.9/15.9)</t>
    </r>
  </si>
  <si>
    <r>
      <t xml:space="preserve">0.85 </t>
    </r>
    <r>
      <rPr>
        <sz val="8.4"/>
        <color rgb="FF333333"/>
        <rFont val="Arial"/>
        <family val="2"/>
      </rPr>
      <t>(3.4/4.0)</t>
    </r>
  </si>
  <si>
    <r>
      <t xml:space="preserve">0.47 </t>
    </r>
    <r>
      <rPr>
        <sz val="8.4"/>
        <color rgb="FF333333"/>
        <rFont val="Arial"/>
        <family val="2"/>
      </rPr>
      <t>(8.7/18.7)</t>
    </r>
  </si>
  <si>
    <r>
      <t xml:space="preserve">0.86 </t>
    </r>
    <r>
      <rPr>
        <sz val="8.4"/>
        <color rgb="FF333333"/>
        <rFont val="Arial"/>
        <family val="2"/>
      </rPr>
      <t>(2.4/2.8)</t>
    </r>
  </si>
  <si>
    <r>
      <t xml:space="preserve">0.45 </t>
    </r>
    <r>
      <rPr>
        <sz val="8.4"/>
        <color rgb="FF333333"/>
        <rFont val="Arial"/>
        <family val="2"/>
      </rPr>
      <t>(8.2/18.2)</t>
    </r>
  </si>
  <si>
    <r>
      <t xml:space="preserve">0.76 </t>
    </r>
    <r>
      <rPr>
        <sz val="8.4"/>
        <color rgb="FF333333"/>
        <rFont val="Arial"/>
        <family val="2"/>
      </rPr>
      <t>(5.6/7.4)</t>
    </r>
  </si>
  <si>
    <r>
      <t xml:space="preserve">0.54 </t>
    </r>
    <r>
      <rPr>
        <sz val="8.4"/>
        <color rgb="FF333333"/>
        <rFont val="Arial"/>
        <family val="2"/>
      </rPr>
      <t>(6.0/11.1)</t>
    </r>
  </si>
  <si>
    <r>
      <t xml:space="preserve">0.61 </t>
    </r>
    <r>
      <rPr>
        <sz val="8.4"/>
        <color rgb="FF333333"/>
        <rFont val="Arial"/>
        <family val="2"/>
      </rPr>
      <t>(1.9/3.1)</t>
    </r>
  </si>
  <si>
    <r>
      <t xml:space="preserve">0.46 </t>
    </r>
    <r>
      <rPr>
        <sz val="8.4"/>
        <color rgb="FF333333"/>
        <rFont val="Arial"/>
        <family val="2"/>
      </rPr>
      <t>(6.4/13.8)</t>
    </r>
  </si>
  <si>
    <r>
      <t xml:space="preserve">0.84 </t>
    </r>
    <r>
      <rPr>
        <sz val="8.4"/>
        <color rgb="FF333333"/>
        <rFont val="Arial"/>
        <family val="2"/>
      </rPr>
      <t>(2.6/3.1)</t>
    </r>
  </si>
  <si>
    <r>
      <t xml:space="preserve">0.48 </t>
    </r>
    <r>
      <rPr>
        <sz val="8.4"/>
        <color rgb="FF333333"/>
        <rFont val="Arial"/>
        <family val="2"/>
      </rPr>
      <t>(6.1/12.8)</t>
    </r>
  </si>
  <si>
    <r>
      <t xml:space="preserve">0.81 </t>
    </r>
    <r>
      <rPr>
        <sz val="8.4"/>
        <color rgb="FF333333"/>
        <rFont val="Arial"/>
        <family val="2"/>
      </rPr>
      <t>(2.5/3.1)</t>
    </r>
  </si>
  <si>
    <r>
      <t xml:space="preserve">0.44 </t>
    </r>
    <r>
      <rPr>
        <sz val="8.4"/>
        <color rgb="FF333333"/>
        <rFont val="Arial"/>
        <family val="2"/>
      </rPr>
      <t>(4.8/10.8)</t>
    </r>
  </si>
  <si>
    <r>
      <t xml:space="preserve">0.51 </t>
    </r>
    <r>
      <rPr>
        <sz val="8.4"/>
        <color rgb="FF333333"/>
        <rFont val="Arial"/>
        <family val="2"/>
      </rPr>
      <t>(7.8/15.3)</t>
    </r>
  </si>
  <si>
    <r>
      <t xml:space="preserve">0.53 </t>
    </r>
    <r>
      <rPr>
        <sz val="8.4"/>
        <color rgb="FF333333"/>
        <rFont val="Arial"/>
        <family val="2"/>
      </rPr>
      <t>(4.1/7.8)</t>
    </r>
  </si>
  <si>
    <r>
      <t xml:space="preserve">0.68 </t>
    </r>
    <r>
      <rPr>
        <sz val="8.4"/>
        <color rgb="FF333333"/>
        <rFont val="Arial"/>
        <family val="2"/>
      </rPr>
      <t>(1.5/2.2)</t>
    </r>
  </si>
  <si>
    <t>CHA</t>
  </si>
  <si>
    <r>
      <t xml:space="preserve">0.74 </t>
    </r>
    <r>
      <rPr>
        <sz val="8.4"/>
        <color rgb="FF333333"/>
        <rFont val="Arial"/>
        <family val="2"/>
      </rPr>
      <t>(1.4/1.9)</t>
    </r>
  </si>
  <si>
    <r>
      <t xml:space="preserve">0.42 </t>
    </r>
    <r>
      <rPr>
        <sz val="8.4"/>
        <color rgb="FF333333"/>
        <rFont val="Arial"/>
        <family val="2"/>
      </rPr>
      <t>(4.1/9.7)</t>
    </r>
  </si>
  <si>
    <r>
      <t xml:space="preserve">0.86 </t>
    </r>
    <r>
      <rPr>
        <sz val="8.4"/>
        <color rgb="FF333333"/>
        <rFont val="Arial"/>
        <family val="2"/>
      </rPr>
      <t>(3.1/3.6)</t>
    </r>
  </si>
  <si>
    <r>
      <t xml:space="preserve">0.45 </t>
    </r>
    <r>
      <rPr>
        <sz val="8.4"/>
        <color rgb="FF333333"/>
        <rFont val="Arial"/>
        <family val="2"/>
      </rPr>
      <t>(5.8/13.0)</t>
    </r>
  </si>
  <si>
    <r>
      <t xml:space="preserve">0.79 </t>
    </r>
    <r>
      <rPr>
        <sz val="8.4"/>
        <color rgb="FF333333"/>
        <rFont val="Arial"/>
        <family val="2"/>
      </rPr>
      <t>(3.3/4.2)</t>
    </r>
  </si>
  <si>
    <r>
      <t xml:space="preserve">0.83 </t>
    </r>
    <r>
      <rPr>
        <sz val="8.4"/>
        <color rgb="FF333333"/>
        <rFont val="Arial"/>
        <family val="2"/>
      </rPr>
      <t>(1.9/2.3)</t>
    </r>
  </si>
  <si>
    <r>
      <t xml:space="preserve">0.44 </t>
    </r>
    <r>
      <rPr>
        <sz val="8.4"/>
        <color rgb="FF333333"/>
        <rFont val="Arial"/>
        <family val="2"/>
      </rPr>
      <t>(7.3/16.6)</t>
    </r>
  </si>
  <si>
    <r>
      <t xml:space="preserve">0.50 </t>
    </r>
    <r>
      <rPr>
        <sz val="8.4"/>
        <color rgb="FF333333"/>
        <rFont val="Arial"/>
        <family val="2"/>
      </rPr>
      <t>(7.3/14.7)</t>
    </r>
  </si>
  <si>
    <r>
      <t xml:space="preserve">0.73 </t>
    </r>
    <r>
      <rPr>
        <sz val="8.4"/>
        <color rgb="FF333333"/>
        <rFont val="Arial"/>
        <family val="2"/>
      </rPr>
      <t>(5.4/7.4)</t>
    </r>
  </si>
  <si>
    <r>
      <t xml:space="preserve">0.43 </t>
    </r>
    <r>
      <rPr>
        <sz val="8.4"/>
        <color rgb="FF333333"/>
        <rFont val="Arial"/>
        <family val="2"/>
      </rPr>
      <t>(3.5/8.1)</t>
    </r>
  </si>
  <si>
    <r>
      <t xml:space="preserve">0.83 </t>
    </r>
    <r>
      <rPr>
        <sz val="8.4"/>
        <color rgb="FF333333"/>
        <rFont val="Arial"/>
        <family val="2"/>
      </rPr>
      <t>(1.5/1.8)</t>
    </r>
  </si>
  <si>
    <r>
      <t xml:space="preserve">0.55 </t>
    </r>
    <r>
      <rPr>
        <sz val="8.4"/>
        <color rgb="FF333333"/>
        <rFont val="Arial"/>
        <family val="2"/>
      </rPr>
      <t>(6.1/11.1)</t>
    </r>
  </si>
  <si>
    <r>
      <t xml:space="preserve">0.72 </t>
    </r>
    <r>
      <rPr>
        <sz val="8.4"/>
        <color rgb="FF333333"/>
        <rFont val="Arial"/>
        <family val="2"/>
      </rPr>
      <t>(3.6/5.0)</t>
    </r>
  </si>
  <si>
    <r>
      <t xml:space="preserve">0.47 </t>
    </r>
    <r>
      <rPr>
        <sz val="8.4"/>
        <color rgb="FF333333"/>
        <rFont val="Arial"/>
        <family val="2"/>
      </rPr>
      <t>(7.3/15.6)</t>
    </r>
  </si>
  <si>
    <r>
      <t xml:space="preserve">0.88 </t>
    </r>
    <r>
      <rPr>
        <sz val="8.4"/>
        <color rgb="FF333333"/>
        <rFont val="Arial"/>
        <family val="2"/>
      </rPr>
      <t>(1.5/1.7)</t>
    </r>
  </si>
  <si>
    <r>
      <t xml:space="preserve">0.49 </t>
    </r>
    <r>
      <rPr>
        <sz val="8.4"/>
        <color rgb="FF333333"/>
        <rFont val="Arial"/>
        <family val="2"/>
      </rPr>
      <t>(4.0/8.1)</t>
    </r>
  </si>
  <si>
    <r>
      <t xml:space="preserve">0.79 </t>
    </r>
    <r>
      <rPr>
        <sz val="8.4"/>
        <color rgb="FF333333"/>
        <rFont val="Arial"/>
        <family val="2"/>
      </rPr>
      <t>(1.5/1.9)</t>
    </r>
  </si>
  <si>
    <r>
      <t xml:space="preserve">0.47 </t>
    </r>
    <r>
      <rPr>
        <sz val="8.4"/>
        <color rgb="FF333333"/>
        <rFont val="Arial"/>
        <family val="2"/>
      </rPr>
      <t>(5.5/11.6)</t>
    </r>
  </si>
  <si>
    <t>SF</t>
  </si>
  <si>
    <r>
      <t xml:space="preserve">0.48 </t>
    </r>
    <r>
      <rPr>
        <sz val="8.4"/>
        <color rgb="FF333333"/>
        <rFont val="Arial"/>
        <family val="2"/>
      </rPr>
      <t>(6.8/14.3)</t>
    </r>
  </si>
  <si>
    <r>
      <t xml:space="preserve">0.44 </t>
    </r>
    <r>
      <rPr>
        <sz val="8.4"/>
        <color rgb="FF333333"/>
        <rFont val="Arial"/>
        <family val="2"/>
      </rPr>
      <t>(6.1/13.8)</t>
    </r>
  </si>
  <si>
    <r>
      <t xml:space="preserve">0.76 </t>
    </r>
    <r>
      <rPr>
        <sz val="8.4"/>
        <color rgb="FF333333"/>
        <rFont val="Arial"/>
        <family val="2"/>
      </rPr>
      <t>(2.8/3.7)</t>
    </r>
  </si>
  <si>
    <r>
      <t xml:space="preserve">0.44 </t>
    </r>
    <r>
      <rPr>
        <sz val="8.4"/>
        <color rgb="FF333333"/>
        <rFont val="Arial"/>
        <family val="2"/>
      </rPr>
      <t>(5.1/11.5)</t>
    </r>
  </si>
  <si>
    <r>
      <t xml:space="preserve">0.89 </t>
    </r>
    <r>
      <rPr>
        <sz val="8.4"/>
        <color rgb="FF333333"/>
        <rFont val="Arial"/>
        <family val="2"/>
      </rPr>
      <t>(3.1/3.5)</t>
    </r>
  </si>
  <si>
    <r>
      <t xml:space="preserve">0.60 </t>
    </r>
    <r>
      <rPr>
        <sz val="8.4"/>
        <color rgb="FF333333"/>
        <rFont val="Arial"/>
        <family val="2"/>
      </rPr>
      <t>(4.8/8.0)</t>
    </r>
  </si>
  <si>
    <r>
      <t xml:space="preserve">0.76 </t>
    </r>
    <r>
      <rPr>
        <sz val="8.4"/>
        <color rgb="FF333333"/>
        <rFont val="Arial"/>
        <family val="2"/>
      </rPr>
      <t>(3.2/4.2)</t>
    </r>
  </si>
  <si>
    <r>
      <t xml:space="preserve">0.63 </t>
    </r>
    <r>
      <rPr>
        <sz val="8.4"/>
        <color rgb="FF333333"/>
        <rFont val="Arial"/>
        <family val="2"/>
      </rPr>
      <t>(4.7/7.5)</t>
    </r>
  </si>
  <si>
    <r>
      <t xml:space="preserve">0.62 </t>
    </r>
    <r>
      <rPr>
        <sz val="8.4"/>
        <color rgb="FF333333"/>
        <rFont val="Arial"/>
        <family val="2"/>
      </rPr>
      <t>(1.3/2.1)</t>
    </r>
  </si>
  <si>
    <r>
      <t xml:space="preserve">0.49 </t>
    </r>
    <r>
      <rPr>
        <sz val="8.4"/>
        <color rgb="FF333333"/>
        <rFont val="Arial"/>
        <family val="2"/>
      </rPr>
      <t>(5.0/10.2)</t>
    </r>
  </si>
  <si>
    <r>
      <t xml:space="preserve">0.62 </t>
    </r>
    <r>
      <rPr>
        <sz val="8.4"/>
        <color rgb="FF333333"/>
        <rFont val="Arial"/>
        <family val="2"/>
      </rPr>
      <t>(6.4/10.3)</t>
    </r>
  </si>
  <si>
    <r>
      <t xml:space="preserve">0.64 </t>
    </r>
    <r>
      <rPr>
        <sz val="8.4"/>
        <color rgb="FF333333"/>
        <rFont val="Arial"/>
        <family val="2"/>
      </rPr>
      <t>(3.6/5.6)</t>
    </r>
  </si>
  <si>
    <r>
      <t xml:space="preserve">0.49 </t>
    </r>
    <r>
      <rPr>
        <sz val="8.4"/>
        <color rgb="FF333333"/>
        <rFont val="Arial"/>
        <family val="2"/>
      </rPr>
      <t>(6.1/12.4)</t>
    </r>
  </si>
  <si>
    <r>
      <t xml:space="preserve">0.44 </t>
    </r>
    <r>
      <rPr>
        <sz val="8.4"/>
        <color rgb="FF333333"/>
        <rFont val="Arial"/>
        <family val="2"/>
      </rPr>
      <t>(4.7/10.7)</t>
    </r>
  </si>
  <si>
    <r>
      <t xml:space="preserve">0.81 </t>
    </r>
    <r>
      <rPr>
        <sz val="8.4"/>
        <color rgb="FF333333"/>
        <rFont val="Arial"/>
        <family val="2"/>
      </rPr>
      <t>(2.2/2.7)</t>
    </r>
  </si>
  <si>
    <r>
      <t xml:space="preserve">0.47 </t>
    </r>
    <r>
      <rPr>
        <sz val="8.4"/>
        <color rgb="FF333333"/>
        <rFont val="Arial"/>
        <family val="2"/>
      </rPr>
      <t>(6.2/13.3)</t>
    </r>
  </si>
  <si>
    <r>
      <t xml:space="preserve">0.43 </t>
    </r>
    <r>
      <rPr>
        <sz val="8.4"/>
        <color rgb="FF333333"/>
        <rFont val="Arial"/>
        <family val="2"/>
      </rPr>
      <t>(5.6/13.0)</t>
    </r>
  </si>
  <si>
    <r>
      <t xml:space="preserve">0.85 </t>
    </r>
    <r>
      <rPr>
        <sz val="8.4"/>
        <color rgb="FF333333"/>
        <rFont val="Arial"/>
        <family val="2"/>
      </rPr>
      <t>(1.7/2.0)</t>
    </r>
  </si>
  <si>
    <r>
      <t xml:space="preserve">0.62 </t>
    </r>
    <r>
      <rPr>
        <sz val="8.4"/>
        <color rgb="FF333333"/>
        <rFont val="Arial"/>
        <family val="2"/>
      </rPr>
      <t>(4.9/7.9)</t>
    </r>
  </si>
  <si>
    <r>
      <t xml:space="preserve">0.65 </t>
    </r>
    <r>
      <rPr>
        <sz val="8.4"/>
        <color rgb="FF333333"/>
        <rFont val="Arial"/>
        <family val="2"/>
      </rPr>
      <t>(1.5/2.3)</t>
    </r>
  </si>
  <si>
    <r>
      <t xml:space="preserve">0.46 </t>
    </r>
    <r>
      <rPr>
        <sz val="8.4"/>
        <color rgb="FF333333"/>
        <rFont val="Arial"/>
        <family val="2"/>
      </rPr>
      <t>(6.1/13.3)</t>
    </r>
  </si>
  <si>
    <r>
      <t xml:space="preserve">0.45 </t>
    </r>
    <r>
      <rPr>
        <sz val="8.4"/>
        <color rgb="FF333333"/>
        <rFont val="Arial"/>
        <family val="2"/>
      </rPr>
      <t>(6.7/14.9)</t>
    </r>
  </si>
  <si>
    <r>
      <t xml:space="preserve">0.71 </t>
    </r>
    <r>
      <rPr>
        <sz val="8.4"/>
        <color rgb="FF333333"/>
        <rFont val="Arial"/>
        <family val="2"/>
      </rPr>
      <t>(2.5/3.5)</t>
    </r>
  </si>
  <si>
    <r>
      <t xml:space="preserve">0.81 </t>
    </r>
    <r>
      <rPr>
        <sz val="8.4"/>
        <color rgb="FF333333"/>
        <rFont val="Arial"/>
        <family val="2"/>
      </rPr>
      <t>(1.7/2.1)</t>
    </r>
  </si>
  <si>
    <r>
      <t xml:space="preserve">0.56 </t>
    </r>
    <r>
      <rPr>
        <sz val="8.4"/>
        <color rgb="FF333333"/>
        <rFont val="Arial"/>
        <family val="2"/>
      </rPr>
      <t>(4.2/7.5)</t>
    </r>
  </si>
  <si>
    <r>
      <t xml:space="preserve">0.58 </t>
    </r>
    <r>
      <rPr>
        <sz val="8.4"/>
        <color rgb="FF333333"/>
        <rFont val="Arial"/>
        <family val="2"/>
      </rPr>
      <t>(6.3/10.9)</t>
    </r>
  </si>
  <si>
    <r>
      <t xml:space="preserve">0.51 </t>
    </r>
    <r>
      <rPr>
        <sz val="8.4"/>
        <color rgb="FF333333"/>
        <rFont val="Arial"/>
        <family val="2"/>
      </rPr>
      <t>(1.9/3.7)</t>
    </r>
  </si>
  <si>
    <r>
      <t xml:space="preserve">0.46 </t>
    </r>
    <r>
      <rPr>
        <sz val="8.4"/>
        <color rgb="FF333333"/>
        <rFont val="Arial"/>
        <family val="2"/>
      </rPr>
      <t>(3.9/8.4)</t>
    </r>
  </si>
  <si>
    <r>
      <t xml:space="preserve">0.83 </t>
    </r>
    <r>
      <rPr>
        <sz val="8.4"/>
        <color rgb="FF333333"/>
        <rFont val="Arial"/>
        <family val="2"/>
      </rPr>
      <t>(0.5/0.6)</t>
    </r>
  </si>
  <si>
    <r>
      <t xml:space="preserve">0.44 </t>
    </r>
    <r>
      <rPr>
        <sz val="8.4"/>
        <color rgb="FF333333"/>
        <rFont val="Arial"/>
        <family val="2"/>
      </rPr>
      <t>(3.6/8.1)</t>
    </r>
  </si>
  <si>
    <r>
      <t xml:space="preserve">0.81 </t>
    </r>
    <r>
      <rPr>
        <sz val="8.4"/>
        <color rgb="FF333333"/>
        <rFont val="Arial"/>
        <family val="2"/>
      </rPr>
      <t>(1.3/1.6)</t>
    </r>
  </si>
  <si>
    <r>
      <t xml:space="preserve">0.45 </t>
    </r>
    <r>
      <rPr>
        <sz val="8.4"/>
        <color rgb="FF333333"/>
        <rFont val="Arial"/>
        <family val="2"/>
      </rPr>
      <t>(4.2/9.4)</t>
    </r>
  </si>
  <si>
    <r>
      <t xml:space="preserve">0.78 </t>
    </r>
    <r>
      <rPr>
        <sz val="8.4"/>
        <color rgb="FF333333"/>
        <rFont val="Arial"/>
        <family val="2"/>
      </rPr>
      <t>(2.1/2.7)</t>
    </r>
  </si>
  <si>
    <r>
      <t xml:space="preserve">0.55 </t>
    </r>
    <r>
      <rPr>
        <sz val="8.4"/>
        <color rgb="FF333333"/>
        <rFont val="Arial"/>
        <family val="2"/>
      </rPr>
      <t>(5.6/10.2)</t>
    </r>
  </si>
  <si>
    <r>
      <t xml:space="preserve">0.81 </t>
    </r>
    <r>
      <rPr>
        <sz val="8.4"/>
        <color rgb="FF333333"/>
        <rFont val="Arial"/>
        <family val="2"/>
      </rPr>
      <t>(2.6/3.2)</t>
    </r>
  </si>
  <si>
    <r>
      <t xml:space="preserve">0.42 </t>
    </r>
    <r>
      <rPr>
        <sz val="8.4"/>
        <color rgb="FF333333"/>
        <rFont val="Arial"/>
        <family val="2"/>
      </rPr>
      <t>(4.4/10.4)</t>
    </r>
  </si>
  <si>
    <r>
      <t xml:space="preserve">0.79 </t>
    </r>
    <r>
      <rPr>
        <sz val="8.4"/>
        <color rgb="FF333333"/>
        <rFont val="Arial"/>
        <family val="2"/>
      </rPr>
      <t>(3.0/3.8)</t>
    </r>
  </si>
  <si>
    <r>
      <t xml:space="preserve">0.47 </t>
    </r>
    <r>
      <rPr>
        <sz val="8.4"/>
        <color rgb="FF333333"/>
        <rFont val="Arial"/>
        <family val="2"/>
      </rPr>
      <t>(4.7/10.0)</t>
    </r>
  </si>
  <si>
    <r>
      <t xml:space="preserve">0.75 </t>
    </r>
    <r>
      <rPr>
        <sz val="8.4"/>
        <color rgb="FF333333"/>
        <rFont val="Arial"/>
        <family val="2"/>
      </rPr>
      <t>(2.1/2.8)</t>
    </r>
  </si>
  <si>
    <r>
      <t xml:space="preserve">0.47 </t>
    </r>
    <r>
      <rPr>
        <sz val="8.4"/>
        <color rgb="FF333333"/>
        <rFont val="Arial"/>
        <family val="2"/>
      </rPr>
      <t>(4.1/8.8)</t>
    </r>
  </si>
  <si>
    <r>
      <t xml:space="preserve">0.48 </t>
    </r>
    <r>
      <rPr>
        <sz val="8.4"/>
        <color rgb="FF333333"/>
        <rFont val="Arial"/>
        <family val="2"/>
      </rPr>
      <t>(6.2/12.9)</t>
    </r>
  </si>
  <si>
    <r>
      <t xml:space="preserve">0.77 </t>
    </r>
    <r>
      <rPr>
        <sz val="8.4"/>
        <color rgb="FF333333"/>
        <rFont val="Arial"/>
        <family val="2"/>
      </rPr>
      <t>(2.0/2.6)</t>
    </r>
  </si>
  <si>
    <r>
      <t xml:space="preserve">0.49 </t>
    </r>
    <r>
      <rPr>
        <sz val="8.4"/>
        <color rgb="FF333333"/>
        <rFont val="Arial"/>
        <family val="2"/>
      </rPr>
      <t>(4.7/9.6)</t>
    </r>
  </si>
  <si>
    <r>
      <t xml:space="preserve">0.72 </t>
    </r>
    <r>
      <rPr>
        <sz val="8.4"/>
        <color rgb="FF333333"/>
        <rFont val="Arial"/>
        <family val="2"/>
      </rPr>
      <t>(2.6/3.6)</t>
    </r>
  </si>
  <si>
    <r>
      <t xml:space="preserve">0.43 </t>
    </r>
    <r>
      <rPr>
        <sz val="8.4"/>
        <color rgb="FF333333"/>
        <rFont val="Arial"/>
        <family val="2"/>
      </rPr>
      <t>(5.6/13.1)</t>
    </r>
  </si>
  <si>
    <r>
      <t xml:space="preserve">0.89 </t>
    </r>
    <r>
      <rPr>
        <sz val="8.4"/>
        <color rgb="FF333333"/>
        <rFont val="Arial"/>
        <family val="2"/>
      </rPr>
      <t>(1.7/1.9)</t>
    </r>
  </si>
  <si>
    <r>
      <t xml:space="preserve">0.44 </t>
    </r>
    <r>
      <rPr>
        <sz val="8.4"/>
        <color rgb="FF333333"/>
        <rFont val="Arial"/>
        <family val="2"/>
      </rPr>
      <t>(5.5/12.5)</t>
    </r>
  </si>
  <si>
    <r>
      <t xml:space="preserve">0.88 </t>
    </r>
    <r>
      <rPr>
        <sz val="8.4"/>
        <color rgb="FF333333"/>
        <rFont val="Arial"/>
        <family val="2"/>
      </rPr>
      <t>(4.9/5.6)</t>
    </r>
  </si>
  <si>
    <r>
      <t xml:space="preserve">0.63 </t>
    </r>
    <r>
      <rPr>
        <sz val="8.4"/>
        <color rgb="FF333333"/>
        <rFont val="Arial"/>
        <family val="2"/>
      </rPr>
      <t>(3.6/5.7)</t>
    </r>
  </si>
  <si>
    <r>
      <t xml:space="preserve">0.71 </t>
    </r>
    <r>
      <rPr>
        <sz val="8.4"/>
        <color rgb="FF333333"/>
        <rFont val="Arial"/>
        <family val="2"/>
      </rPr>
      <t>(2.4/3.4)</t>
    </r>
  </si>
  <si>
    <r>
      <t xml:space="preserve">0.43 </t>
    </r>
    <r>
      <rPr>
        <sz val="8.4"/>
        <color rgb="FF333333"/>
        <rFont val="Arial"/>
        <family val="2"/>
      </rPr>
      <t>(4.6/10.6)</t>
    </r>
  </si>
  <si>
    <r>
      <t xml:space="preserve">0.83 </t>
    </r>
    <r>
      <rPr>
        <sz val="8.4"/>
        <color rgb="FF333333"/>
        <rFont val="Arial"/>
        <family val="2"/>
      </rPr>
      <t>(1.0/1.2)</t>
    </r>
  </si>
  <si>
    <r>
      <t xml:space="preserve">0.47 </t>
    </r>
    <r>
      <rPr>
        <sz val="8.4"/>
        <color rgb="FF333333"/>
        <rFont val="Arial"/>
        <family val="2"/>
      </rPr>
      <t>(5.2/11.0)</t>
    </r>
  </si>
  <si>
    <r>
      <t xml:space="preserve">0.45 </t>
    </r>
    <r>
      <rPr>
        <sz val="8.4"/>
        <color rgb="FF333333"/>
        <rFont val="Arial"/>
        <family val="2"/>
      </rPr>
      <t>(3.7/8.2)</t>
    </r>
  </si>
  <si>
    <r>
      <t xml:space="preserve">0.91 </t>
    </r>
    <r>
      <rPr>
        <sz val="8.4"/>
        <color rgb="FF333333"/>
        <rFont val="Arial"/>
        <family val="2"/>
      </rPr>
      <t>(1.0/1.1)</t>
    </r>
  </si>
  <si>
    <r>
      <t xml:space="preserve">0.50 </t>
    </r>
    <r>
      <rPr>
        <sz val="8.4"/>
        <color rgb="FF333333"/>
        <rFont val="Arial"/>
        <family val="2"/>
      </rPr>
      <t>(5.5/11.0)</t>
    </r>
  </si>
  <si>
    <r>
      <t xml:space="preserve">0.59 </t>
    </r>
    <r>
      <rPr>
        <sz val="8.4"/>
        <color rgb="FF333333"/>
        <rFont val="Arial"/>
        <family val="2"/>
      </rPr>
      <t>(3.8/6.4)</t>
    </r>
  </si>
  <si>
    <r>
      <t xml:space="preserve">0.46 </t>
    </r>
    <r>
      <rPr>
        <sz val="8.4"/>
        <color rgb="FF333333"/>
        <rFont val="Arial"/>
        <family val="2"/>
      </rPr>
      <t>(4.2/9.2)</t>
    </r>
  </si>
  <si>
    <r>
      <t xml:space="preserve">0.71 </t>
    </r>
    <r>
      <rPr>
        <sz val="8.4"/>
        <color rgb="FF333333"/>
        <rFont val="Arial"/>
        <family val="2"/>
      </rPr>
      <t>(1.0/1.4)</t>
    </r>
  </si>
  <si>
    <r>
      <t xml:space="preserve">0.44 </t>
    </r>
    <r>
      <rPr>
        <sz val="8.4"/>
        <color rgb="FF333333"/>
        <rFont val="Arial"/>
        <family val="2"/>
      </rPr>
      <t>(4.9/11.1)</t>
    </r>
  </si>
  <si>
    <r>
      <t xml:space="preserve">0.90 </t>
    </r>
    <r>
      <rPr>
        <sz val="8.4"/>
        <color rgb="FF333333"/>
        <rFont val="Arial"/>
        <family val="2"/>
      </rPr>
      <t>(2.7/3.0)</t>
    </r>
  </si>
  <si>
    <r>
      <t xml:space="preserve">0.44 </t>
    </r>
    <r>
      <rPr>
        <sz val="8.4"/>
        <color rgb="FF333333"/>
        <rFont val="Arial"/>
        <family val="2"/>
      </rPr>
      <t>(5.0/11.3)</t>
    </r>
  </si>
  <si>
    <r>
      <t xml:space="preserve">0.82 </t>
    </r>
    <r>
      <rPr>
        <sz val="8.4"/>
        <color rgb="FF333333"/>
        <rFont val="Arial"/>
        <family val="2"/>
      </rPr>
      <t>(1.8/2.2)</t>
    </r>
  </si>
  <si>
    <r>
      <t xml:space="preserve">0.43 </t>
    </r>
    <r>
      <rPr>
        <sz val="8.4"/>
        <color rgb="FF333333"/>
        <rFont val="Arial"/>
        <family val="2"/>
      </rPr>
      <t>(5.4/12.5)</t>
    </r>
  </si>
  <si>
    <r>
      <t xml:space="preserve">0.75 </t>
    </r>
    <r>
      <rPr>
        <sz val="8.4"/>
        <color rgb="FF333333"/>
        <rFont val="Arial"/>
        <family val="2"/>
      </rPr>
      <t>(0.6/0.8)</t>
    </r>
  </si>
  <si>
    <r>
      <t xml:space="preserve">0.46 </t>
    </r>
    <r>
      <rPr>
        <sz val="8.4"/>
        <color rgb="FF333333"/>
        <rFont val="Arial"/>
        <family val="2"/>
      </rPr>
      <t>(5.5/12.0)</t>
    </r>
  </si>
  <si>
    <r>
      <t xml:space="preserve">0.72 </t>
    </r>
    <r>
      <rPr>
        <sz val="8.4"/>
        <color rgb="FF333333"/>
        <rFont val="Arial"/>
        <family val="2"/>
      </rPr>
      <t>(1.8/2.5)</t>
    </r>
  </si>
  <si>
    <r>
      <t xml:space="preserve">0.53 </t>
    </r>
    <r>
      <rPr>
        <sz val="8.4"/>
        <color rgb="FF333333"/>
        <rFont val="Arial"/>
        <family val="2"/>
      </rPr>
      <t>(4.9/9.2)</t>
    </r>
  </si>
  <si>
    <r>
      <t xml:space="preserve">0.67 </t>
    </r>
    <r>
      <rPr>
        <sz val="8.4"/>
        <color rgb="FF333333"/>
        <rFont val="Arial"/>
        <family val="2"/>
      </rPr>
      <t>(1.0/1.5)</t>
    </r>
  </si>
  <si>
    <r>
      <t xml:space="preserve">0.53 </t>
    </r>
    <r>
      <rPr>
        <sz val="8.4"/>
        <color rgb="FF333333"/>
        <rFont val="Arial"/>
        <family val="2"/>
      </rPr>
      <t>(4.4/8.3)</t>
    </r>
  </si>
  <si>
    <r>
      <t xml:space="preserve">0.74 </t>
    </r>
    <r>
      <rPr>
        <sz val="8.4"/>
        <color rgb="FF333333"/>
        <rFont val="Arial"/>
        <family val="2"/>
      </rPr>
      <t>(1.7/2.3)</t>
    </r>
  </si>
  <si>
    <r>
      <t xml:space="preserve">0.50 </t>
    </r>
    <r>
      <rPr>
        <sz val="8.4"/>
        <color rgb="FF333333"/>
        <rFont val="Arial"/>
        <family val="2"/>
      </rPr>
      <t>(4.8/9.6)</t>
    </r>
  </si>
  <si>
    <r>
      <t xml:space="preserve">0.73 </t>
    </r>
    <r>
      <rPr>
        <sz val="8.4"/>
        <color rgb="FF333333"/>
        <rFont val="Arial"/>
        <family val="2"/>
      </rPr>
      <t>(1.9/2.6)</t>
    </r>
  </si>
  <si>
    <r>
      <t xml:space="preserve">0.46 </t>
    </r>
    <r>
      <rPr>
        <sz val="8.4"/>
        <color rgb="FF333333"/>
        <rFont val="Arial"/>
        <family val="2"/>
      </rPr>
      <t>(3.1/6.7)</t>
    </r>
  </si>
  <si>
    <r>
      <t xml:space="preserve">0.42 </t>
    </r>
    <r>
      <rPr>
        <sz val="8.4"/>
        <color rgb="FF333333"/>
        <rFont val="Arial"/>
        <family val="2"/>
      </rPr>
      <t>(4.8/11.3)</t>
    </r>
  </si>
  <si>
    <r>
      <t xml:space="preserve">0.47 </t>
    </r>
    <r>
      <rPr>
        <sz val="8.4"/>
        <color rgb="FF333333"/>
        <rFont val="Arial"/>
        <family val="2"/>
      </rPr>
      <t>(4.4/9.3)</t>
    </r>
  </si>
  <si>
    <r>
      <t xml:space="preserve">0.49 </t>
    </r>
    <r>
      <rPr>
        <sz val="8.4"/>
        <color rgb="FF333333"/>
        <rFont val="Arial"/>
        <family val="2"/>
      </rPr>
      <t>(5.4/11.1)</t>
    </r>
  </si>
  <si>
    <r>
      <t xml:space="preserve">0.49 </t>
    </r>
    <r>
      <rPr>
        <sz val="8.4"/>
        <color rgb="FF333333"/>
        <rFont val="Arial"/>
        <family val="2"/>
      </rPr>
      <t>(5.1/10.5)</t>
    </r>
  </si>
  <si>
    <r>
      <t xml:space="preserve">0.43 </t>
    </r>
    <r>
      <rPr>
        <sz val="8.4"/>
        <color rgb="FF333333"/>
        <rFont val="Arial"/>
        <family val="2"/>
      </rPr>
      <t>(2.9/6.8)</t>
    </r>
  </si>
  <si>
    <r>
      <t xml:space="preserve">0.78 </t>
    </r>
    <r>
      <rPr>
        <sz val="8.4"/>
        <color rgb="FF333333"/>
        <rFont val="Arial"/>
        <family val="2"/>
      </rPr>
      <t>(1.4/1.8)</t>
    </r>
  </si>
  <si>
    <r>
      <t xml:space="preserve">0.85 </t>
    </r>
    <r>
      <rPr>
        <sz val="8.4"/>
        <color rgb="FF333333"/>
        <rFont val="Arial"/>
        <family val="2"/>
      </rPr>
      <t>(2.3/2.7)</t>
    </r>
  </si>
  <si>
    <r>
      <t xml:space="preserve">0.42 </t>
    </r>
    <r>
      <rPr>
        <sz val="8.4"/>
        <color rgb="FF333333"/>
        <rFont val="Arial"/>
        <family val="2"/>
      </rPr>
      <t>(4.8/11.4)</t>
    </r>
  </si>
  <si>
    <r>
      <t xml:space="preserve">0.72 </t>
    </r>
    <r>
      <rPr>
        <sz val="8.4"/>
        <color rgb="FF333333"/>
        <rFont val="Arial"/>
        <family val="2"/>
      </rPr>
      <t>(2.1/2.9)</t>
    </r>
  </si>
  <si>
    <r>
      <t xml:space="preserve">0.54 </t>
    </r>
    <r>
      <rPr>
        <sz val="8.4"/>
        <color rgb="FF333333"/>
        <rFont val="Arial"/>
        <family val="2"/>
      </rPr>
      <t>(3.2/5.9)</t>
    </r>
  </si>
  <si>
    <r>
      <t xml:space="preserve">0.67 </t>
    </r>
    <r>
      <rPr>
        <sz val="8.4"/>
        <color rgb="FF333333"/>
        <rFont val="Arial"/>
        <family val="2"/>
      </rPr>
      <t>(0.8/1.2)</t>
    </r>
  </si>
  <si>
    <r>
      <t xml:space="preserve">0.44 </t>
    </r>
    <r>
      <rPr>
        <sz val="8.4"/>
        <color rgb="FF333333"/>
        <rFont val="Arial"/>
        <family val="2"/>
      </rPr>
      <t>(6.0/13.6)</t>
    </r>
  </si>
  <si>
    <r>
      <t xml:space="preserve">0.44 </t>
    </r>
    <r>
      <rPr>
        <sz val="8.4"/>
        <color rgb="FF333333"/>
        <rFont val="Arial"/>
        <family val="2"/>
      </rPr>
      <t>(6.9/15.6)</t>
    </r>
  </si>
  <si>
    <r>
      <t xml:space="preserve">0.82 </t>
    </r>
    <r>
      <rPr>
        <sz val="8.4"/>
        <color rgb="FF333333"/>
        <rFont val="Arial"/>
        <family val="2"/>
      </rPr>
      <t>(2.8/3.4)</t>
    </r>
  </si>
  <si>
    <r>
      <t xml:space="preserve">0.44 </t>
    </r>
    <r>
      <rPr>
        <sz val="8.4"/>
        <color rgb="FF333333"/>
        <rFont val="Arial"/>
        <family val="2"/>
      </rPr>
      <t>(5.4/12.4)</t>
    </r>
  </si>
  <si>
    <r>
      <t xml:space="preserve">0.61 </t>
    </r>
    <r>
      <rPr>
        <sz val="8.4"/>
        <color rgb="FF333333"/>
        <rFont val="Arial"/>
        <family val="2"/>
      </rPr>
      <t>(1.4/2.3)</t>
    </r>
  </si>
  <si>
    <r>
      <t xml:space="preserve">0.80 </t>
    </r>
    <r>
      <rPr>
        <sz val="8.4"/>
        <color rgb="FF333333"/>
        <rFont val="Arial"/>
        <family val="2"/>
      </rPr>
      <t>(4.1/5.1)</t>
    </r>
  </si>
  <si>
    <r>
      <t xml:space="preserve">0.45 </t>
    </r>
    <r>
      <rPr>
        <sz val="8.4"/>
        <color rgb="FF333333"/>
        <rFont val="Arial"/>
        <family val="2"/>
      </rPr>
      <t>(6.6/14.8)</t>
    </r>
  </si>
  <si>
    <r>
      <t xml:space="preserve">0.71 </t>
    </r>
    <r>
      <rPr>
        <sz val="8.4"/>
        <color rgb="FF333333"/>
        <rFont val="Arial"/>
        <family val="2"/>
      </rPr>
      <t>(2.7/3.8)</t>
    </r>
  </si>
  <si>
    <r>
      <t xml:space="preserve">0.59 </t>
    </r>
    <r>
      <rPr>
        <sz val="8.4"/>
        <color rgb="FF333333"/>
        <rFont val="Arial"/>
        <family val="2"/>
      </rPr>
      <t>(2.6/4.4)</t>
    </r>
  </si>
  <si>
    <r>
      <t xml:space="preserve">0.75 </t>
    </r>
    <r>
      <rPr>
        <sz val="8.4"/>
        <color rgb="FF333333"/>
        <rFont val="Arial"/>
        <family val="2"/>
      </rPr>
      <t>(0.9/1.2)</t>
    </r>
  </si>
  <si>
    <r>
      <t xml:space="preserve">0.42 </t>
    </r>
    <r>
      <rPr>
        <sz val="8.4"/>
        <color rgb="FF333333"/>
        <rFont val="Arial"/>
        <family val="2"/>
      </rPr>
      <t>(5.7/13.6)</t>
    </r>
  </si>
  <si>
    <r>
      <t xml:space="preserve">0.84 </t>
    </r>
    <r>
      <rPr>
        <sz val="8.4"/>
        <color rgb="FF333333"/>
        <rFont val="Arial"/>
        <family val="2"/>
      </rPr>
      <t>(3.1/3.7)</t>
    </r>
  </si>
  <si>
    <r>
      <t xml:space="preserve">0.44 </t>
    </r>
    <r>
      <rPr>
        <sz val="8.4"/>
        <color rgb="FF333333"/>
        <rFont val="Arial"/>
        <family val="2"/>
      </rPr>
      <t>(4.4/10.1)</t>
    </r>
  </si>
  <si>
    <r>
      <t xml:space="preserve">0.42 </t>
    </r>
    <r>
      <rPr>
        <sz val="8.4"/>
        <color rgb="FF333333"/>
        <rFont val="Arial"/>
        <family val="2"/>
      </rPr>
      <t>(5.3/12.5)</t>
    </r>
  </si>
  <si>
    <r>
      <t xml:space="preserve">0.89 </t>
    </r>
    <r>
      <rPr>
        <sz val="8.4"/>
        <color rgb="FF333333"/>
        <rFont val="Arial"/>
        <family val="2"/>
      </rPr>
      <t>(2.5/2.8)</t>
    </r>
  </si>
  <si>
    <r>
      <t xml:space="preserve">0.45 </t>
    </r>
    <r>
      <rPr>
        <sz val="8.4"/>
        <color rgb="FF333333"/>
        <rFont val="Arial"/>
        <family val="2"/>
      </rPr>
      <t>(4.5/10.1)</t>
    </r>
  </si>
  <si>
    <r>
      <t xml:space="preserve">0.86 </t>
    </r>
    <r>
      <rPr>
        <sz val="8.4"/>
        <color rgb="FF333333"/>
        <rFont val="Arial"/>
        <family val="2"/>
      </rPr>
      <t>(1.9/2.2)</t>
    </r>
  </si>
  <si>
    <r>
      <t xml:space="preserve">0.41 </t>
    </r>
    <r>
      <rPr>
        <sz val="8.4"/>
        <color rgb="FF333333"/>
        <rFont val="Arial"/>
        <family val="2"/>
      </rPr>
      <t>(5.6/13.6)</t>
    </r>
  </si>
  <si>
    <r>
      <t xml:space="preserve">0.40 </t>
    </r>
    <r>
      <rPr>
        <sz val="8.4"/>
        <color rgb="FF333333"/>
        <rFont val="Arial"/>
        <family val="2"/>
      </rPr>
      <t>(2.5/6.3)</t>
    </r>
  </si>
  <si>
    <r>
      <t xml:space="preserve">0.71 </t>
    </r>
    <r>
      <rPr>
        <sz val="8.4"/>
        <color rgb="FF333333"/>
        <rFont val="Arial"/>
        <family val="2"/>
      </rPr>
      <t>(0.5/0.7)</t>
    </r>
  </si>
  <si>
    <r>
      <t xml:space="preserve">0.53 </t>
    </r>
    <r>
      <rPr>
        <sz val="8.4"/>
        <color rgb="FF333333"/>
        <rFont val="Arial"/>
        <family val="2"/>
      </rPr>
      <t>(3.9/7.3)</t>
    </r>
  </si>
  <si>
    <r>
      <t xml:space="preserve">0.76 </t>
    </r>
    <r>
      <rPr>
        <sz val="8.4"/>
        <color rgb="FF333333"/>
        <rFont val="Arial"/>
        <family val="2"/>
      </rPr>
      <t>(2.2/2.9)</t>
    </r>
  </si>
  <si>
    <r>
      <t xml:space="preserve">0.46 </t>
    </r>
    <r>
      <rPr>
        <sz val="8.4"/>
        <color rgb="FF333333"/>
        <rFont val="Arial"/>
        <family val="2"/>
      </rPr>
      <t>(4.1/8.9)</t>
    </r>
  </si>
  <si>
    <r>
      <t xml:space="preserve">0.49 </t>
    </r>
    <r>
      <rPr>
        <sz val="8.4"/>
        <color rgb="FF333333"/>
        <rFont val="Arial"/>
        <family val="2"/>
      </rPr>
      <t>(3.7/7.6)</t>
    </r>
  </si>
  <si>
    <r>
      <t xml:space="preserve">0.49 </t>
    </r>
    <r>
      <rPr>
        <sz val="8.4"/>
        <color rgb="FF333333"/>
        <rFont val="Arial"/>
        <family val="2"/>
      </rPr>
      <t>(6.6/13.4)</t>
    </r>
  </si>
  <si>
    <r>
      <t xml:space="preserve">0.69 </t>
    </r>
    <r>
      <rPr>
        <sz val="8.4"/>
        <color rgb="FF333333"/>
        <rFont val="Arial"/>
        <family val="2"/>
      </rPr>
      <t>(3.7/5.4)</t>
    </r>
  </si>
  <si>
    <r>
      <t xml:space="preserve">0.50 </t>
    </r>
    <r>
      <rPr>
        <sz val="8.4"/>
        <color rgb="FF333333"/>
        <rFont val="Arial"/>
        <family val="2"/>
      </rPr>
      <t>(0.9/1.8)</t>
    </r>
  </si>
  <si>
    <r>
      <t xml:space="preserve">0.48 </t>
    </r>
    <r>
      <rPr>
        <sz val="8.4"/>
        <color rgb="FF333333"/>
        <rFont val="Arial"/>
        <family val="2"/>
      </rPr>
      <t>(4.7/9.7)</t>
    </r>
  </si>
  <si>
    <r>
      <t xml:space="preserve">0.48 </t>
    </r>
    <r>
      <rPr>
        <sz val="8.4"/>
        <color rgb="FF333333"/>
        <rFont val="Arial"/>
        <family val="2"/>
      </rPr>
      <t>(3.7/7.7)</t>
    </r>
  </si>
  <si>
    <r>
      <t xml:space="preserve">0.69 </t>
    </r>
    <r>
      <rPr>
        <sz val="8.4"/>
        <color rgb="FF333333"/>
        <rFont val="Arial"/>
        <family val="2"/>
      </rPr>
      <t>(0.9/1.3)</t>
    </r>
  </si>
  <si>
    <r>
      <t xml:space="preserve">0.46 </t>
    </r>
    <r>
      <rPr>
        <sz val="8.4"/>
        <color rgb="FF333333"/>
        <rFont val="Arial"/>
        <family val="2"/>
      </rPr>
      <t>(6.6/14.3)</t>
    </r>
  </si>
  <si>
    <r>
      <t xml:space="preserve">0.76 </t>
    </r>
    <r>
      <rPr>
        <sz val="8.4"/>
        <color rgb="FF333333"/>
        <rFont val="Arial"/>
        <family val="2"/>
      </rPr>
      <t>(2.5/3.3)</t>
    </r>
  </si>
  <si>
    <r>
      <t xml:space="preserve">0.44 </t>
    </r>
    <r>
      <rPr>
        <sz val="8.4"/>
        <color rgb="FF333333"/>
        <rFont val="Arial"/>
        <family val="2"/>
      </rPr>
      <t>(5.4/12.3)</t>
    </r>
  </si>
  <si>
    <r>
      <t xml:space="preserve">0.87 </t>
    </r>
    <r>
      <rPr>
        <sz val="8.4"/>
        <color rgb="FF333333"/>
        <rFont val="Arial"/>
        <family val="2"/>
      </rPr>
      <t>(2.7/3.1)</t>
    </r>
  </si>
  <si>
    <r>
      <t xml:space="preserve">0.46 </t>
    </r>
    <r>
      <rPr>
        <sz val="8.4"/>
        <color rgb="FF333333"/>
        <rFont val="Arial"/>
        <family val="2"/>
      </rPr>
      <t>(5.2/11.4)</t>
    </r>
  </si>
  <si>
    <r>
      <t xml:space="preserve">0.80 </t>
    </r>
    <r>
      <rPr>
        <sz val="8.4"/>
        <color rgb="FF333333"/>
        <rFont val="Arial"/>
        <family val="2"/>
      </rPr>
      <t>(2.8/3.5)</t>
    </r>
  </si>
  <si>
    <r>
      <t xml:space="preserve">0.46 </t>
    </r>
    <r>
      <rPr>
        <sz val="8.4"/>
        <color rgb="FF333333"/>
        <rFont val="Arial"/>
        <family val="2"/>
      </rPr>
      <t>(4.2/9.1)</t>
    </r>
  </si>
  <si>
    <r>
      <t xml:space="preserve">0.72 </t>
    </r>
    <r>
      <rPr>
        <sz val="8.4"/>
        <color rgb="FF333333"/>
        <rFont val="Arial"/>
        <family val="2"/>
      </rPr>
      <t>(1.3/1.8)</t>
    </r>
  </si>
  <si>
    <r>
      <t xml:space="preserve">0.46 </t>
    </r>
    <r>
      <rPr>
        <sz val="8.4"/>
        <color rgb="FF333333"/>
        <rFont val="Arial"/>
        <family val="2"/>
      </rPr>
      <t>(4.5/9.8)</t>
    </r>
  </si>
  <si>
    <r>
      <t xml:space="preserve">0.82 </t>
    </r>
    <r>
      <rPr>
        <sz val="8.4"/>
        <color rgb="FF333333"/>
        <rFont val="Arial"/>
        <family val="2"/>
      </rPr>
      <t>(0.9/1.1)</t>
    </r>
  </si>
  <si>
    <r>
      <t xml:space="preserve">0.43 </t>
    </r>
    <r>
      <rPr>
        <sz val="8.4"/>
        <color rgb="FF333333"/>
        <rFont val="Arial"/>
        <family val="2"/>
      </rPr>
      <t>(3.4/8.0)</t>
    </r>
  </si>
  <si>
    <r>
      <t xml:space="preserve">0.80 </t>
    </r>
    <r>
      <rPr>
        <sz val="8.4"/>
        <color rgb="FF333333"/>
        <rFont val="Arial"/>
        <family val="2"/>
      </rPr>
      <t>(0.8/1.0)</t>
    </r>
  </si>
  <si>
    <r>
      <t xml:space="preserve">0.47 </t>
    </r>
    <r>
      <rPr>
        <sz val="8.4"/>
        <color rgb="FF333333"/>
        <rFont val="Arial"/>
        <family val="2"/>
      </rPr>
      <t>(5.9/12.6)</t>
    </r>
  </si>
  <si>
    <r>
      <t xml:space="preserve">0.66 </t>
    </r>
    <r>
      <rPr>
        <sz val="8.4"/>
        <color rgb="FF333333"/>
        <rFont val="Arial"/>
        <family val="2"/>
      </rPr>
      <t>(2.1/3.2)</t>
    </r>
  </si>
  <si>
    <r>
      <t xml:space="preserve">0.44 </t>
    </r>
    <r>
      <rPr>
        <sz val="8.4"/>
        <color rgb="FF333333"/>
        <rFont val="Arial"/>
        <family val="2"/>
      </rPr>
      <t>(3.2/7.3)</t>
    </r>
  </si>
  <si>
    <r>
      <t xml:space="preserve">0.41 </t>
    </r>
    <r>
      <rPr>
        <sz val="8.4"/>
        <color rgb="FF333333"/>
        <rFont val="Arial"/>
        <family val="2"/>
      </rPr>
      <t>(4.4/10.8)</t>
    </r>
  </si>
  <si>
    <r>
      <t xml:space="preserve">0.86 </t>
    </r>
    <r>
      <rPr>
        <sz val="8.4"/>
        <color rgb="FF333333"/>
        <rFont val="Arial"/>
        <family val="2"/>
      </rPr>
      <t>(1.8/2.1)</t>
    </r>
  </si>
  <si>
    <r>
      <t xml:space="preserve">0.46 </t>
    </r>
    <r>
      <rPr>
        <sz val="8.4"/>
        <color rgb="FF333333"/>
        <rFont val="Arial"/>
        <family val="2"/>
      </rPr>
      <t>(4.6/10.0)</t>
    </r>
  </si>
  <si>
    <r>
      <t xml:space="preserve">0.44 </t>
    </r>
    <r>
      <rPr>
        <sz val="8.4"/>
        <color rgb="FF333333"/>
        <rFont val="Arial"/>
        <family val="2"/>
      </rPr>
      <t>(4.0/9.0)</t>
    </r>
  </si>
  <si>
    <r>
      <t xml:space="preserve">0.75 </t>
    </r>
    <r>
      <rPr>
        <sz val="8.4"/>
        <color rgb="FF333333"/>
        <rFont val="Arial"/>
        <family val="2"/>
      </rPr>
      <t>(1.2/1.6)</t>
    </r>
  </si>
  <si>
    <r>
      <t xml:space="preserve">0.44 </t>
    </r>
    <r>
      <rPr>
        <sz val="8.4"/>
        <color rgb="FF333333"/>
        <rFont val="Arial"/>
        <family val="2"/>
      </rPr>
      <t>(4.7/10.6)</t>
    </r>
  </si>
  <si>
    <r>
      <t xml:space="preserve">0.75 </t>
    </r>
    <r>
      <rPr>
        <sz val="8.4"/>
        <color rgb="FF333333"/>
        <rFont val="Arial"/>
        <family val="2"/>
      </rPr>
      <t>(1.5/2.0)</t>
    </r>
  </si>
  <si>
    <r>
      <t xml:space="preserve">0.84 </t>
    </r>
    <r>
      <rPr>
        <sz val="8.4"/>
        <color rgb="FF333333"/>
        <rFont val="Arial"/>
        <family val="2"/>
      </rPr>
      <t>(2.1/2.5)</t>
    </r>
  </si>
  <si>
    <r>
      <t xml:space="preserve">0.64 </t>
    </r>
    <r>
      <rPr>
        <sz val="8.4"/>
        <color rgb="FF333333"/>
        <rFont val="Arial"/>
        <family val="2"/>
      </rPr>
      <t>(3.5/5.5)</t>
    </r>
  </si>
  <si>
    <r>
      <t xml:space="preserve">0.79 </t>
    </r>
    <r>
      <rPr>
        <sz val="8.4"/>
        <color rgb="FF333333"/>
        <rFont val="Arial"/>
        <family val="2"/>
      </rPr>
      <t>(2.2/2.8)</t>
    </r>
  </si>
  <si>
    <r>
      <t xml:space="preserve">0.42 </t>
    </r>
    <r>
      <rPr>
        <sz val="8.4"/>
        <color rgb="FF333333"/>
        <rFont val="Arial"/>
        <family val="2"/>
      </rPr>
      <t>(5.4/13.0)</t>
    </r>
  </si>
  <si>
    <r>
      <t xml:space="preserve">0.44 </t>
    </r>
    <r>
      <rPr>
        <sz val="8.4"/>
        <color rgb="FF333333"/>
        <rFont val="Arial"/>
        <family val="2"/>
      </rPr>
      <t>(4.3/9.7)</t>
    </r>
  </si>
  <si>
    <r>
      <t xml:space="preserve">0.80 </t>
    </r>
    <r>
      <rPr>
        <sz val="8.4"/>
        <color rgb="FF333333"/>
        <rFont val="Arial"/>
        <family val="2"/>
      </rPr>
      <t>(1.2/1.5)</t>
    </r>
  </si>
  <si>
    <r>
      <t xml:space="preserve">0.45 </t>
    </r>
    <r>
      <rPr>
        <sz val="8.4"/>
        <color rgb="FF333333"/>
        <rFont val="Arial"/>
        <family val="2"/>
      </rPr>
      <t>(4.3/9.5)</t>
    </r>
  </si>
  <si>
    <r>
      <t xml:space="preserve">0.62 </t>
    </r>
    <r>
      <rPr>
        <sz val="8.4"/>
        <color rgb="FF333333"/>
        <rFont val="Arial"/>
        <family val="2"/>
      </rPr>
      <t>(0.8/1.3)</t>
    </r>
  </si>
  <si>
    <r>
      <t xml:space="preserve">0.59 </t>
    </r>
    <r>
      <rPr>
        <sz val="8.4"/>
        <color rgb="FF333333"/>
        <rFont val="Arial"/>
        <family val="2"/>
      </rPr>
      <t>(3.2/5.4)</t>
    </r>
  </si>
  <si>
    <r>
      <t xml:space="preserve">0.58 </t>
    </r>
    <r>
      <rPr>
        <sz val="8.4"/>
        <color rgb="FF333333"/>
        <rFont val="Arial"/>
        <family val="2"/>
      </rPr>
      <t>(1.4/2.4)</t>
    </r>
  </si>
  <si>
    <r>
      <t xml:space="preserve">0.44 </t>
    </r>
    <r>
      <rPr>
        <sz val="8.4"/>
        <color rgb="FF333333"/>
        <rFont val="Arial"/>
        <family val="2"/>
      </rPr>
      <t>(3.6/8.2)</t>
    </r>
  </si>
  <si>
    <r>
      <t xml:space="preserve">0.77 </t>
    </r>
    <r>
      <rPr>
        <sz val="8.4"/>
        <color rgb="FF333333"/>
        <rFont val="Arial"/>
        <family val="2"/>
      </rPr>
      <t>(2.3/3.0)</t>
    </r>
  </si>
  <si>
    <r>
      <t xml:space="preserve">0.43 </t>
    </r>
    <r>
      <rPr>
        <sz val="8.4"/>
        <color rgb="FF333333"/>
        <rFont val="Arial"/>
        <family val="2"/>
      </rPr>
      <t>(3.6/8.4)</t>
    </r>
  </si>
  <si>
    <r>
      <t xml:space="preserve">0.63 </t>
    </r>
    <r>
      <rPr>
        <sz val="8.4"/>
        <color rgb="FF333333"/>
        <rFont val="Arial"/>
        <family val="2"/>
      </rPr>
      <t>(1.5/2.4)</t>
    </r>
  </si>
  <si>
    <r>
      <t xml:space="preserve">0.50 </t>
    </r>
    <r>
      <rPr>
        <sz val="8.4"/>
        <color rgb="FF333333"/>
        <rFont val="Arial"/>
        <family val="2"/>
      </rPr>
      <t>(3.1/6.2)</t>
    </r>
  </si>
  <si>
    <r>
      <t xml:space="preserve">0.44 </t>
    </r>
    <r>
      <rPr>
        <sz val="8.4"/>
        <color rgb="FF333333"/>
        <rFont val="Arial"/>
        <family val="2"/>
      </rPr>
      <t>(2.6/5.9)</t>
    </r>
  </si>
  <si>
    <r>
      <t xml:space="preserve">1.00 </t>
    </r>
    <r>
      <rPr>
        <sz val="8.4"/>
        <color rgb="FF333333"/>
        <rFont val="Arial"/>
        <family val="2"/>
      </rPr>
      <t>(1.1/1.1)</t>
    </r>
  </si>
  <si>
    <r>
      <t xml:space="preserve">0.45 </t>
    </r>
    <r>
      <rPr>
        <sz val="8.4"/>
        <color rgb="FF333333"/>
        <rFont val="Arial"/>
        <family val="2"/>
      </rPr>
      <t>(5.8/12.9)</t>
    </r>
  </si>
  <si>
    <r>
      <t xml:space="preserve">0.43 </t>
    </r>
    <r>
      <rPr>
        <sz val="8.4"/>
        <color rgb="FF333333"/>
        <rFont val="Arial"/>
        <family val="2"/>
      </rPr>
      <t>(4.5/10.5)</t>
    </r>
  </si>
  <si>
    <r>
      <t xml:space="preserve">0.73 </t>
    </r>
    <r>
      <rPr>
        <sz val="8.4"/>
        <color rgb="FF333333"/>
        <rFont val="Arial"/>
        <family val="2"/>
      </rPr>
      <t>(0.8/1.1)</t>
    </r>
  </si>
  <si>
    <r>
      <t xml:space="preserve">0.49 </t>
    </r>
    <r>
      <rPr>
        <sz val="8.4"/>
        <color rgb="FF333333"/>
        <rFont val="Arial"/>
        <family val="2"/>
      </rPr>
      <t>(4.1/8.3)</t>
    </r>
  </si>
  <si>
    <r>
      <t xml:space="preserve">0.45 </t>
    </r>
    <r>
      <rPr>
        <sz val="8.4"/>
        <color rgb="FF333333"/>
        <rFont val="Arial"/>
        <family val="2"/>
      </rPr>
      <t>(3.3/7.3)</t>
    </r>
  </si>
  <si>
    <r>
      <t xml:space="preserve">0.48 </t>
    </r>
    <r>
      <rPr>
        <sz val="8.4"/>
        <color rgb="FF333333"/>
        <rFont val="Arial"/>
        <family val="2"/>
      </rPr>
      <t>(3.5/7.3)</t>
    </r>
  </si>
  <si>
    <r>
      <t xml:space="preserve">0.67 </t>
    </r>
    <r>
      <rPr>
        <sz val="8.4"/>
        <color rgb="FF333333"/>
        <rFont val="Arial"/>
        <family val="2"/>
      </rPr>
      <t>(2.9/4.3)</t>
    </r>
  </si>
  <si>
    <r>
      <t xml:space="preserve">0.43 </t>
    </r>
    <r>
      <rPr>
        <sz val="8.4"/>
        <color rgb="FF333333"/>
        <rFont val="Arial"/>
        <family val="2"/>
      </rPr>
      <t>(3.0/6.9)</t>
    </r>
  </si>
  <si>
    <r>
      <t xml:space="preserve">0.67 </t>
    </r>
    <r>
      <rPr>
        <sz val="8.4"/>
        <color rgb="FF333333"/>
        <rFont val="Arial"/>
        <family val="2"/>
      </rPr>
      <t>(0.4/0.6)</t>
    </r>
  </si>
  <si>
    <r>
      <t xml:space="preserve">0.43 </t>
    </r>
    <r>
      <rPr>
        <sz val="8.4"/>
        <color rgb="FF333333"/>
        <rFont val="Arial"/>
        <family val="2"/>
      </rPr>
      <t>(3.7/8.6)</t>
    </r>
  </si>
  <si>
    <r>
      <t xml:space="preserve">0.89 </t>
    </r>
    <r>
      <rPr>
        <sz val="8.4"/>
        <color rgb="FF333333"/>
        <rFont val="Arial"/>
        <family val="2"/>
      </rPr>
      <t>(1.6/1.8)</t>
    </r>
  </si>
  <si>
    <r>
      <t xml:space="preserve">0.47 </t>
    </r>
    <r>
      <rPr>
        <sz val="8.4"/>
        <color rgb="FF333333"/>
        <rFont val="Arial"/>
        <family val="2"/>
      </rPr>
      <t>(4.3/9.1)</t>
    </r>
  </si>
  <si>
    <r>
      <t xml:space="preserve">0.88 </t>
    </r>
    <r>
      <rPr>
        <sz val="8.4"/>
        <color rgb="FF333333"/>
        <rFont val="Arial"/>
        <family val="2"/>
      </rPr>
      <t>(0.7/0.8)</t>
    </r>
  </si>
  <si>
    <r>
      <t xml:space="preserve">0.43 </t>
    </r>
    <r>
      <rPr>
        <sz val="8.4"/>
        <color rgb="FF333333"/>
        <rFont val="Arial"/>
        <family val="2"/>
      </rPr>
      <t>(4.9/11.3)</t>
    </r>
  </si>
  <si>
    <r>
      <t xml:space="preserve">0.73 </t>
    </r>
    <r>
      <rPr>
        <sz val="8.4"/>
        <color rgb="FF333333"/>
        <rFont val="Arial"/>
        <family val="2"/>
      </rPr>
      <t>(1.1/1.5)</t>
    </r>
  </si>
  <si>
    <r>
      <t xml:space="preserve">0.56 </t>
    </r>
    <r>
      <rPr>
        <sz val="8.4"/>
        <color rgb="FF333333"/>
        <rFont val="Arial"/>
        <family val="2"/>
      </rPr>
      <t>(3.1/5.5)</t>
    </r>
  </si>
  <si>
    <r>
      <t xml:space="preserve">0.42 </t>
    </r>
    <r>
      <rPr>
        <sz val="8.4"/>
        <color rgb="FF333333"/>
        <rFont val="Arial"/>
        <family val="2"/>
      </rPr>
      <t>(5.0/11.8)</t>
    </r>
  </si>
  <si>
    <r>
      <t xml:space="preserve">0.64 </t>
    </r>
    <r>
      <rPr>
        <sz val="8.4"/>
        <color rgb="FF333333"/>
        <rFont val="Arial"/>
        <family val="2"/>
      </rPr>
      <t>(1.8/2.8)</t>
    </r>
  </si>
  <si>
    <r>
      <t xml:space="preserve">0.40 </t>
    </r>
    <r>
      <rPr>
        <sz val="8.4"/>
        <color rgb="FF333333"/>
        <rFont val="Arial"/>
        <family val="2"/>
      </rPr>
      <t>(4.6/11.4)</t>
    </r>
  </si>
  <si>
    <t>kyrie irving</t>
  </si>
  <si>
    <t>jrue holiday</t>
  </si>
  <si>
    <t>Lamarcus aldridge</t>
  </si>
  <si>
    <t>kemba walker</t>
  </si>
  <si>
    <t>kawhi leonard</t>
  </si>
  <si>
    <t>josh richardson</t>
  </si>
  <si>
    <t>Week 1</t>
  </si>
  <si>
    <t>Week 2</t>
  </si>
  <si>
    <t>Week 3</t>
  </si>
  <si>
    <t>Week 4</t>
  </si>
  <si>
    <t>Week 5</t>
  </si>
  <si>
    <t>Week 6</t>
  </si>
  <si>
    <t>Week 7</t>
  </si>
  <si>
    <t>Week 8</t>
  </si>
  <si>
    <t>Week 9</t>
  </si>
  <si>
    <t>Week 10</t>
  </si>
  <si>
    <t>Week 11</t>
  </si>
  <si>
    <t>Week 12</t>
  </si>
  <si>
    <t>Week 13</t>
  </si>
  <si>
    <t>Week 14</t>
  </si>
  <si>
    <t>Week 15</t>
  </si>
  <si>
    <t>Week 16</t>
  </si>
  <si>
    <t>Week 17 &amp; 18</t>
  </si>
  <si>
    <t>Week 19</t>
  </si>
  <si>
    <t>Week 20</t>
  </si>
  <si>
    <t>Week 21</t>
  </si>
  <si>
    <t>Week 22</t>
  </si>
  <si>
    <t>Week 23</t>
  </si>
  <si>
    <t>Week 24</t>
  </si>
  <si>
    <t>Week 25</t>
  </si>
  <si>
    <t>@ det</t>
  </si>
  <si>
    <t>orl</t>
  </si>
  <si>
    <t>phi</t>
  </si>
  <si>
    <t>@ mia</t>
  </si>
  <si>
    <t>mia</t>
  </si>
  <si>
    <t>sas</t>
  </si>
  <si>
    <t>chi</t>
  </si>
  <si>
    <t>sac</t>
  </si>
  <si>
    <t>@ por</t>
  </si>
  <si>
    <t>@ den</t>
  </si>
  <si>
    <t>@ pho</t>
  </si>
  <si>
    <t>@ lac</t>
  </si>
  <si>
    <t>@ lal</t>
  </si>
  <si>
    <t>mil</t>
  </si>
  <si>
    <t>tor</t>
  </si>
  <si>
    <t>min</t>
  </si>
  <si>
    <t>@ mil</t>
  </si>
  <si>
    <t>@ ind</t>
  </si>
  <si>
    <t>@ hou</t>
  </si>
  <si>
    <t>gsw</t>
  </si>
  <si>
    <t>bkn</t>
  </si>
  <si>
    <t>@ cha</t>
  </si>
  <si>
    <t>@ chi</t>
  </si>
  <si>
    <t>ind</t>
  </si>
  <si>
    <t>lal</t>
  </si>
  <si>
    <t>@ nyk</t>
  </si>
  <si>
    <t>uth</t>
  </si>
  <si>
    <t>@ bkn</t>
  </si>
  <si>
    <t>@ cle</t>
  </si>
  <si>
    <t>@ orl</t>
  </si>
  <si>
    <t>@ bos</t>
  </si>
  <si>
    <t>den</t>
  </si>
  <si>
    <t>hou</t>
  </si>
  <si>
    <t>@ was</t>
  </si>
  <si>
    <t>pho</t>
  </si>
  <si>
    <t>@ sas</t>
  </si>
  <si>
    <t>det</t>
  </si>
  <si>
    <t>lac</t>
  </si>
  <si>
    <t>@ okc</t>
  </si>
  <si>
    <t>was</t>
  </si>
  <si>
    <t>@ tor</t>
  </si>
  <si>
    <t>@ dal</t>
  </si>
  <si>
    <t>bos</t>
  </si>
  <si>
    <t>@ min</t>
  </si>
  <si>
    <t>nyk</t>
  </si>
  <si>
    <t>dal</t>
  </si>
  <si>
    <t>@ phi</t>
  </si>
  <si>
    <t>por</t>
  </si>
  <si>
    <t>mem</t>
  </si>
  <si>
    <t>@ mem</t>
  </si>
  <si>
    <t>cha</t>
  </si>
  <si>
    <t>cle</t>
  </si>
  <si>
    <t>@ nor</t>
  </si>
  <si>
    <t>okc</t>
  </si>
  <si>
    <t>@ gsw</t>
  </si>
  <si>
    <t>@ sac</t>
  </si>
  <si>
    <t>@ uth</t>
  </si>
  <si>
    <t>nor</t>
  </si>
  <si>
    <t>atl</t>
  </si>
  <si>
    <t>@ atl</t>
  </si>
  <si>
    <t>NOR</t>
  </si>
  <si>
    <r>
      <t xml:space="preserve">0.69 </t>
    </r>
    <r>
      <rPr>
        <sz val="8.4"/>
        <color rgb="FF333333"/>
        <rFont val="Arial"/>
        <family val="2"/>
      </rPr>
      <t>(4.0/5.8)</t>
    </r>
  </si>
  <si>
    <r>
      <t xml:space="preserve">0.47 </t>
    </r>
    <r>
      <rPr>
        <sz val="8.4"/>
        <color rgb="FF333333"/>
        <rFont val="Arial"/>
        <family val="2"/>
      </rPr>
      <t>(6.5/13.9)</t>
    </r>
  </si>
  <si>
    <r>
      <t xml:space="preserve">0.65 </t>
    </r>
    <r>
      <rPr>
        <sz val="8.4"/>
        <color rgb="FF333333"/>
        <rFont val="Arial"/>
        <family val="2"/>
      </rPr>
      <t>(6.6/10.1)</t>
    </r>
  </si>
  <si>
    <r>
      <t xml:space="preserve">0.66 </t>
    </r>
    <r>
      <rPr>
        <sz val="8.4"/>
        <color rgb="FF333333"/>
        <rFont val="Arial"/>
        <family val="2"/>
      </rPr>
      <t>(2.7/4.1)</t>
    </r>
  </si>
  <si>
    <r>
      <t xml:space="preserve">0.57 </t>
    </r>
    <r>
      <rPr>
        <sz val="8.4"/>
        <color rgb="FF333333"/>
        <rFont val="Arial"/>
        <family val="2"/>
      </rPr>
      <t>(0.8/1.4)</t>
    </r>
  </si>
  <si>
    <r>
      <t xml:space="preserve">0.42 </t>
    </r>
    <r>
      <rPr>
        <sz val="8.4"/>
        <color rgb="FF333333"/>
        <rFont val="Arial"/>
        <family val="2"/>
      </rPr>
      <t>(7.0/16.7)</t>
    </r>
  </si>
  <si>
    <r>
      <t xml:space="preserve">0.47 </t>
    </r>
    <r>
      <rPr>
        <sz val="8.4"/>
        <color rgb="FF333333"/>
        <rFont val="Arial"/>
        <family val="2"/>
      </rPr>
      <t>(3.9/8.3)</t>
    </r>
  </si>
  <si>
    <r>
      <t xml:space="preserve">0.78 </t>
    </r>
    <r>
      <rPr>
        <sz val="8.4"/>
        <color rgb="FF333333"/>
        <rFont val="Arial"/>
        <family val="2"/>
      </rPr>
      <t>(1.8/2.3)</t>
    </r>
  </si>
  <si>
    <r>
      <t xml:space="preserve">0.47 </t>
    </r>
    <r>
      <rPr>
        <sz val="8.4"/>
        <color rgb="FF333333"/>
        <rFont val="Arial"/>
        <family val="2"/>
      </rPr>
      <t>(5.3/11.3)</t>
    </r>
  </si>
  <si>
    <r>
      <t xml:space="preserve">0.74 </t>
    </r>
    <r>
      <rPr>
        <sz val="8.4"/>
        <color rgb="FF333333"/>
        <rFont val="Arial"/>
        <family val="2"/>
      </rPr>
      <t>(2.6/3.5)</t>
    </r>
  </si>
  <si>
    <r>
      <t xml:space="preserve">0.70 </t>
    </r>
    <r>
      <rPr>
        <sz val="8.4"/>
        <color rgb="FF333333"/>
        <rFont val="Arial"/>
        <family val="2"/>
      </rPr>
      <t>(1.4/2.0)</t>
    </r>
  </si>
  <si>
    <r>
      <t xml:space="preserve">0.42 </t>
    </r>
    <r>
      <rPr>
        <sz val="8.4"/>
        <color rgb="FF333333"/>
        <rFont val="Arial"/>
        <family val="2"/>
      </rPr>
      <t>(4.5/10.8)</t>
    </r>
  </si>
  <si>
    <t>shai gilgeous-alexander</t>
  </si>
  <si>
    <t>Arshdeep Sidhu</t>
  </si>
  <si>
    <t>Joban Dhindsa</t>
  </si>
  <si>
    <t>Sartaj Sidhu</t>
  </si>
  <si>
    <t>Harvir Dhindsa</t>
  </si>
  <si>
    <t>Angad Ghag</t>
  </si>
  <si>
    <t>Harman Wahid</t>
  </si>
  <si>
    <t>Karnvir Basra</t>
  </si>
  <si>
    <t>Justin Kooner</t>
  </si>
  <si>
    <t>Ajay Sandhu</t>
  </si>
  <si>
    <t>All Teams</t>
  </si>
  <si>
    <t>Team Zs</t>
  </si>
  <si>
    <t>tyler herro</t>
  </si>
  <si>
    <t>steven adams</t>
  </si>
  <si>
    <t>eric bledsoe</t>
  </si>
  <si>
    <t>miles bridges</t>
  </si>
  <si>
    <t>james harden</t>
  </si>
  <si>
    <t>donovan mitchell</t>
  </si>
  <si>
    <t>joel embiid</t>
  </si>
  <si>
    <t>malcolm brogdon</t>
  </si>
  <si>
    <t>nicolas batum</t>
  </si>
  <si>
    <t>davis bertans</t>
  </si>
  <si>
    <t>karl-anthony towns</t>
  </si>
  <si>
    <t>nerlens noel</t>
  </si>
  <si>
    <t>robert williams</t>
  </si>
  <si>
    <t>damian lillard</t>
  </si>
  <si>
    <t>nikola jokic</t>
  </si>
  <si>
    <t>enes kanter</t>
  </si>
  <si>
    <t xml:space="preserve"> </t>
  </si>
  <si>
    <t>javale mcgee</t>
  </si>
  <si>
    <t>TJ warren</t>
  </si>
  <si>
    <t>fred vanvleet</t>
  </si>
  <si>
    <r>
      <t xml:space="preserve">0.47 </t>
    </r>
    <r>
      <rPr>
        <sz val="8.4"/>
        <color rgb="FF333333"/>
        <rFont val="Arial"/>
        <family val="2"/>
      </rPr>
      <t>(4.0/8.6)</t>
    </r>
  </si>
  <si>
    <r>
      <t xml:space="preserve">0.69 </t>
    </r>
    <r>
      <rPr>
        <sz val="8.4"/>
        <color rgb="FF333333"/>
        <rFont val="Arial"/>
        <family val="2"/>
      </rPr>
      <t>(2.2/3.2)</t>
    </r>
  </si>
  <si>
    <t>caris levert</t>
  </si>
  <si>
    <t>hassan whiteside</t>
  </si>
  <si>
    <t>de'aaron fox</t>
  </si>
  <si>
    <t>marc gasol</t>
  </si>
  <si>
    <t>TYPE</t>
  </si>
  <si>
    <t xml:space="preserve"> FGM   </t>
  </si>
  <si>
    <t xml:space="preserve"> FG%   </t>
  </si>
  <si>
    <t xml:space="preserve"> FTM   </t>
  </si>
  <si>
    <t xml:space="preserve"> FT%   </t>
  </si>
  <si>
    <t xml:space="preserve"> 3PM   </t>
  </si>
  <si>
    <t xml:space="preserve"> 3P%   </t>
  </si>
  <si>
    <t xml:space="preserve"> POINTS   </t>
  </si>
  <si>
    <t xml:space="preserve"> A/TO   </t>
  </si>
  <si>
    <t xml:space="preserve"> DEF REBOUNDS   </t>
  </si>
  <si>
    <t xml:space="preserve"> OFF REBOUNDS   </t>
  </si>
  <si>
    <t xml:space="preserve"> TOTAL REBOUNDS   </t>
  </si>
  <si>
    <t xml:space="preserve"> ASSISTS   </t>
  </si>
  <si>
    <t xml:space="preserve"> STEALS   </t>
  </si>
  <si>
    <t xml:space="preserve"> BLOCKS   </t>
  </si>
  <si>
    <t xml:space="preserve"> TURNOVERS   </t>
  </si>
  <si>
    <t xml:space="preserve"> DD   </t>
  </si>
  <si>
    <t>GTP</t>
  </si>
  <si>
    <t xml:space="preserve">Anthony Davis Expecting his numbers to bounce-back after his less than memorable final season in New Orleans. He'll be the number 1 player in fantasy this season so long as he can play over 72 games. </t>
  </si>
  <si>
    <t xml:space="preserve">James Harden Harden's usage also takes a hit with Westbrook. Don't get me wrong; he'll still be a top fantasy player, just don't expect numbers from last season (which were inflated with Paul missing so many games). </t>
  </si>
  <si>
    <t xml:space="preserve">Stephen Curry Curry is in for an MVP type season as he takes on a more significant chunk of the offensive load. Should still be producing elite numbers for a few more seasons. </t>
  </si>
  <si>
    <t xml:space="preserve">Giannis Antetokounmpo Expecting small improvements to Giannis. He showed signs of an improved outside shot (1.2 3PM post-all-star) and FT% (75.9% post-all-star) towards the end of last season, and if he remains at that level through next season, he'll be in the mix as a top pick for years to come. </t>
  </si>
  <si>
    <t xml:space="preserve">Karl-Anthony Towns Should see slight increases in scoring with a full season removed from Butler and will be in the mix as a top pick in almost all formats of the game for years to come. </t>
  </si>
  <si>
    <t xml:space="preserve">Nikola Jokic He's never going to be a big blocks guy, but he makes up for it in other categories and could get close to averaging eight assists at some point in his career. Destined to be a top 6 guy and he's just about to enter his prime. </t>
  </si>
  <si>
    <t xml:space="preserve">Joel Embiid A top fantasy contributor until you factor in games played and has yet to play more than 64 games in his first three seasons in the NBA. Missing a handful of games each season might become the norm with Embiid, so factor that in on draft day, but don't let it discourage you, he's still an elite talent. </t>
  </si>
  <si>
    <t xml:space="preserve">Kawhi Leonard The best hired gun in the league should be ready to prove that he's able to do it again. With George expected to miss games early, he'll be expected to carry the team as he did in Toronto. There will be external pressure for him not to sit games in the loaded Western Conference, but the Clippers should be smart about it. I'll be surprised if he plays more than 72 games this season. </t>
  </si>
  <si>
    <t xml:space="preserve">Damian Lillard Has been an end of the first round guy for the past few seasons and his game should age well. Don't expect much to change. </t>
  </si>
  <si>
    <t xml:space="preserve">Paul George Should miss some games to start the season as he recovers from surgery, and I'm expecting both Kawhi and himself to get the load management treatment, so don't expect a full season. </t>
  </si>
  <si>
    <r>
      <t xml:space="preserve">0.45 </t>
    </r>
    <r>
      <rPr>
        <sz val="8.4"/>
        <color rgb="FF333333"/>
        <rFont val="Arial"/>
        <family val="2"/>
      </rPr>
      <t>(7.4/16.5)</t>
    </r>
  </si>
  <si>
    <r>
      <t xml:space="preserve">0.85 </t>
    </r>
    <r>
      <rPr>
        <sz val="8.4"/>
        <color rgb="FF333333"/>
        <rFont val="Arial"/>
        <family val="2"/>
      </rPr>
      <t>(5.0/5.9)</t>
    </r>
  </si>
  <si>
    <t xml:space="preserve">Jimmy Butler Alpha-dog Butler has his own team again, and I'm expecting an increase in numbers across the board (primarily in scoring). Should still have a few seasons of elite-level play left in him. </t>
  </si>
  <si>
    <t xml:space="preserve">LeBron James LeBron should have a very slight dip in points, but his assists should reach 9 per game for the second time in his career playing next to Davis. Should be re-energized in the short-term, but it wouldn't be unheard of if we start seeing him miss games as he focuses on extending his career. </t>
  </si>
  <si>
    <t xml:space="preserve">Kyrie Irving Expecting his usage to shoot up and score more, but his FG% should drop now that he's outside of the Celtics offensive system. I am also expecting him to lose a rebound per game playing with bigs who are capable of grabbing a rebound. </t>
  </si>
  <si>
    <t xml:space="preserve">Bradley Beal Should lead the league in minutes this season and have the freedom to shoot whenever he wants. He'll constantly be involved in trade rumors until he signs an extension, and his value will take a slight hit once Wall returns, but at that point, this will well and truly be Beal's team. </t>
  </si>
  <si>
    <t xml:space="preserve">Nikola Vucevic Quietly put up a 1/1/1 (3PM/STL/BLK) season last year with 20 and 10, and there's nothing to suggest that he can't do it again. An excellent short-term option, and has a game that should age well, but at some point, Orlando has to make a decision about Bamba, so his long-term outlook is a little murky. </t>
  </si>
  <si>
    <t xml:space="preserve">Kemba Walker Expecting his FG% to jump a few percentage points to a career-high in the Celtics system. Should be energized to play for a team with genuine playoff intentions and he still got a few elite seasons left in him. </t>
  </si>
  <si>
    <t xml:space="preserve">Devin Booker Rubio takes around an assist away from him, but his scoring should make up for it. I still think his best position is as the ball-dominant guard with a defensive-minded PG next to him, but he'll be a top fantasy contributor for years to come. </t>
  </si>
  <si>
    <t xml:space="preserve">Rudy Gobert It looks like Utah will be playing small at the PF spot, so there are extra rebounds available for Gobert to grab, which makes him an even more appealing fantasy option. </t>
  </si>
  <si>
    <t xml:space="preserve">Jrue Holiday New Orleans is his team in the short-term, and he should see an uptake in offensive responsibilities. I'm expecting a slight dip in assists as he looks to score a little more. </t>
  </si>
  <si>
    <t xml:space="preserve">Andre Drummond His value is capped by his FT%, but he's a must-have in punt-FT builds due to his elite production in REB, BLK, and good production in FG%, PTS, and STL. Is still relatively young and in his prime for a few more seasons. </t>
  </si>
  <si>
    <t xml:space="preserve">Deandre Ayton Expecting progression across the board with Ayton as he takes on more of a role on the offensive end with a PG who knows how to pass the ball. Has a LaMarcus Aldridge career path ahead of him as an efficient big man who doesn't rely on big defensive numbers to still have a high fantasy ranking. </t>
  </si>
  <si>
    <t xml:space="preserve">John Collins Expecting him to be a 20/10 staple with good shooting efficiency for years to come, and his rookie season defensive numbers should return. </t>
  </si>
  <si>
    <t xml:space="preserve">Russell Westbrook It looks like his streak of averaging a triple-double is going to come to an end in Houston. Chris Paul was able to average high assist numbers playing next to Harden (8.2 per game), so I'm expecting Westbrook to still get around 8 per game. </t>
  </si>
  <si>
    <t xml:space="preserve">Trae Young Expecting his shooting percentages to get better along with more scoring and assists now that he has had a full season under his belt. His post-all star numbers should be an indication of things to come (24.7 PTS, 9.2 AST, 2.4 3PM, on 44.2% FG and 87.8% FT). </t>
  </si>
  <si>
    <t xml:space="preserve">Myles Turner He's not a strong rebounder, and playing next to Sabonis isn't going to help that, but what he does provide is league-leading blocks (2.7 last season), the ability to hit 3s (1 per game last season), and not hurt you too much from the free-throw line. </t>
  </si>
  <si>
    <t xml:space="preserve">Mike Conley Expecting a slight decrease in numbers across the board as he plays next to another ball-dominant guard (Mitchell). He's still going to get his in the short-term, though. </t>
  </si>
  <si>
    <t xml:space="preserve">Chris Paul Freed from Harden so his usage should go up. We'll have to assume he's playing for OKC for now (although there's a chance he'll get traded). Given his health, he'll be load managed as OKC prioritize the development of SGA. </t>
  </si>
  <si>
    <t xml:space="preserve">Draymond Green Expecting Green to hit double-digit points again as he takes on more responsibility on the team. Knowing Green, he'll start the season with a chip on his shoulder, which is great for his fantasy output. He's also playing for a new contract, but he's not somebody with long-term appeal in dynasty leagues. </t>
  </si>
  <si>
    <t xml:space="preserve">LaMarcus Aldridge As consistent as they come, and still has one or two more seasons of elite-level play left. We've seen him capable of expanding his range from behind the 3-point line in the past (averaging over one 3PM twice in his last five seasons). </t>
  </si>
  <si>
    <t xml:space="preserve">Pascal Siakam Expecting slight increases across the board, but a lower FG% as teams start to game plan for him more. If Toronto spends the season giving their vets a farewell tour before a rebuild begins then expect Siakam to be a focal point for seasons to come moving forward. </t>
  </si>
  <si>
    <t xml:space="preserve">Robert Covington Should see time at PF this season as the young Timberwolves wings develop. Wouldn't be surprised to see his minutes drop a little, but he's still an elite fantasy option. </t>
  </si>
  <si>
    <t xml:space="preserve">Zion Williamson Zion is going to be good, but I feel like people are going to reach for him. His outside shot isn't there yet, but New Orleans like to run, and Zion is the perfect finisher on the break, which means solid FG%s. He'll get his numbers, but expect a few low scoring games as he adjusts to NBA defenses game-planning for him. Has the potential to be a top fantasy player, but consistency and health over an 82 game season might not be there just yet. </t>
  </si>
  <si>
    <r>
      <t xml:space="preserve">0.56 </t>
    </r>
    <r>
      <rPr>
        <sz val="8.4"/>
        <color rgb="FF333333"/>
        <rFont val="Arial"/>
        <family val="2"/>
      </rPr>
      <t>(7.3/13.1)</t>
    </r>
  </si>
  <si>
    <t xml:space="preserve">Mitchell Robinson Expected to continue how he ended last season. Randle might steal a few of his rebounds per game, but he'll make up for it with his blocked shots. He needs to work on keeping out of foul trouble. His upside is obviously huge, but I want to see another season before considering him as a stable long-term option. </t>
  </si>
  <si>
    <r>
      <t xml:space="preserve">0.62 </t>
    </r>
    <r>
      <rPr>
        <sz val="8.4"/>
        <color rgb="FF333333"/>
        <rFont val="Arial"/>
        <family val="2"/>
      </rPr>
      <t>(4.6/7.4)</t>
    </r>
  </si>
  <si>
    <r>
      <t xml:space="preserve">0.64 </t>
    </r>
    <r>
      <rPr>
        <sz val="8.4"/>
        <color rgb="FF333333"/>
        <rFont val="Arial"/>
        <family val="2"/>
      </rPr>
      <t>(1.6/2.5)</t>
    </r>
  </si>
  <si>
    <t xml:space="preserve">Clint Capela We all know how much Westbrook chases rebounds, so Capela's rebounds per game should take a small dip. He should have more opportunities to block (and foul), so both are getting a modest bump. </t>
  </si>
  <si>
    <t xml:space="preserve">Otto Porter Jr Should continue his impressive post-trade Chicago numbers from last season (career-high in PTS, AST, FT%, and 3P%). </t>
  </si>
  <si>
    <t xml:space="preserve">Buddy Hield There's still a little more growth left in his game, but he needs to up his steal rate to go to the next level. Has a game that ages well and should be able to continue producing at this level for a long time. </t>
  </si>
  <si>
    <t xml:space="preserve">D'Angelo Russell His scoring should carry over to Golden State, but the assists might not be there (as he's playing next to Steph and Draymond). The fit with Klay the following season will be interesting to see, and it's rumored that he may even be traded at some point. His long-term appealed is tied to what happens the season after next. </t>
  </si>
  <si>
    <t xml:space="preserve">Kristaps Porzingis Expecting him to get load managed as Dallas take care of their prized recruit, so expect a slow start to the season. His FG% should jump a little playing with players who like to pass the ball. </t>
  </si>
  <si>
    <t xml:space="preserve">Khris Middleton Had a great 2017-18 season, but didn't quick back it up last season. I'm expecting his steals to creep back up after dipping below 1.4 for the first time since his first season in Milwaukee (2013-14). </t>
  </si>
  <si>
    <t xml:space="preserve">Kyle Lowry Will have to take on more scoring responsibility with Kawhi gone and has good short-term appeal, but he'll be 33 this season, and may only have a few good seasons left in him. </t>
  </si>
  <si>
    <t xml:space="preserve">Ben Simmons Simmons should get an extra assist now that he doesn't have to share the ball with Butler. He has increased his PPG by one over the past two seasons, and I'm expecting that trend to continue. Needs to improve his FT% to move up a tier. </t>
  </si>
  <si>
    <t xml:space="preserve">Zach LaVine Had an impressive break-out-again season last season with Chicago, and on paper, he's a great fit long-term with Coby White. The potential to be a 20 PPG,4.5 RPG, 3.5 APG guy for the rest of his prime is achievable. </t>
  </si>
  <si>
    <t xml:space="preserve">Kevin Love I'd be hesitant to draft him since he hasn't played more than 60 games over the past three seasons. He should see his FG% creep back up after shooting below 41% for only the second time in his career. </t>
  </si>
  <si>
    <t xml:space="preserve">Tobias Harris Jumps up the offensive pecking order now that Butler is on another team and should mesh well with Philly's new additions who aren't as demanding about getting their shots up (Richardson and Horford). </t>
  </si>
  <si>
    <t xml:space="preserve">Danilo Gallinari Should continue his scoring from last season in LA as he takes on main-scorer duties in OKC. He needs to stay healthy. He has some pretty good short-term appeal. </t>
  </si>
  <si>
    <t xml:space="preserve">Luka Doncic Should see slight improvement across the board, specifically in his shooting percentages. He'll be one of the top fantasy options in future seasons once he learns how to become a more efficient scorer. </t>
  </si>
  <si>
    <t xml:space="preserve">Bam Adebayo Bam is going to be fantasy basketball's worst kept secret heading into drafts, and he might fall into over-drafting territory where people might reach for him early to make sure they don't miss out. Still, he's set for a breakout season. </t>
  </si>
  <si>
    <t xml:space="preserve">De'Aaron Fox Expecting another increase across the board and should be a staple in the top 50 (and eventually top 30-40) for years to come. </t>
  </si>
  <si>
    <t xml:space="preserve">Donovan Mitchell Should continue to see his game develop and Utah has committed to bringing in some more talent to make sure that defenses can't focus on him all the time. Should be a fantasy staple moving forward and could eventually become a good enough option to take over point-guard duties full-time. </t>
  </si>
  <si>
    <t xml:space="preserve">Victor Oladipo Should start the season slowly, and will likely be load managed, so target him early in trades before he gets his groove back. The additions of Warren, Lamb, and Brogdon will help reduce his scoring load, but he'll still be their number one option. </t>
  </si>
  <si>
    <t xml:space="preserve">Eric Bledsoe We know what we're getting with Bledsoe at this point in his career. A good, solid point guard who shoots at good percentages and is capable of a few more fringe top 50 finishes. His long-term appeal isn't there anymore, but he's still got a few more seasons of good play left in him. </t>
  </si>
  <si>
    <t xml:space="preserve">Thomas Bryant Everybody's worst-kept sleeper has no competition at the C spot, and I can't see why he won't be playing 30 minutes per game next season. Has short-term value, but needs another strong season to cement himself as a viable option in the long-term. </t>
  </si>
  <si>
    <t xml:space="preserve">Jaren Jackson Jr Expecting JJJ to make a jump this season. Still needs to work on keeping his fouls down. He has an ultra fantasy-friendly game as a big man who can block shots and hit 3s, and still hasn't turned 20 yet. Has the potential to be a top fantasy player in a few years. </t>
  </si>
  <si>
    <t xml:space="preserve">Jonas Valanciunas Yes, Jonas averaged 19.9 PPG in his stint in Memphis last season, but that was without JJJ. With the addition of Clarke, I can't see him playing more than 28 minutes per game. Has some excellent short-term appeal, but he may be on another roster in a few years. </t>
  </si>
  <si>
    <t xml:space="preserve">DeMar DeRozan He'll be a top 50 fantasy player for a few more seasons. At some point, his lack of three-point shot is going to hurt him, but he still has elite value in the short-term. </t>
  </si>
  <si>
    <t xml:space="preserve">Al Horford Has a few good seasons left in him, but the long-term appeal isn't quite there for dynasty leagues. I am expecting his usage to take a slight dip playing in a new system. </t>
  </si>
  <si>
    <t xml:space="preserve">Josh Richardson No longer the focal point of offensive sets, so his FG% should increase. I am expecting his steals to bounce back now that he can focus on the defensive side of the court. </t>
  </si>
  <si>
    <t xml:space="preserve">Brook Lopez Brook has found a way to extend his career as a 3-point sniper who's capable of hitting 2+ threes and getting 2+ blocks a game, which is an extremely rare combination. Can be extremely valuable for a few more seasons. </t>
  </si>
  <si>
    <t xml:space="preserve">Malcolm Brogdon Brogdon should handle the ball more in Indiana so he should see a small bump in assists. He's a great fit next to Oladipo and shoots a high FG% for somebody who's PG eligible. </t>
  </si>
  <si>
    <t xml:space="preserve">Lauri Markkanen Has issues staying on the court (68 and 52 games in his first two seasons - although he could very well have played more games in his rookie year had Chicago not played the tanking game). Has 20/10 potential, but his lack of AST-STL-BLK numbers limits his fantasy ceiling. </t>
  </si>
  <si>
    <t xml:space="preserve">Lonzo Ball The opportunity is there for Lonzo to have a mini break-out (without the scoring), and he's a great PG for the New Orleans system (look at what Payton and Rondo were able to do in their time in New Orleans). </t>
  </si>
  <si>
    <t xml:space="preserve">CJ McCollum An efficient volume scorer who's elite in 3 categories and doesn't provide enough in the others to be a consistent top 40 fantasy player. </t>
  </si>
  <si>
    <t xml:space="preserve">Blake Griffin Added a much-welcomed 3-point shot, making 2.5 per game last season, which is exactly what a player like Blake (who relied heavily on his athleticism) needed to extend his career. It's not enough to offset his lack of STL + BLK numbers, but it'll keep him relevant for the next few seasons. </t>
  </si>
  <si>
    <t xml:space="preserve">Hassan Whiteside Has every opportunity to bounce back until Nurkic returns, but can his knees last? It's questionable whether there's another team who'd give him big minutes and he doesn't hold much value when Nurkic returns. </t>
  </si>
  <si>
    <t xml:space="preserve">Jayson Tatum Should be taking more ownership of the offensive end and should improve on his FG% so long as he stops taking so many long twos. I am expecting better production across the board this season. </t>
  </si>
  <si>
    <t xml:space="preserve">Terry Rozier Rozier is yet to have a season where he has shot 40% or better in his career. He'll be replacing Kemba in the starting line-up on a team desperate for somebody to step-up and produce. He's a good rebounder for a guard (hovering between 8-10 RPG per 36 minutes for his career), but the bad shooting nights won't be enough to offset it. He's more of a punt FG% or points-league kind of guy. </t>
  </si>
  <si>
    <t xml:space="preserve">Shai Gilgeous-Alexander Expecting the typical season-season improvements, and given Chris Paul's health, he'll have plenty of games to run the offense by himself (assuming Paul doesn't get traded). Expecting him to play plenty of minutes next to Paul (and potentially start at SG) as he develops into a good long-term prospect. </t>
  </si>
  <si>
    <t xml:space="preserve">Marvin Bagley III Expecting Bagley to start the season as he finished the last - starting and hovering around 18/9 on most nights. I still think his best position is at C and should enter his peak in a few years. </t>
  </si>
  <si>
    <t xml:space="preserve">Larry Nance Jr People enter every season expecting Nance to finally break-out, and given he's already 26 it's hard to see that happening now. He'll provide nice out-of-position steals (1.5 SPG last season), but I'm not expecting too much of a drastic improvement over last season. </t>
  </si>
  <si>
    <t xml:space="preserve">Jonathan Isaac Showed improvements across the board last season, and I'm expecting those improvements to continue. I still think his best position is at PF, and he doesn't look like he'll be a high scorer, but he makes up for it in other categories. </t>
  </si>
  <si>
    <t xml:space="preserve">Ricky Rubio Should see his assists bounce back, but he's still playing with a ball-dominant guard in Booker (like he did with Mitchell last season). He fills a need short-term. </t>
  </si>
  <si>
    <t xml:space="preserve">Ja Morant His game should translate well to fantasy, but rookie point guards who get given the keys to a team take a while to develop, so don't expect fireworks out of the gate. He also has a quality point-guard backing him up in Tyus Jones. Should get better as the season progresses. </t>
  </si>
  <si>
    <t xml:space="preserve">Jamal Murray His assists are capped so long as he's playing on a team with Jokic, and he needs to break-out in another category to make the next step (steals?). He's young enough to keep improving, so expect gradual increments as he progresses through his career. </t>
  </si>
  <si>
    <t xml:space="preserve">Julius Randle There are lots of (too many) power forwards on the Knicks roster, but Randle is the clear best of the bunch. His numbers need to be re-adjusted to factor out the pace that New Orleans played last season. </t>
  </si>
  <si>
    <t xml:space="preserve">Marcus Smart A more significant role is there for Smart this season. Expect him to continue being an elite source of steals. </t>
  </si>
  <si>
    <t xml:space="preserve">Derrick Favors The starting C spot is Favors for the taking, and he should put up good numbers in New Orleans fantasy-friendly system. Hayes might eat into his minutes as the season goes on, but he still has a few more productive seasons left in him. </t>
  </si>
  <si>
    <r>
      <t xml:space="preserve">0.53 </t>
    </r>
    <r>
      <rPr>
        <sz val="8.4"/>
        <color rgb="FF333333"/>
        <rFont val="Arial"/>
        <family val="2"/>
      </rPr>
      <t>(5.9/11.1)</t>
    </r>
  </si>
  <si>
    <r>
      <t xml:space="preserve">0.69 </t>
    </r>
    <r>
      <rPr>
        <sz val="8.4"/>
        <color rgb="FF333333"/>
        <rFont val="Arial"/>
        <family val="2"/>
      </rPr>
      <t>(2.5/3.6)</t>
    </r>
  </si>
  <si>
    <t xml:space="preserve">Dewayne Dedmon A helpful short-term solution in Sacramento until their young bigs mature a little more. Should continue to get minutes this season as long as they remain in playoff contention. </t>
  </si>
  <si>
    <t xml:space="preserve">Domantas Sabonis Thad Young is no longer a Pacer, so it means we're finally going to get a Sabonis-Turner starting tandem, and I'm all for it. Sabonis should be a walking double-double most nights. </t>
  </si>
  <si>
    <t xml:space="preserve">Klay Thompson Will be out for the majority of next season, but his game doesn't rely on athleticism, so he should come back OK. In terms of dynasty, he's somebody you can stash on your IL as you take a free-swing on an available FA. </t>
  </si>
  <si>
    <t xml:space="preserve">Gordon Hayward He wasn't great last season (putting it nicely), and I'm not sure whether we see a return of Utah's Gordon Hayward, but 16/5/4 is a realistic stat line to aim for this season. Given his age, you can decide whether that's worthwhile. </t>
  </si>
  <si>
    <t xml:space="preserve">Miles Bridges Bridges has the most fantasy-friendly game of all the "maybe they'll step-up" guys on the Hornets roster. So hopefully he'll be the one to step-up. In a 9-game sample size last season where he played between 30-40 minutes he averaged 32 MPG, 12.6 PPG, 5.6 RPG, 3.1 AST, with 1.4 STL and 0.7 BLK. It's a nice building block heading into this season with plenty of usage available after Kemba's departure. </t>
  </si>
  <si>
    <t xml:space="preserve">Kelly Oubre Jr There's no reason why Kelly can't continue his late run towards the end of the season now that TJ Warren isn't on the team - whether that be starting, or coming off the bench. </t>
  </si>
  <si>
    <t xml:space="preserve">Jeremy Lamb Should start the season strong as Oladipo gets reps back into his legs, so shop him in trades if he gets off to a hot start. </t>
  </si>
  <si>
    <t xml:space="preserve">Kevon Looney He has top 80-90 upside if he starts and gets 30 minutes a game (which apparently is Kerr's plan this season), whether that actually happens is another thing. He's still quite young, so there's plenty of room for improvement, but he doesn't seem like a high ceiling kind of guy. </t>
  </si>
  <si>
    <t xml:space="preserve">Dwight Powell Seems like a stop-gap option until somebody better comes along, but there's a starting role available for him this season, so the short-term appeal is there (for now). </t>
  </si>
  <si>
    <t xml:space="preserve">Wendell Carter Jr Had an impressive start to his rookie season before getting hurt and looks like a really roto-friendly C as a big man who can get you clean shooting percentages (49% FG, 78% FT) with good rebounds and blocked shots. He's somebody to target in all formats (especially dynasty). </t>
  </si>
  <si>
    <t xml:space="preserve">Montrezl Harrell Should continue to get easy buckets under the rim with George and Leonard being the focal point of teams defensive schemes. Should see a slight increase in his already stellar FG%. </t>
  </si>
  <si>
    <t xml:space="preserve">TJ Warren Solid, without being exceptional. He won't hurt you in many categories and is an excellent option in the roto format. Not much upside in the dynasty format. </t>
  </si>
  <si>
    <t xml:space="preserve">Delon Wright Should be the starting point guard on opening night. Is a good rebounder at his position, but his assists will be capped with Luka handling a lot of the ball. </t>
  </si>
  <si>
    <t xml:space="preserve">Gary Harris Harris is due for a bounce-back season. I'm not expecting 2017-18 or 2018-19 Gary Harris, but somewhere in between. </t>
  </si>
  <si>
    <t xml:space="preserve">Fred VanVleet There's a hole at SG, and VanVleet should get first dibs at it. Whether he can continue playing at the level he did in the finals is questionable, but the opportunity is there, and it's something to monitor as the season goes on. </t>
  </si>
  <si>
    <t xml:space="preserve">JaVale McGee Should be good for 22-24 minutes a game so long as Davis persists with playing at PF. His rebounding rate will take a small dip. </t>
  </si>
  <si>
    <t xml:space="preserve">Aaron Gordon Seems to have plateaued in his career and hasn't developed into the player many would have hoped for. The 3.7 APG last season was a nice addition to his game, and without a standout PG on the roster, he'll continue to handle the ball more. </t>
  </si>
  <si>
    <t xml:space="preserve">Caris LeVert Should be option number two while Durant is out, but Caris has his own inconsistencies when it comes to staying on the court. If you're in a dynasty league, it'll be worth shopping him around next season as he peaks in value. </t>
  </si>
  <si>
    <t xml:space="preserve">Cody Zeller The often injured Zeller is younger than you think, and when he's fit and firing he provides end of the roster value, but that's not often enough (hasn't played more than 62 games since his rookie season in 2013-14). </t>
  </si>
  <si>
    <t xml:space="preserve">Steven Adams Adams is allowed to rebound again now that he's free from playing with Westbrook. I am expecting double-digit rebounds for the first time in his career. </t>
  </si>
  <si>
    <t xml:space="preserve">Danny Green A 3-point streamer who's still capable of getting close to a steal and block a game. Has some short-term value this season. </t>
  </si>
  <si>
    <t xml:space="preserve">Mikal Bridges I like what Mikal provides long-term as a 3&amp;D specialist. Might not be a big scorer, but he's already elite in a category that's hard to get big numbers for (steals) and has a long career ahead of him in the league. </t>
  </si>
  <si>
    <t xml:space="preserve">Marc Gasol We saw his minutes take a hit moving to Toronto, and it's debatable whether they'll ever pick up given his age. This might be his last productive season. </t>
  </si>
  <si>
    <t xml:space="preserve">Zach Collins Has a chance to start at PF this season, but needs to learn how to control his fouling (4.6 fouls per 36 last season). In a sample size of 31 games last season where he played between 20-30 minutes he averaged: 23.5 MPG, 9 PPG, 1.6 BPG, and shot 51% from FG and 82% from FT. Not big numbers, but it's a starting point. </t>
  </si>
  <si>
    <t xml:space="preserve">Enes Kanter The big man department is running pretty thin in Boston, and Stevens has no choice but to figure out how to cover Kanter on defense. I wouldn't be surprised if Boston adds another big man to their roster at some point. Seems like a stop-gap option until somebody better comes along. </t>
  </si>
  <si>
    <t xml:space="preserve">Jeff Teague Still capable of producing numbers, and doesn't have Jones backing him up to take away minutes. His appeal is only short-term given his age, and given the number of times he has already been mentioned in trade rumors, it's only a matter of time until Minnesota find somebody to replace him. </t>
  </si>
  <si>
    <t xml:space="preserve">Kelly Olynyk A safe, and somewhat dull pick who should spend the season hovering around the top 90-110 range. Not much long-term appeal. </t>
  </si>
  <si>
    <t xml:space="preserve">Serge Ibaka Had a bounce-back year and seemed more energized playing closer to the basket. I think we'll continue to see him spot-start, but still play fringe-starters minutes this season, but I'm not sure whether he'll be in Toronto to start the 2020-21 season. </t>
  </si>
  <si>
    <t xml:space="preserve">Paul Millsap Denver clearly have another playoff run planned, and keeping Millsap fresh is clearly what they had in mind when signing Grant, so expect him to be managed throughout the regular season. Not much long-term appeal here as he's clearly in the twilight of his career. </t>
  </si>
  <si>
    <t xml:space="preserve">Terrence Ross Had a career-high in 3PM and PTS last season, and shoots pretty well from FT%, but he doesn't provide much outside of those categories. Doesn't have much long-term appeal, but he's somebody to keep at the end of your bench or stream when needed. </t>
  </si>
  <si>
    <t xml:space="preserve">Lou Williams There's going to be games where he balls out when one of George or Kawhi are out, so I'm not expecting his scoring to be all that consistent. Might only have another season or two left at a high level. </t>
  </si>
  <si>
    <t xml:space="preserve">Derrick White Should spend a lot of time at SG this season as Murray re-enters the starting lineup at PG, but that shouldn't impact his numbers too much since he wasn't a bit assist guy anyway. He has a nice overall game (at the low-end level) and should make for a good end-of-bench guy on your roster. </t>
  </si>
  <si>
    <r>
      <t xml:space="preserve">0.47 </t>
    </r>
    <r>
      <rPr>
        <sz val="8.4"/>
        <color rgb="FF333333"/>
        <rFont val="Arial"/>
        <family val="2"/>
      </rPr>
      <t>(4.7/9.9)</t>
    </r>
  </si>
  <si>
    <t xml:space="preserve">DeAndre Jordan Only has a few good seasons left in him, and he doesn't block shots as many shots as you'd expect (2016-17 was the last time he averaged more than 1.2 BPG). He does provide good rebounding for a team that's likely to play small at PF, keep in mind that he'll be splitting minutes with Allen. </t>
  </si>
  <si>
    <t xml:space="preserve">Nicolas Batum This could be his last somewhat productive season, his he still has a role to play without a quality point guard on the Charlotte roster. Expect a jump in assists and usage, and if you're in a dynasty league shop him around if he starts the season strong. </t>
  </si>
  <si>
    <t xml:space="preserve">Rudy Gay Had a surprisingly good season given the injury he was returning from, and he's still capable of putting up numbers in the short-term, but at his age, there are better options in dynasty formats. </t>
  </si>
  <si>
    <t xml:space="preserve">Davis Bertans Should be a rotation player given Washington's depleted depth at PF, and could very well be the opening night starter, but doesn't offer much outside of 3-point shooting, and has limited upside. </t>
  </si>
  <si>
    <t xml:space="preserve">Alex Len Won't be splitting minutes with Dedmon this season, but he has never been a big minutes guy (never averaged more than 24 minutes in his career). He's spending more time on the perimeter, which means low rebound numbers. Collins should spend minutes at C in the future, but Len should be a good end of roster big man for this season until Fernando develops. </t>
  </si>
  <si>
    <t xml:space="preserve">Jarrett Allen Didn't make the second-season step many were expecting, and the addition of Jordan limits his ceiling, but he should still be getting 24 minutes a game. We'll have to wait a few seasons before we see him reach his ceiling. </t>
  </si>
  <si>
    <t xml:space="preserve">Joe Ingles Should still get starters minutes, whether that's coming off the bench or starting, and has a good all-round game to keep him fantasy relevant as he ages. Not somebody I'd be looking at in dynasty leagues, but he still has value in other formats. </t>
  </si>
  <si>
    <t xml:space="preserve">JJ Redick Will provide much-needed outside shooting for New Orleans this season, but at this point in his career he doesn't offer much outside of 3-point shooting, points, and FT%. Not much long-term appeal. </t>
  </si>
  <si>
    <t xml:space="preserve">Taurean Prince Gets a fresh start in Brooklyn, and could see himself playing a lot of minutes at PF due to necessity (Durant's injury). This could be his last chance to prove himself worthy of a starting role. </t>
  </si>
  <si>
    <t xml:space="preserve">Kevin Huerter Expecting typical second-season improvements. The additions of Hunter, Reddish, Turner, and Crabbe might stifle his ceiling in the short-term. </t>
  </si>
  <si>
    <t xml:space="preserve">Dejounte Murray Murray should have a nice return season, just remember that he's not a big assist guy, but he makes up for it with rebounding from the PG spot. </t>
  </si>
  <si>
    <t xml:space="preserve">Brandon Clarke An NBA ready player who should be able to produce right away, but he'll be limited to a bench role with both JJJ and Jonas ahead of him in the depth chart this season. Has some excellent long-term appeal and is a great fit next to JJJ in the starting line-up in a few years. </t>
  </si>
  <si>
    <t xml:space="preserve">Thaddeus Young Lauri Markkanen is often injured, so Young still has short-term value coming off the bench and as a spot-starter. </t>
  </si>
  <si>
    <t xml:space="preserve">Jerami Grant Grant's move after a breakout season in OKC isn't all bad news. He's primed to play an essential role for Denver moving forward as Millsap's role reduces. I'm still expecting big minutes in the short-term with the occasional spot-start, and taking over Milsap's spot in the starting line-up in the long-term. </t>
  </si>
  <si>
    <t xml:space="preserve">Maxi Kleber Has little upside and a low ceiling, but Powell isn't guaranteed the starting spot this season, so there's an opportunity to get minutes in the short-term. </t>
  </si>
  <si>
    <t xml:space="preserve">Bogdan Bogdanovic Should be hovering around the top 100 for multiple years as somebody who does a bit of everything without being elite in anything. Not sure if we'll see him get a consistent role as a starter, but he's a good enough rotation player to remain relevant for a while. </t>
  </si>
  <si>
    <t xml:space="preserve">Tomas Satoransky Should be the opening night starter at PG, bit expect Coby White to eat into his minutes as the season progresses. I see Sato as a stop-gap option until Coby can take-over, so there's not much long-term appeal. </t>
  </si>
  <si>
    <t xml:space="preserve">Bojan Bogdanovic Sure, he stepped up last season with the absence of Oladipo, but he's now on a deep Utah roster, and he doesn't provide enough in other categories to make up for it. </t>
  </si>
  <si>
    <t xml:space="preserve">Patrick Beverley He's the perfect PG for this Clippers roster, but at this point in his career he doesn't have much upside in the fantasy format as an end-of-roster guy, and not something to target for anything long-term. </t>
  </si>
  <si>
    <t xml:space="preserve">Joe Harris He provides 3s and shoots a good percentage from the field and at the line (49% from FG and 84% from FT last season), but he doesn't have much upside outside of that. </t>
  </si>
  <si>
    <t xml:space="preserve">Kent Bazemore Minutes should be there at SF for him in the short-term as he tries to revive his career in Portland. He doesn't have much upside. </t>
  </si>
  <si>
    <t xml:space="preserve">DJ Augustin Still has short-term value, but I see DJ as a placeholder starter until Orlando manages to find somebody better. Doesn't have much long-term appeal. </t>
  </si>
  <si>
    <t xml:space="preserve">RJ Barrett We're going to see some ugly shooting nights backed up with 28 point games, so expect a rollercoaster of a rookie season. Neither of his shooting percentages are going to be good, so factor that into your draft day strategy. </t>
  </si>
  <si>
    <r>
      <t xml:space="preserve">0.44 </t>
    </r>
    <r>
      <rPr>
        <sz val="8.4"/>
        <color rgb="FF333333"/>
        <rFont val="Arial"/>
        <family val="2"/>
      </rPr>
      <t>(5.9/13.4)</t>
    </r>
  </si>
  <si>
    <r>
      <t xml:space="preserve">0.73 </t>
    </r>
    <r>
      <rPr>
        <sz val="8.4"/>
        <color rgb="FF333333"/>
        <rFont val="Arial"/>
        <family val="2"/>
      </rPr>
      <t>(3.5/4.8)</t>
    </r>
  </si>
  <si>
    <t xml:space="preserve">Kyle Anderson Sure, he can get you decent steals and blocks from the SF spot, but he doesn't really do much else, so his upside is pretty limited. Doesn't have much long-term appeal, but he can be a good short-term option if you need a defensive specialist. </t>
  </si>
  <si>
    <t xml:space="preserve">Evan Fournier His usage declined last season, which coincided with Ross getting up more shots. Fournier is another low-upside guy with little long-term appeal. </t>
  </si>
  <si>
    <t xml:space="preserve">Collin Sexton Should see slight improvements across the board, with a small bump in FG%, and a slightly more significant jump in assists (which is still low for a starting point guard). Not sure how the Garland and Sexton combo is going to work, but Cleveland doesn't seem to be worrying about winning, so it looks like they're just going to throw big minutes at both of them to see if they can work it out. </t>
  </si>
  <si>
    <t xml:space="preserve">Justise Winslow If he can get his FT% up and continue to handle to the ball, he'll be fantasy relevant for years to come. Both are big ifs, but the potential is there. </t>
  </si>
  <si>
    <t xml:space="preserve">Eric Gordon An end-of-bench guy who's still capable of hitting 3s and getting buckets, but his appeal is very short-term, and his best categories can be replicated by streaming. </t>
  </si>
  <si>
    <t xml:space="preserve">Spencer Dinwiddie He'll continue to be the lead guard off the bench (and occasional spot starter) for a while, but that's not a bad thing. His ceiling isn't all that high, but he's a good, safe option (if you need one). </t>
  </si>
  <si>
    <t xml:space="preserve">Andrew Wiggins Hasn't proven to be anything other than an inefficient scorer in his five seasons in the NBA. He still has youth on his side, but he's not somebody to target until he starts producing. </t>
  </si>
  <si>
    <t xml:space="preserve">Nerlens Noel Seems like he's destined to be a back-up in the NBA (unless he can improve his shooting). His reputation as a good defender is a bit misleading since he sometimes chases his blocks and steals by leaving his opponent. </t>
  </si>
  <si>
    <t xml:space="preserve">Harrison Barnes Doesn't provide much outside of points and 3s and has little upside moving forward. There are more exciting picks to make, but he does fill a need in the short-term. </t>
  </si>
  <si>
    <t xml:space="preserve">Jarrett Culver There are questions over who the opening night starting SG will be and whether it's Culver or Okogie, but I think Jarrett gets the starting spot at some point during the season and is a much better option long-term. Has the tools to be a good player. </t>
  </si>
  <si>
    <t xml:space="preserve">Reggie Jackson Seems like a stop-gap option at PG until a better option comes along, but that might take a while. He's not somebody to go out of your way to target, and isn't much more than an end-of-bench guy in the short-term. </t>
  </si>
  <si>
    <t xml:space="preserve">Dario Saric Should be the opening night starter at PF, but he seems like another one of those guys who's a better-in-real-life-than-fantasy player, and Phoenix are likely to play one of Bridges or Oubre Jr decent minutes at PF. Not sure if the long-term appeal is there with Saric just yet, but that can change once we have a bigger sample size. </t>
  </si>
  <si>
    <t xml:space="preserve">Tim Hardaway Jr His ceiling is capped, and it doesn't look like he'll be more than a contributor to the PTS, 3PM, and FT% categories. The addition of Seth Curry limits his potential to get 30+ minutes each night. </t>
  </si>
  <si>
    <t xml:space="preserve">Ivica Zubac The Clippers have finals aspirations, and it seems like Zubac is a stop-gap starter until they can get a better C on their roster. Can he show that he's a worthy starter in the league long-term? </t>
  </si>
  <si>
    <t xml:space="preserve">De'Andre Hunter Hunter looks like he'll be one of those better-in-real-life-than-fantasy players. He's projected to be an elite defender but failed to tally more than 0.6 SPG in 32.5 MPG during his last season in college. </t>
  </si>
  <si>
    <t xml:space="preserve">JaMychal Green It doesn't seem like he'll be more than a decent back-up and occasional spot-starter for the rest of his career. Not much upside in the long-term. </t>
  </si>
  <si>
    <t xml:space="preserve">Jakob Poeltl Will spend more time this season coming off the bench and spot-starting. Doesn't have a whole lot of upside, but is capable of getting good rebounding and block numbers when given the minutes. </t>
  </si>
  <si>
    <t xml:space="preserve">Brandon Ingram Not sure he's going to make the leap many are expecting. I think he'll have a very similar season to his last in LA (with a small decrease in usage). Need to improve from the free-throw line to maintain long-term appeal. </t>
  </si>
  <si>
    <t xml:space="preserve">Kyle Kuzma Needs to do more than score to be a fantasy target, but that's all he'll be asked to do on the Lakers roster. Doesn't have much long-term appeal unless he finds himself on another roster. </t>
  </si>
  <si>
    <t xml:space="preserve">Derrick Rose Rose comes in to play minutes at PG and SG (where Detroit has a huge hole). I'm not expecting him to back up his 18 PPG average from last season, but he still has short-term value. Long-term? Not so much. </t>
  </si>
  <si>
    <t xml:space="preserve">Tyler Herro Could get over-drafted after a good run in summer league, I'm just not sure how well his game translates to fantasy and whether he can make a meaningful contribution to any of the non-shooting categories in his rookie season. </t>
  </si>
  <si>
    <r>
      <t xml:space="preserve">0.45 </t>
    </r>
    <r>
      <rPr>
        <sz val="8.4"/>
        <color rgb="FF333333"/>
        <rFont val="Arial"/>
        <family val="2"/>
      </rPr>
      <t>(4.6/10.3)</t>
    </r>
  </si>
  <si>
    <t xml:space="preserve">Goran Dragic You have to assume he'll only be in the league for a few more seasons, and while he obviously has little long-term appeal, he can still be capable of producing OK numbers, but do you really want a 33-year-old producing OK numbers taking up a spot on your roster? </t>
  </si>
  <si>
    <r>
      <t xml:space="preserve">0.45 </t>
    </r>
    <r>
      <rPr>
        <sz val="8.4"/>
        <color rgb="FF333333"/>
        <rFont val="Arial"/>
        <family val="2"/>
      </rPr>
      <t>(5.0/11.2)</t>
    </r>
  </si>
  <si>
    <t xml:space="preserve">Darius Garland We're going off a small college sample size of 5 games, but what we saw was somebody with a modern-NBA friendly offensive game. He's not going to be a high assist and steals guy, but he'll have every opportunity to get buckets. There will be some teething pains to start the season as the two point-guards (Sexton and Garland) work out how they're going to co-exist on the court. </t>
  </si>
  <si>
    <t xml:space="preserve">Marvin Williams Given his age and the direction Charlotte is heading this could be Marvin's last season of being standard-league relevant. Has short-term value, but he could be replaced in the starting lineup as soon as this season. </t>
  </si>
  <si>
    <t xml:space="preserve">Cedi Osman Cedi Osman - Expecting slight improvements across the board. Don't see much long-term appeal with Cedi, and he doesn't have too high of a ceiling, but his starting spot looks safe (for now). </t>
  </si>
  <si>
    <t xml:space="preserve">Seth Curry We should see the same amount of minutes from Seth this season whether it's as a fringe starter or gunner off the bench, but he's not much more than a 3PM streamer or end-of-bench guy. Not much long-term appeal here. </t>
  </si>
  <si>
    <t xml:space="preserve">Jaylen Brown Starter minutes are available for Jaylen this season. He seems like another guy who's going to be a better real-life player than fantasy, but given his age, there's still plenty of time to develop his game. </t>
  </si>
  <si>
    <t xml:space="preserve">Tyus Jones May spend his career as a back-up point guard who sees 20-22 minutes a game. He's a good player but has little upside. </t>
  </si>
  <si>
    <t xml:space="preserve">Malik Monk Has yet to prove himself as a starter quality player after two seasons in the NBA, and he won't have a better opportunity to produce than this season, it's just a matter of whether he's good enough to do it. Either way, he's not a great fantasy producer and only really produces in a few categories (FT%, 3PM) while hurting your FG% (has yet to shoot better than 39% from FG in his career). </t>
  </si>
  <si>
    <t xml:space="preserve">Wesley Matthews Matthews should be getting plenty of good looks in Milwaukee, but his upside is capped (outside of a PTS and 3PM streamer or end-of-bench guy). </t>
  </si>
  <si>
    <r>
      <t xml:space="preserve">0.55 </t>
    </r>
    <r>
      <rPr>
        <sz val="8.4"/>
        <color rgb="FF333333"/>
        <rFont val="Arial"/>
        <family val="2"/>
      </rPr>
      <t>(3.7/6.7)</t>
    </r>
  </si>
  <si>
    <r>
      <t xml:space="preserve">0.65 </t>
    </r>
    <r>
      <rPr>
        <sz val="8.4"/>
        <color rgb="FF333333"/>
        <rFont val="Arial"/>
        <family val="2"/>
      </rPr>
      <t>(1.3/2.0)</t>
    </r>
  </si>
  <si>
    <t xml:space="preserve">Rodions Kurucs Provided flashes of being a rotation player last season, and should get a chance to push for the starting power-forward spot at some point this season, but with Durant back it's debatable whether the long-term appeal is there for Kurucs unless he breaks out this season. </t>
  </si>
  <si>
    <t xml:space="preserve">Rui Hachimura He'll be thrown into the deep end as soon as he's ready (or not) to play heavy minutes. He was late to start playing basketball, so he's still a little raw, but he's somebody to monitor as he'll be given every chance to produce this season. </t>
  </si>
  <si>
    <r>
      <t xml:space="preserve">0.41 </t>
    </r>
    <r>
      <rPr>
        <sz val="8.4"/>
        <color rgb="FF333333"/>
        <rFont val="Arial"/>
        <family val="2"/>
      </rPr>
      <t>(4.1/10.1)</t>
    </r>
  </si>
  <si>
    <t xml:space="preserve">Dwayne Bacon Could be penciled in as the opening night starter if Bridges starts at PF. Can't see him being standard league relevant this season. </t>
  </si>
  <si>
    <t xml:space="preserve">Elfrid Payton Had a big jump in FT% last season (64.9% to 74.3%), but his assist numbers should regress this season as he's part of a potential timeshare at PG and no longer in the New Orleans fast-paced offense. In the long-term, there aren't many teams in need of a starting PG with his skill-set and lack of shooting. </t>
  </si>
  <si>
    <t xml:space="preserve">Troy Brown Started getting minutes after the all-star weekend, and showed signs of being a capable player. He should be in the conversation when it comes to who's starting at SF, but should still see minutes even if he's coming off the bench. </t>
  </si>
  <si>
    <t xml:space="preserve">Dennis Schroder Sure, OKC has traded Westbrook. But they've added 2 point-guards who are well ahead of him in the depth chart. He can score (inefficiently) and doesn't make enough of a contribution to other categories to be fantasy relevant in the long-term. </t>
  </si>
  <si>
    <t xml:space="preserve">Landry Shamet There's going to be plenty of open looks behind the arc available for Shamet with three offensive weapons in LA. His upside is capped in the short-term, but he's an intriguing option in dynasty leagues. </t>
  </si>
  <si>
    <t xml:space="preserve">OG Anunoby Has an opportunity to play big minutes this season and has the potential to be a nice 3&amp;D option. He's somebody to take a flier on at the end of your draft. </t>
  </si>
  <si>
    <t xml:space="preserve">Kris Dunn Satoransky and White getting added to Chicago's roster should explain how the Bulls feel about Dunn's long-term future. He's a player I'm avoiding in most formats, and if you have him in dynasty, try and shop him while he still has value. Best case scenario is getting traded to a team in need of a PG (Washington?). </t>
  </si>
  <si>
    <t xml:space="preserve">Bobby Portis He'll be padding his points and rebounds stats whenever he gets a chance, but with the log jam at PF in New York I'd be looking at other options. Still young enough to improve, but I think he peaks as a spot-starter / first big off the bench. </t>
  </si>
  <si>
    <t xml:space="preserve">Coby White White has a nice touch around the rim, can hit the 3-ball, and is a more than capable defender (using his 6'5 frame being to his advantage). He's somebody to keep an eye on during the season and should get an opportunity to start at some point. </t>
  </si>
  <si>
    <t xml:space="preserve">Jordan Clarkson At this point, he's not that much more than a streaky streamer to bring in when he gets hot for a week or two. </t>
  </si>
  <si>
    <t xml:space="preserve">Bruce Brown Jr Detroit is desperate for one of their young players to step-up, and there's a huge hole open in their starting lineup for a SG/SF. He's somebody to keep an eye on to see if he can produce during the season, and could eventually become a rotation-worthy player. </t>
  </si>
  <si>
    <t xml:space="preserve">Jusuf Nurkic Might play a few games towards the end of the season, but don't expect much until the 20-21 season. </t>
  </si>
  <si>
    <t xml:space="preserve">Monte Morris Had a decent second season, and at some point, other teams are going to show interest in him and offer a bigger role, but his upside is capped in the short-term backing up Murray. </t>
  </si>
  <si>
    <t xml:space="preserve">Dennis Smith Jr Will be in a timeshare with Payton this season, which spells bad news for people who are still high on him (I'm not one of them). Will hurt you in both percentage categories and doesn't do enough in the others to off-set it. He's still young enough to turn it around in the long-term. </t>
  </si>
  <si>
    <t xml:space="preserve">Meyers Leonard Older than most people think and never really broke-out in his 7 seasons in Portland. At this stage in his career, it's hard to see him as anything more than an end-of-bench big man who doesn't hurt either of your percentages. </t>
  </si>
  <si>
    <t xml:space="preserve">Will Barton In the twilight of his career, and isn't much more than a streamer or end-of-bench guy if/when he goes on a hot streak. </t>
  </si>
  <si>
    <t xml:space="preserve">PJ Washington Should get better as the season goes on, but he's still quite raw. A good stash in dynasty leagues since he fills an obvious need in the long-term. </t>
  </si>
  <si>
    <t xml:space="preserve">Luke Kennard We've been waiting for Kennard to break-out, but it has yet to happen. Has shown flashes of being able to handle the ball, but right now he doesn't present himself as anything more than a streaming option or stash in dynasty leagues. </t>
  </si>
  <si>
    <t>Kelly Oubre</t>
  </si>
  <si>
    <t>Wendell Carter</t>
  </si>
  <si>
    <t>Marvin Bagley</t>
  </si>
  <si>
    <t>larry nance</t>
  </si>
  <si>
    <t>dennis smith</t>
  </si>
  <si>
    <t>Otto Porter</t>
  </si>
  <si>
    <t>Jaren Jackson</t>
  </si>
  <si>
    <t>derrick white</t>
  </si>
  <si>
    <t>Roto Ranks</t>
  </si>
  <si>
    <t>Joban</t>
  </si>
  <si>
    <t>TOT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</si>
</sst>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0"/>
    <numFmt numFmtId="166" formatCode="m/d/yy"/>
    <numFmt numFmtId="167" formatCode="mm/dd/yy"/>
    <numFmt numFmtId="168" formatCode="0.0000"/>
  </numFmts>
  <fonts count="20">
    <font>
      <sz val="12"/>
      <color theme="1"/>
      <name val="Calibri"/>
      <family val="2"/>
      <scheme val="minor"/>
    </font>
    <font>
      <sz val="12"/>
      <color theme="0"/>
      <name val="Calibri"/>
      <family val="2"/>
      <scheme val="minor"/>
    </font>
    <font>
      <sz val="10"/>
      <color rgb="FFFFFFFF"/>
      <name val="Calibri"/>
      <family val="2"/>
      <scheme val="minor"/>
    </font>
    <font>
      <sz val="11"/>
      <color rgb="FFFFFFFF"/>
      <name val="Calibri"/>
      <family val="2"/>
      <scheme val="minor"/>
    </font>
    <font>
      <b/>
      <sz val="11"/>
      <color rgb="FF000000"/>
      <name val="Calibri"/>
      <family val="2"/>
      <scheme val="minor"/>
    </font>
    <font>
      <sz val="11"/>
      <color rgb="FF000000"/>
      <name val="Calibri"/>
      <family val="2"/>
      <scheme val="minor"/>
    </font>
    <font>
      <u/>
      <sz val="12"/>
      <color theme="10"/>
      <name val="Calibri"/>
      <family val="2"/>
      <scheme val="minor"/>
    </font>
    <font>
      <sz val="11"/>
      <color theme="0"/>
      <name val="Calibri (Body)"/>
    </font>
    <font>
      <sz val="11"/>
      <color theme="0"/>
      <name val="Calibri"/>
      <family val="2"/>
      <scheme val="minor"/>
    </font>
    <font>
      <sz val="12"/>
      <color theme="1"/>
      <name val="Calibri (Body)"/>
    </font>
    <font>
      <sz val="12"/>
      <color rgb="FF000000"/>
      <name val="Calibri"/>
      <family val="2"/>
      <scheme val="minor"/>
    </font>
    <font>
      <b/>
      <sz val="12"/>
      <color theme="1"/>
      <name val="Calibri"/>
      <family val="2"/>
      <scheme val="minor"/>
    </font>
    <font>
      <sz val="12"/>
      <color rgb="FF333333"/>
      <name val="Arial"/>
      <family val="2"/>
    </font>
    <font>
      <sz val="10.199999999999999"/>
      <color rgb="FF333333"/>
      <name val="Arial"/>
      <family val="2"/>
    </font>
    <font>
      <b/>
      <sz val="12"/>
      <color rgb="FF333333"/>
      <name val="Arial"/>
      <family val="2"/>
    </font>
    <font>
      <sz val="8.4"/>
      <color rgb="FF333333"/>
      <name val="Arial"/>
      <family val="2"/>
    </font>
    <font>
      <sz val="14"/>
      <color theme="1"/>
      <name val="Comfortaa"/>
    </font>
    <font>
      <b/>
      <sz val="11"/>
      <color theme="1"/>
      <name val="Calibri"/>
      <family val="2"/>
    </font>
    <font>
      <b/>
      <sz val="11"/>
      <color rgb="FFFFFFFF"/>
      <name val="Calibri"/>
      <family val="2"/>
    </font>
    <font>
      <sz val="11"/>
      <color theme="1"/>
      <name val="Calibri"/>
      <family val="2"/>
    </font>
  </fonts>
  <fills count="27">
    <fill>
      <patternFill patternType="none"/>
    </fill>
    <fill>
      <patternFill patternType="gray125"/>
    </fill>
    <fill>
      <patternFill patternType="solid">
        <fgColor rgb="FF134F5C"/>
        <bgColor rgb="FF134F5C"/>
      </patternFill>
    </fill>
    <fill>
      <patternFill patternType="solid">
        <fgColor rgb="FFFF9900"/>
        <bgColor rgb="FFFF9900"/>
      </patternFill>
    </fill>
    <fill>
      <patternFill patternType="solid">
        <fgColor rgb="FF7B7B7B"/>
        <bgColor rgb="FF7B7B7B"/>
      </patternFill>
    </fill>
    <fill>
      <patternFill patternType="solid">
        <fgColor rgb="FF00B050"/>
        <bgColor indexed="64"/>
      </patternFill>
    </fill>
    <fill>
      <patternFill patternType="solid">
        <fgColor theme="4"/>
        <bgColor rgb="FFFF9900"/>
      </patternFill>
    </fill>
    <fill>
      <patternFill patternType="solid">
        <fgColor theme="4"/>
        <bgColor indexed="64"/>
      </patternFill>
    </fill>
    <fill>
      <patternFill patternType="solid">
        <fgColor theme="4"/>
        <bgColor rgb="FF7B7B7B"/>
      </patternFill>
    </fill>
    <fill>
      <patternFill patternType="solid">
        <fgColor theme="4" tint="-0.499984740745262"/>
        <bgColor indexed="64"/>
      </patternFill>
    </fill>
    <fill>
      <patternFill patternType="solid">
        <fgColor rgb="FF079B00"/>
        <bgColor indexed="64"/>
      </patternFill>
    </fill>
    <fill>
      <patternFill patternType="solid">
        <fgColor rgb="FF5CD856"/>
        <bgColor indexed="64"/>
      </patternFill>
    </fill>
    <fill>
      <patternFill patternType="solid">
        <fgColor rgb="FFDB9D9D"/>
        <bgColor indexed="64"/>
      </patternFill>
    </fill>
    <fill>
      <patternFill patternType="solid">
        <fgColor rgb="FFABE5A8"/>
        <bgColor indexed="64"/>
      </patternFill>
    </fill>
    <fill>
      <patternFill patternType="solid">
        <fgColor rgb="FFE70B0B"/>
        <bgColor indexed="64"/>
      </patternFill>
    </fill>
    <fill>
      <patternFill patternType="solid">
        <fgColor rgb="FFD0E0E3"/>
        <bgColor rgb="FFD0E0E3"/>
      </patternFill>
    </fill>
    <fill>
      <patternFill patternType="solid">
        <fgColor rgb="FFF4CCCC"/>
        <bgColor rgb="FFF4CCCC"/>
      </patternFill>
    </fill>
    <fill>
      <patternFill patternType="solid">
        <fgColor rgb="FFD9D2E9"/>
        <bgColor rgb="FFD9D2E9"/>
      </patternFill>
    </fill>
    <fill>
      <patternFill patternType="solid">
        <fgColor rgb="FFD9D9D9"/>
        <bgColor rgb="FFD9D9D9"/>
      </patternFill>
    </fill>
    <fill>
      <patternFill patternType="solid">
        <fgColor theme="4"/>
        <bgColor theme="4"/>
      </patternFill>
    </fill>
    <fill>
      <patternFill patternType="solid">
        <fgColor rgb="FFCC0000"/>
        <bgColor rgb="FFCC0000"/>
      </patternFill>
    </fill>
    <fill>
      <patternFill patternType="solid">
        <fgColor rgb="FF981D97"/>
        <bgColor rgb="FF981D97"/>
      </patternFill>
    </fill>
    <fill>
      <patternFill patternType="solid">
        <fgColor theme="5" tint="-0.249977111117893"/>
        <bgColor indexed="64"/>
      </patternFill>
    </fill>
    <fill>
      <patternFill patternType="solid">
        <fgColor theme="8"/>
        <bgColor rgb="FFFF9900"/>
      </patternFill>
    </fill>
    <fill>
      <patternFill patternType="solid">
        <fgColor theme="8"/>
        <bgColor rgb="FF7B7B7B"/>
      </patternFill>
    </fill>
    <fill>
      <patternFill patternType="solid">
        <fgColor theme="7"/>
        <bgColor indexed="64"/>
      </patternFill>
    </fill>
    <fill>
      <patternFill patternType="solid">
        <fgColor rgb="FFC00000"/>
        <bgColor rgb="FF7B7B7B"/>
      </patternFill>
    </fill>
  </fills>
  <borders count="12">
    <border>
      <left/>
      <right/>
      <top/>
      <bottom/>
      <diagonal/>
    </border>
    <border>
      <left style="thin">
        <color indexed="64"/>
      </left>
      <right style="thin">
        <color indexed="64"/>
      </right>
      <top style="thin">
        <color indexed="64"/>
      </top>
      <bottom style="thin">
        <color indexed="64"/>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indexed="64"/>
      </right>
      <top/>
      <bottom style="thin">
        <color indexed="64"/>
      </bottom>
      <diagonal/>
    </border>
    <border>
      <left/>
      <right style="thin">
        <color rgb="FF000000"/>
      </right>
      <top style="thin">
        <color rgb="FF000000"/>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rgb="FFFFFFFF"/>
      </right>
      <top/>
      <bottom/>
      <diagonal/>
    </border>
    <border>
      <left style="thin">
        <color rgb="FFFFFFFF"/>
      </left>
      <right style="thin">
        <color rgb="FFFFFFFF"/>
      </right>
      <top/>
      <bottom/>
      <diagonal/>
    </border>
    <border>
      <left style="thin">
        <color rgb="FFFFFFFF"/>
      </left>
      <right/>
      <top/>
      <bottom/>
      <diagonal/>
    </border>
  </borders>
  <cellStyleXfs count="2">
    <xf numFmtId="0" fontId="0" fillId="0" borderId="0"/>
    <xf numFmtId="0" fontId="6" fillId="0" borderId="0" applyNumberFormat="0" applyFill="0" applyBorder="0" applyAlignment="0" applyProtection="0"/>
  </cellStyleXfs>
  <cellXfs count="96">
    <xf numFmtId="0" fontId="0" fillId="0" borderId="0" xfId="0"/>
    <xf numFmtId="0" fontId="2" fillId="2" borderId="1" xfId="0" applyFont="1" applyFill="1" applyBorder="1"/>
    <xf numFmtId="0" fontId="2" fillId="2" borderId="1" xfId="0" applyFont="1" applyFill="1" applyBorder="1" applyAlignment="1">
      <alignment horizontal="center" vertical="center"/>
    </xf>
    <xf numFmtId="0" fontId="3" fillId="2" borderId="2" xfId="0" applyFont="1" applyFill="1" applyBorder="1" applyAlignment="1">
      <alignment horizontal="center"/>
    </xf>
    <xf numFmtId="0" fontId="4" fillId="3" borderId="2" xfId="0" applyFont="1" applyFill="1" applyBorder="1" applyAlignment="1">
      <alignment horizontal="center"/>
    </xf>
    <xf numFmtId="0" fontId="3" fillId="4" borderId="2" xfId="0" applyFont="1" applyFill="1" applyBorder="1" applyAlignment="1">
      <alignment horizontal="center"/>
    </xf>
    <xf numFmtId="0" fontId="0" fillId="0" borderId="1" xfId="0" applyBorder="1"/>
    <xf numFmtId="0" fontId="5" fillId="0" borderId="1" xfId="0" applyFont="1" applyBorder="1"/>
    <xf numFmtId="0" fontId="5" fillId="0" borderId="1" xfId="0" applyFont="1" applyBorder="1" applyAlignment="1">
      <alignment horizontal="center" vertical="center"/>
    </xf>
    <xf numFmtId="0" fontId="5" fillId="5" borderId="1" xfId="0" applyFont="1" applyFill="1" applyBorder="1"/>
    <xf numFmtId="0" fontId="3" fillId="2" borderId="1" xfId="0" applyFont="1" applyFill="1" applyBorder="1" applyAlignment="1">
      <alignment horizontal="center"/>
    </xf>
    <xf numFmtId="0" fontId="4" fillId="3" borderId="1" xfId="0" applyFont="1" applyFill="1" applyBorder="1" applyAlignment="1">
      <alignment horizontal="center"/>
    </xf>
    <xf numFmtId="0" fontId="3" fillId="4" borderId="1" xfId="0" applyFont="1" applyFill="1" applyBorder="1" applyAlignment="1">
      <alignment horizontal="center"/>
    </xf>
    <xf numFmtId="0" fontId="0" fillId="5" borderId="1" xfId="0" applyFill="1" applyBorder="1"/>
    <xf numFmtId="164" fontId="0" fillId="0" borderId="1" xfId="0" applyNumberFormat="1" applyBorder="1"/>
    <xf numFmtId="2" fontId="0" fillId="0" borderId="1" xfId="0" applyNumberFormat="1" applyBorder="1"/>
    <xf numFmtId="2" fontId="0" fillId="0" borderId="1" xfId="0" applyNumberFormat="1" applyFill="1" applyBorder="1"/>
    <xf numFmtId="0" fontId="3" fillId="4" borderId="5" xfId="0" applyFont="1" applyFill="1" applyBorder="1" applyAlignment="1">
      <alignment horizontal="center"/>
    </xf>
    <xf numFmtId="0" fontId="4" fillId="3" borderId="5" xfId="0" applyFont="1" applyFill="1" applyBorder="1" applyAlignment="1">
      <alignment horizontal="center"/>
    </xf>
    <xf numFmtId="0" fontId="5" fillId="0" borderId="6" xfId="0" applyFont="1" applyBorder="1"/>
    <xf numFmtId="0" fontId="5" fillId="0" borderId="1" xfId="0" applyFont="1" applyFill="1" applyBorder="1"/>
    <xf numFmtId="0" fontId="2" fillId="2" borderId="6" xfId="0" applyFont="1" applyFill="1" applyBorder="1" applyAlignment="1">
      <alignment horizontal="center" vertical="center"/>
    </xf>
    <xf numFmtId="0" fontId="3" fillId="2" borderId="6" xfId="0" applyFont="1" applyFill="1" applyBorder="1" applyAlignment="1">
      <alignment horizontal="center"/>
    </xf>
    <xf numFmtId="0" fontId="3" fillId="4" borderId="6" xfId="0" applyFont="1" applyFill="1" applyBorder="1" applyAlignment="1">
      <alignment horizontal="center"/>
    </xf>
    <xf numFmtId="0" fontId="4" fillId="6" borderId="1" xfId="0" applyFont="1" applyFill="1" applyBorder="1" applyAlignment="1">
      <alignment horizontal="center"/>
    </xf>
    <xf numFmtId="0" fontId="4" fillId="6" borderId="6" xfId="0" applyFont="1" applyFill="1" applyBorder="1" applyAlignment="1">
      <alignment horizontal="center"/>
    </xf>
    <xf numFmtId="0" fontId="4" fillId="6" borderId="5" xfId="0" applyFont="1" applyFill="1" applyBorder="1" applyAlignment="1">
      <alignment horizontal="center"/>
    </xf>
    <xf numFmtId="0" fontId="7" fillId="7" borderId="1" xfId="0" applyFont="1" applyFill="1" applyBorder="1" applyAlignment="1">
      <alignment horizontal="center"/>
    </xf>
    <xf numFmtId="0" fontId="8" fillId="8" borderId="1" xfId="0" applyFont="1" applyFill="1" applyBorder="1" applyAlignment="1">
      <alignment horizontal="center"/>
    </xf>
    <xf numFmtId="0" fontId="3" fillId="8" borderId="1" xfId="0" applyFont="1" applyFill="1" applyBorder="1" applyAlignment="1">
      <alignment horizontal="center"/>
    </xf>
    <xf numFmtId="0" fontId="1" fillId="9" borderId="1" xfId="0" applyFont="1" applyFill="1" applyBorder="1"/>
    <xf numFmtId="2" fontId="5" fillId="0" borderId="1" xfId="0" applyNumberFormat="1" applyFont="1" applyBorder="1" applyAlignment="1">
      <alignment horizontal="center" vertical="center"/>
    </xf>
    <xf numFmtId="0" fontId="9" fillId="7" borderId="1" xfId="0" applyFont="1" applyFill="1" applyBorder="1"/>
    <xf numFmtId="0" fontId="1" fillId="9" borderId="7" xfId="0" applyFont="1" applyFill="1" applyBorder="1"/>
    <xf numFmtId="0" fontId="9" fillId="7" borderId="7" xfId="0" applyFont="1" applyFill="1" applyBorder="1"/>
    <xf numFmtId="0" fontId="4" fillId="6" borderId="7" xfId="0" applyFont="1" applyFill="1" applyBorder="1" applyAlignment="1">
      <alignment horizontal="center"/>
    </xf>
    <xf numFmtId="0" fontId="3" fillId="4" borderId="7" xfId="0" applyFont="1" applyFill="1" applyBorder="1" applyAlignment="1">
      <alignment horizontal="center"/>
    </xf>
    <xf numFmtId="0" fontId="7" fillId="7" borderId="7" xfId="0" applyFont="1" applyFill="1" applyBorder="1" applyAlignment="1">
      <alignment horizontal="center"/>
    </xf>
    <xf numFmtId="0" fontId="8" fillId="8" borderId="7" xfId="0" applyFont="1" applyFill="1" applyBorder="1" applyAlignment="1">
      <alignment horizontal="center"/>
    </xf>
    <xf numFmtId="0" fontId="3" fillId="8" borderId="7" xfId="0" applyFont="1" applyFill="1" applyBorder="1" applyAlignment="1">
      <alignment horizontal="center"/>
    </xf>
    <xf numFmtId="0" fontId="9" fillId="0" borderId="0" xfId="0" applyFont="1" applyFill="1" applyBorder="1"/>
    <xf numFmtId="0" fontId="4" fillId="0" borderId="0" xfId="0" applyFont="1" applyFill="1" applyBorder="1" applyAlignment="1">
      <alignment horizontal="center"/>
    </xf>
    <xf numFmtId="0" fontId="3" fillId="0" borderId="0" xfId="0" applyFont="1" applyFill="1" applyBorder="1" applyAlignment="1">
      <alignment horizontal="center"/>
    </xf>
    <xf numFmtId="0" fontId="7" fillId="0" borderId="0" xfId="0" applyFont="1" applyFill="1" applyBorder="1" applyAlignment="1">
      <alignment horizontal="center"/>
    </xf>
    <xf numFmtId="0" fontId="8" fillId="0" borderId="0" xfId="0" applyFont="1" applyFill="1" applyBorder="1" applyAlignment="1">
      <alignment horizontal="center"/>
    </xf>
    <xf numFmtId="0" fontId="0" fillId="0" borderId="0" xfId="0" applyFill="1" applyBorder="1"/>
    <xf numFmtId="0" fontId="5" fillId="0" borderId="0" xfId="0" applyFont="1" applyFill="1" applyBorder="1" applyAlignment="1">
      <alignment horizontal="center" vertical="center"/>
    </xf>
    <xf numFmtId="0" fontId="0" fillId="0" borderId="0" xfId="0" applyFont="1" applyFill="1" applyBorder="1"/>
    <xf numFmtId="0" fontId="4" fillId="3" borderId="8" xfId="0" applyFont="1" applyFill="1" applyBorder="1" applyAlignment="1">
      <alignment horizontal="center"/>
    </xf>
    <xf numFmtId="0" fontId="3" fillId="4" borderId="8" xfId="0" applyFont="1" applyFill="1" applyBorder="1" applyAlignment="1">
      <alignment horizontal="center"/>
    </xf>
    <xf numFmtId="0" fontId="10" fillId="0" borderId="7" xfId="0" applyFont="1" applyBorder="1"/>
    <xf numFmtId="164" fontId="10" fillId="0" borderId="4" xfId="0" applyNumberFormat="1" applyFont="1" applyBorder="1"/>
    <xf numFmtId="0" fontId="12" fillId="0" borderId="0" xfId="0" applyFont="1" applyAlignment="1">
      <alignment vertical="center" wrapText="1"/>
    </xf>
    <xf numFmtId="0" fontId="13" fillId="0" borderId="0" xfId="0" applyFont="1" applyAlignment="1">
      <alignment vertical="center" wrapText="1"/>
    </xf>
    <xf numFmtId="0" fontId="14" fillId="0" borderId="3" xfId="0" applyFont="1" applyBorder="1" applyAlignment="1">
      <alignment horizontal="left" vertical="center" wrapText="1"/>
    </xf>
    <xf numFmtId="0" fontId="6" fillId="0" borderId="3" xfId="1" applyBorder="1" applyAlignment="1">
      <alignment horizontal="left" vertical="center" wrapText="1"/>
    </xf>
    <xf numFmtId="0" fontId="12" fillId="0" borderId="3" xfId="0" applyFont="1" applyBorder="1" applyAlignment="1">
      <alignment vertical="center" wrapText="1"/>
    </xf>
    <xf numFmtId="0" fontId="12" fillId="10" borderId="3" xfId="0" applyFont="1" applyFill="1" applyBorder="1" applyAlignment="1">
      <alignment vertical="center" wrapText="1"/>
    </xf>
    <xf numFmtId="0" fontId="12" fillId="11" borderId="3" xfId="0" applyFont="1" applyFill="1" applyBorder="1" applyAlignment="1">
      <alignment vertical="center" wrapText="1"/>
    </xf>
    <xf numFmtId="0" fontId="12" fillId="12" borderId="3" xfId="0" applyFont="1" applyFill="1" applyBorder="1" applyAlignment="1">
      <alignment vertical="center" wrapText="1"/>
    </xf>
    <xf numFmtId="0" fontId="12" fillId="13" borderId="3" xfId="0" applyFont="1" applyFill="1" applyBorder="1" applyAlignment="1">
      <alignment vertical="center" wrapText="1"/>
    </xf>
    <xf numFmtId="0" fontId="12" fillId="14" borderId="3" xfId="0" applyFont="1" applyFill="1" applyBorder="1" applyAlignment="1">
      <alignment vertical="center" wrapText="1"/>
    </xf>
    <xf numFmtId="0" fontId="14" fillId="0" borderId="3" xfId="0" applyFont="1" applyBorder="1" applyAlignment="1">
      <alignment vertical="center" wrapText="1"/>
    </xf>
    <xf numFmtId="0" fontId="16" fillId="0" borderId="0" xfId="0" applyFont="1" applyAlignment="1">
      <alignment horizontal="center"/>
    </xf>
    <xf numFmtId="0" fontId="0" fillId="0" borderId="0" xfId="0"/>
    <xf numFmtId="0" fontId="18" fillId="0" borderId="0" xfId="0" applyFont="1" applyAlignment="1">
      <alignment horizontal="center"/>
    </xf>
    <xf numFmtId="0" fontId="18" fillId="19" borderId="9" xfId="0" applyFont="1" applyFill="1" applyBorder="1" applyAlignment="1">
      <alignment horizontal="center"/>
    </xf>
    <xf numFmtId="0" fontId="18" fillId="19" borderId="10" xfId="0" applyFont="1" applyFill="1" applyBorder="1" applyAlignment="1">
      <alignment horizontal="center"/>
    </xf>
    <xf numFmtId="0" fontId="18" fillId="20" borderId="10" xfId="0" applyFont="1" applyFill="1" applyBorder="1" applyAlignment="1">
      <alignment horizontal="center"/>
    </xf>
    <xf numFmtId="0" fontId="18" fillId="21" borderId="10" xfId="0" applyFont="1" applyFill="1" applyBorder="1" applyAlignment="1">
      <alignment horizontal="center"/>
    </xf>
    <xf numFmtId="0" fontId="17" fillId="18" borderId="10" xfId="0" applyFont="1" applyFill="1" applyBorder="1" applyAlignment="1">
      <alignment horizontal="center"/>
    </xf>
    <xf numFmtId="0" fontId="17" fillId="18" borderId="11" xfId="0" applyFont="1" applyFill="1" applyBorder="1" applyAlignment="1">
      <alignment horizontal="center"/>
    </xf>
    <xf numFmtId="166" fontId="17" fillId="0" borderId="0" xfId="0" applyNumberFormat="1" applyFont="1" applyAlignment="1">
      <alignment horizontal="center"/>
    </xf>
    <xf numFmtId="166" fontId="17" fillId="15" borderId="0" xfId="0" applyNumberFormat="1" applyFont="1" applyFill="1" applyAlignment="1">
      <alignment horizontal="center"/>
    </xf>
    <xf numFmtId="166" fontId="17" fillId="16" borderId="0" xfId="0" applyNumberFormat="1" applyFont="1" applyFill="1" applyAlignment="1">
      <alignment horizontal="center"/>
    </xf>
    <xf numFmtId="167" fontId="17" fillId="16" borderId="0" xfId="0" applyNumberFormat="1" applyFont="1" applyFill="1" applyAlignment="1">
      <alignment horizontal="center"/>
    </xf>
    <xf numFmtId="166" fontId="17" fillId="17" borderId="0" xfId="0" applyNumberFormat="1" applyFont="1" applyFill="1" applyAlignment="1">
      <alignment horizontal="center"/>
    </xf>
    <xf numFmtId="167" fontId="17" fillId="17" borderId="0" xfId="0" applyNumberFormat="1" applyFont="1" applyFill="1" applyAlignment="1">
      <alignment horizontal="center"/>
    </xf>
    <xf numFmtId="167" fontId="17" fillId="0" borderId="0" xfId="0" applyNumberFormat="1" applyFont="1" applyAlignment="1">
      <alignment horizontal="center"/>
    </xf>
    <xf numFmtId="0" fontId="17" fillId="0" borderId="0" xfId="0" applyFont="1" applyAlignment="1">
      <alignment horizontal="right"/>
    </xf>
    <xf numFmtId="0" fontId="19" fillId="15" borderId="0" xfId="0" applyFont="1" applyFill="1" applyAlignment="1">
      <alignment horizontal="center"/>
    </xf>
    <xf numFmtId="0" fontId="19" fillId="16" borderId="0" xfId="0" applyFont="1" applyFill="1" applyAlignment="1">
      <alignment horizontal="center"/>
    </xf>
    <xf numFmtId="0" fontId="19" fillId="17" borderId="0" xfId="0" applyFont="1" applyFill="1" applyAlignment="1">
      <alignment horizontal="center"/>
    </xf>
    <xf numFmtId="0" fontId="19" fillId="0" borderId="0" xfId="0" applyFont="1" applyAlignment="1">
      <alignment horizontal="center"/>
    </xf>
    <xf numFmtId="0" fontId="4" fillId="23" borderId="1" xfId="0" applyFont="1" applyFill="1" applyBorder="1" applyAlignment="1">
      <alignment horizontal="center"/>
    </xf>
    <xf numFmtId="0" fontId="3" fillId="24" borderId="1" xfId="0" applyFont="1" applyFill="1" applyBorder="1" applyAlignment="1">
      <alignment horizontal="center"/>
    </xf>
    <xf numFmtId="168" fontId="0" fillId="0" borderId="1" xfId="0" applyNumberFormat="1" applyBorder="1"/>
    <xf numFmtId="0" fontId="11" fillId="22" borderId="1" xfId="0" applyFont="1" applyFill="1" applyBorder="1"/>
    <xf numFmtId="0" fontId="17" fillId="18" borderId="0" xfId="0" applyFont="1" applyFill="1" applyAlignment="1">
      <alignment horizontal="center"/>
    </xf>
    <xf numFmtId="0" fontId="0" fillId="0" borderId="0" xfId="0"/>
    <xf numFmtId="0" fontId="16" fillId="16" borderId="0" xfId="0" applyFont="1" applyFill="1" applyAlignment="1">
      <alignment horizontal="center"/>
    </xf>
    <xf numFmtId="0" fontId="16" fillId="15" borderId="0" xfId="0" applyFont="1" applyFill="1" applyAlignment="1">
      <alignment horizontal="center"/>
    </xf>
    <xf numFmtId="0" fontId="16" fillId="17" borderId="0" xfId="0" applyFont="1" applyFill="1" applyAlignment="1">
      <alignment horizontal="center"/>
    </xf>
    <xf numFmtId="0" fontId="0" fillId="25" borderId="0" xfId="0" applyFill="1"/>
    <xf numFmtId="0" fontId="3" fillId="26" borderId="1" xfId="0" applyFont="1" applyFill="1" applyBorder="1" applyAlignment="1">
      <alignment horizontal="center"/>
    </xf>
    <xf numFmtId="1" fontId="0" fillId="0" borderId="1" xfId="0" applyNumberFormat="1"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projections.iqy" refreshOnLoad="1" preserveFormatting="0" connectionId="1" xr16:uid="{2445678B-D55B-7640-9F15-2F321EB2BEB4}"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5.xml.rels><?xml version="1.0" encoding="UTF-8" standalone="yes"?>
<Relationships xmlns="http://schemas.openxmlformats.org/package/2006/relationships"><Relationship Id="rId8" Type="http://schemas.openxmlformats.org/officeDocument/2006/relationships/hyperlink" Target="javascript:__doPostBack('ctl00$ContentPlaceHolder1$GridView1','Sort$tgm')" TargetMode="External"/><Relationship Id="rId13" Type="http://schemas.openxmlformats.org/officeDocument/2006/relationships/hyperlink" Target="javascript:__doPostBack('ctl00$ContentPlaceHolder1$GridView1','Sort$blk')" TargetMode="External"/><Relationship Id="rId3" Type="http://schemas.openxmlformats.org/officeDocument/2006/relationships/hyperlink" Target="javascript:__doPostBack('ctl00$ContentPlaceHolder1$GridView1','Sort$tsum')" TargetMode="External"/><Relationship Id="rId7" Type="http://schemas.openxmlformats.org/officeDocument/2006/relationships/hyperlink" Target="javascript:__doPostBack('ctl00$ContentPlaceHolder1$GridView1','Sort$ftp')" TargetMode="External"/><Relationship Id="rId12" Type="http://schemas.openxmlformats.org/officeDocument/2006/relationships/hyperlink" Target="javascript:__doPostBack('ctl00$ContentPlaceHolder1$GridView1','Sort$stl')" TargetMode="External"/><Relationship Id="rId2" Type="http://schemas.openxmlformats.org/officeDocument/2006/relationships/hyperlink" Target="javascript:__doPostBack('ctl00$ContentPlaceHolder1$GridView1','Sort$posm')" TargetMode="External"/><Relationship Id="rId16" Type="http://schemas.openxmlformats.org/officeDocument/2006/relationships/queryTable" Target="../queryTables/queryTable1.xml"/><Relationship Id="rId1" Type="http://schemas.openxmlformats.org/officeDocument/2006/relationships/hyperlink" Target="javascript:__doPostBack('ctl00$ContentPlaceHolder1$GridView1','Sort$NAME')" TargetMode="External"/><Relationship Id="rId6" Type="http://schemas.openxmlformats.org/officeDocument/2006/relationships/hyperlink" Target="javascript:__doPostBack('ctl00$ContentPlaceHolder1$GridView1','Sort$fgp')" TargetMode="External"/><Relationship Id="rId11" Type="http://schemas.openxmlformats.org/officeDocument/2006/relationships/hyperlink" Target="javascript:__doPostBack('ctl00$ContentPlaceHolder1$GridView1','Sort$ast')" TargetMode="External"/><Relationship Id="rId5" Type="http://schemas.openxmlformats.org/officeDocument/2006/relationships/hyperlink" Target="javascript:__doPostBack('ctl00$ContentPlaceHolder1$GridView1','Sort$MPG')" TargetMode="External"/><Relationship Id="rId15" Type="http://schemas.openxmlformats.org/officeDocument/2006/relationships/hyperlink" Target="javascript:__doPostBack('ctl00$ContentPlaceHolder1$GridView1','Sort$totalz')" TargetMode="External"/><Relationship Id="rId10" Type="http://schemas.openxmlformats.org/officeDocument/2006/relationships/hyperlink" Target="javascript:__doPostBack('ctl00$ContentPlaceHolder1$GridView1','Sort$reb')" TargetMode="External"/><Relationship Id="rId4" Type="http://schemas.openxmlformats.org/officeDocument/2006/relationships/hyperlink" Target="javascript:__doPostBack('ctl00$ContentPlaceHolder1$GridView1','Sort$GP')" TargetMode="External"/><Relationship Id="rId9" Type="http://schemas.openxmlformats.org/officeDocument/2006/relationships/hyperlink" Target="javascript:__doPostBack('ctl00$ContentPlaceHolder1$GridView1','Sort$pts')" TargetMode="External"/><Relationship Id="rId14" Type="http://schemas.openxmlformats.org/officeDocument/2006/relationships/hyperlink" Target="javascript:__doPostBack('ctl00$ContentPlaceHolder1$GridView1','Sort$tu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3BA57F-CAAA-794C-8246-A370DA75DCF9}">
  <sheetPr codeName="Sheet23"/>
  <dimension ref="A1:Y220"/>
  <sheetViews>
    <sheetView topLeftCell="A94" workbookViewId="0">
      <selection activeCell="A2" sqref="A2"/>
    </sheetView>
  </sheetViews>
  <sheetFormatPr baseColWidth="10" defaultRowHeight="16"/>
  <cols>
    <col min="1" max="1" width="19.33203125" customWidth="1"/>
  </cols>
  <sheetData>
    <row r="1" spans="1:25">
      <c r="A1" s="1" t="s">
        <v>0</v>
      </c>
      <c r="B1" s="2" t="s">
        <v>1</v>
      </c>
      <c r="C1" s="3" t="s">
        <v>155</v>
      </c>
      <c r="D1" s="4" t="s">
        <v>3</v>
      </c>
      <c r="E1" s="4" t="s">
        <v>4</v>
      </c>
      <c r="F1" s="4" t="s">
        <v>5</v>
      </c>
      <c r="G1" s="4" t="s">
        <v>6</v>
      </c>
      <c r="H1" s="4" t="s">
        <v>7</v>
      </c>
      <c r="I1" s="4" t="s">
        <v>8</v>
      </c>
      <c r="J1" s="4" t="s">
        <v>9</v>
      </c>
      <c r="K1" s="4" t="s">
        <v>10</v>
      </c>
      <c r="L1" s="4" t="s">
        <v>11</v>
      </c>
      <c r="M1" s="5" t="s">
        <v>12</v>
      </c>
      <c r="N1" s="5" t="s">
        <v>13</v>
      </c>
      <c r="O1" s="5" t="s">
        <v>126</v>
      </c>
      <c r="P1" s="5" t="s">
        <v>127</v>
      </c>
      <c r="Q1" s="27" t="s">
        <v>144</v>
      </c>
      <c r="R1" s="28" t="s">
        <v>145</v>
      </c>
      <c r="S1" s="29" t="s">
        <v>146</v>
      </c>
      <c r="T1" s="29" t="s">
        <v>147</v>
      </c>
      <c r="U1" s="29" t="s">
        <v>148</v>
      </c>
      <c r="V1" s="29" t="s">
        <v>149</v>
      </c>
      <c r="W1" s="29" t="s">
        <v>150</v>
      </c>
      <c r="X1" s="29" t="s">
        <v>151</v>
      </c>
      <c r="Y1" s="29" t="s">
        <v>152</v>
      </c>
    </row>
    <row r="2" spans="1:25">
      <c r="A2" s="64" t="str">
        <f>IF((LEN('Bball ref'!B8)-LEN(SUBSTITUTE('Bball ref'!B8," ","")))&lt;2,'Bball ref'!B8,LEFT('Bball ref'!B8,FIND(" ",'Bball ref'!B8,FIND(" ",'Bball ref'!B8)+1)-1))</f>
        <v>Anthony Davis</v>
      </c>
      <c r="B2" s="64">
        <f>'Bball ref'!A8</f>
        <v>1</v>
      </c>
      <c r="C2" s="64">
        <f>'Bball ref'!E8</f>
        <v>74</v>
      </c>
      <c r="D2" s="64">
        <f>VALUE(LEFT('Bball ref'!G8,FIND("(",'Bball ref'!G8)-1))</f>
        <v>0.52</v>
      </c>
      <c r="E2" s="64">
        <f>VALUE(LEFT('Bball ref'!H8,(FIND("(",'Bball ref'!H8)-1)))</f>
        <v>0.81</v>
      </c>
      <c r="F2" s="64">
        <f>'Bball ref'!I8</f>
        <v>1</v>
      </c>
      <c r="G2" s="64">
        <f>'Bball ref'!K8</f>
        <v>11.3</v>
      </c>
      <c r="H2" s="64">
        <f>'Bball ref'!L8</f>
        <v>3.5</v>
      </c>
      <c r="I2" s="64">
        <f>'Bball ref'!M8</f>
        <v>1.7</v>
      </c>
      <c r="J2" s="64">
        <f>'Bball ref'!N8</f>
        <v>2.6</v>
      </c>
      <c r="K2" s="64">
        <f>'Bball ref'!O8</f>
        <v>2.2000000000000002</v>
      </c>
      <c r="L2" s="64">
        <f>'Bball ref'!J8</f>
        <v>27.7</v>
      </c>
      <c r="M2" s="64">
        <f>VALUE(MID('Bball ref'!G8,FIND("(",'Bball ref'!G8)+1,FIND("/",'Bball ref'!G8)-FIND("(",'Bball ref'!G8)-1))</f>
        <v>10</v>
      </c>
      <c r="N2" s="64">
        <f>VALUE(MID('Bball ref'!G8,FIND("/",'Bball ref'!G8)+1,FIND(")",'Bball ref'!G8)-FIND("/",'Bball ref'!G8)-1))</f>
        <v>19.3</v>
      </c>
      <c r="O2" s="64">
        <f>VALUE(MID('Bball ref'!H8,FIND("(",'Bball ref'!H8)+1,FIND("/",'Bball ref'!H8)-FIND("(",'Bball ref'!H8)-1))</f>
        <v>6.6</v>
      </c>
      <c r="P2" s="64">
        <f>VALUE(MID('Bball ref'!H8,FIND("/",'Bball ref'!H8)+1,FIND(")",'Bball ref'!H8)-FIND("/",'Bball ref'!H8)-1))</f>
        <v>8.1</v>
      </c>
      <c r="Q2" s="64">
        <f>(D2-Math!B$14)/Math!B$15</f>
        <v>0.78838281718936221</v>
      </c>
      <c r="R2" s="64">
        <f>(E2-Math!C$14)/Math!C$15</f>
        <v>0.36109665445982869</v>
      </c>
      <c r="S2" s="64">
        <f>(F2-Math!D$14)/Math!D$15</f>
        <v>-0.49197202211553048</v>
      </c>
      <c r="T2" s="64">
        <f>(G2-Math!E$14)/Math!E$15</f>
        <v>2.0681573324052156</v>
      </c>
      <c r="U2" s="64">
        <f>(H2-Math!F$14)/Math!F$15</f>
        <v>0.10809893131720544</v>
      </c>
      <c r="V2" s="64">
        <f>(I2-Math!G$14)/Math!G$15</f>
        <v>1.9260027275030867</v>
      </c>
      <c r="W2" s="64">
        <f>(J2-Math!H$14)/Math!H$15</f>
        <v>3.513815373871997</v>
      </c>
      <c r="X2" s="64">
        <f>(-1)*(K2-Math!I$14)/Math!I$15</f>
        <v>-0.60167834306932821</v>
      </c>
      <c r="Y2" s="64">
        <f>(L2-Math!J$14)/Math!J$15</f>
        <v>2.4956261968111471</v>
      </c>
    </row>
    <row r="3" spans="1:25">
      <c r="A3" s="64" t="str">
        <f>IF((LEN('Bball ref'!B9)-LEN(SUBSTITUTE('Bball ref'!B9," ","")))&lt;2,'Bball ref'!B9,LEFT('Bball ref'!B9,FIND(" ",'Bball ref'!B9,FIND(" ",'Bball ref'!B9)+1)-1))</f>
        <v>James Harden</v>
      </c>
      <c r="B3" s="64">
        <f>'Bball ref'!A9</f>
        <v>2</v>
      </c>
      <c r="C3" s="64">
        <f>'Bball ref'!E9</f>
        <v>78</v>
      </c>
      <c r="D3" s="64">
        <f>VALUE(LEFT('Bball ref'!G9,FIND("(",'Bball ref'!G9)-1))</f>
        <v>0.45</v>
      </c>
      <c r="E3" s="64">
        <f>VALUE(LEFT('Bball ref'!H9,(FIND("(",'Bball ref'!H9)-1)))</f>
        <v>0.87</v>
      </c>
      <c r="F3" s="64">
        <f>'Bball ref'!I9</f>
        <v>3.9</v>
      </c>
      <c r="G3" s="64">
        <f>'Bball ref'!K9</f>
        <v>5.6</v>
      </c>
      <c r="H3" s="64">
        <f>'Bball ref'!L9</f>
        <v>6.8</v>
      </c>
      <c r="I3" s="64">
        <f>'Bball ref'!M9</f>
        <v>2.1</v>
      </c>
      <c r="J3" s="64">
        <f>'Bball ref'!N9</f>
        <v>0.7</v>
      </c>
      <c r="K3" s="64">
        <f>'Bball ref'!O9</f>
        <v>4.4000000000000004</v>
      </c>
      <c r="L3" s="64">
        <f>'Bball ref'!J9</f>
        <v>31.7</v>
      </c>
      <c r="M3" s="64">
        <f>VALUE(MID('Bball ref'!G9,FIND("(",'Bball ref'!G9)+1,FIND("/",'Bball ref'!G9)-FIND("(",'Bball ref'!G9)-1))</f>
        <v>9.4</v>
      </c>
      <c r="N3" s="64">
        <f>VALUE(MID('Bball ref'!G9,FIND("/",'Bball ref'!G9)+1,FIND(")",'Bball ref'!G9)-FIND("/",'Bball ref'!G9)-1))</f>
        <v>21.1</v>
      </c>
      <c r="O3" s="64">
        <f>VALUE(MID('Bball ref'!H9,FIND("(",'Bball ref'!H9)+1,FIND("/",'Bball ref'!H9)-FIND("(",'Bball ref'!H9)-1))</f>
        <v>8.9</v>
      </c>
      <c r="P3" s="64">
        <f>VALUE(MID('Bball ref'!H9,FIND("/",'Bball ref'!H9)+1,FIND(")",'Bball ref'!H9)-FIND("/",'Bball ref'!H9)-1))</f>
        <v>10.199999999999999</v>
      </c>
      <c r="Q3" s="64">
        <f>(D3-Math!B$14)/Math!B$15</f>
        <v>-0.50556318992096039</v>
      </c>
      <c r="R3" s="64">
        <f>(E3-Math!C$14)/Math!C$15</f>
        <v>1.0881368983386766</v>
      </c>
      <c r="S3" s="64">
        <f>(F3-Math!D$14)/Math!D$15</f>
        <v>2.6367974167770991</v>
      </c>
      <c r="T3" s="64">
        <f>(G3-Math!E$14)/Math!E$15</f>
        <v>-9.6657063831995502E-2</v>
      </c>
      <c r="U3" s="64">
        <f>(H3-Math!F$14)/Math!F$15</f>
        <v>1.7634421951073647</v>
      </c>
      <c r="V3" s="64">
        <f>(I3-Math!G$14)/Math!G$15</f>
        <v>2.9813466877787511</v>
      </c>
      <c r="W3" s="64">
        <f>(J3-Math!H$14)/Math!H$15</f>
        <v>1.6565918472943714E-2</v>
      </c>
      <c r="X3" s="64">
        <f>(-1)*(K3-Math!I$14)/Math!I$15</f>
        <v>-3.5530548308118477</v>
      </c>
      <c r="Y3" s="64">
        <f>(L3-Math!J$14)/Math!J$15</f>
        <v>3.297627063465328</v>
      </c>
    </row>
    <row r="4" spans="1:25">
      <c r="A4" s="64" t="str">
        <f>IF((LEN('Bball ref'!B10)-LEN(SUBSTITUTE('Bball ref'!B10," ","")))&lt;2,'Bball ref'!B10,LEFT('Bball ref'!B10,FIND(" ",'Bball ref'!B10,FIND(" ",'Bball ref'!B10)+1)-1))</f>
        <v>Stephen Curry</v>
      </c>
      <c r="B4" s="64">
        <f>'Bball ref'!A10</f>
        <v>3</v>
      </c>
      <c r="C4" s="64">
        <f>'Bball ref'!E10</f>
        <v>76</v>
      </c>
      <c r="D4" s="64">
        <f>VALUE(LEFT('Bball ref'!G10,FIND("(",'Bball ref'!G10)-1))</f>
        <v>0.48</v>
      </c>
      <c r="E4" s="64">
        <f>VALUE(LEFT('Bball ref'!H10,(FIND("(",'Bball ref'!H10)-1)))</f>
        <v>0.91</v>
      </c>
      <c r="F4" s="64">
        <f>'Bball ref'!I10</f>
        <v>5.6</v>
      </c>
      <c r="G4" s="64">
        <f>'Bball ref'!K10</f>
        <v>5.9</v>
      </c>
      <c r="H4" s="64">
        <f>'Bball ref'!L10</f>
        <v>5.7</v>
      </c>
      <c r="I4" s="64">
        <f>'Bball ref'!M10</f>
        <v>1.5</v>
      </c>
      <c r="J4" s="64">
        <f>'Bball ref'!N10</f>
        <v>0.4</v>
      </c>
      <c r="K4" s="64">
        <f>'Bball ref'!O10</f>
        <v>2.9</v>
      </c>
      <c r="L4" s="64">
        <f>'Bball ref'!J10</f>
        <v>29.8</v>
      </c>
      <c r="M4" s="64">
        <f>VALUE(MID('Bball ref'!G10,FIND("(",'Bball ref'!G10)+1,FIND("/",'Bball ref'!G10)-FIND("(",'Bball ref'!G10)-1))</f>
        <v>10.1</v>
      </c>
      <c r="N4" s="64">
        <f>VALUE(MID('Bball ref'!G10,FIND("/",'Bball ref'!G10)+1,FIND(")",'Bball ref'!G10)-FIND("/",'Bball ref'!G10)-1))</f>
        <v>21.1</v>
      </c>
      <c r="O4" s="64">
        <f>VALUE(MID('Bball ref'!H10,FIND("(",'Bball ref'!H10)+1,FIND("/",'Bball ref'!H10)-FIND("(",'Bball ref'!H10)-1))</f>
        <v>4.2</v>
      </c>
      <c r="P4" s="64">
        <f>VALUE(MID('Bball ref'!H10,FIND("/",'Bball ref'!H10)+1,FIND(")",'Bball ref'!H10)-FIND("/",'Bball ref'!H10)-1))</f>
        <v>4.5999999999999996</v>
      </c>
      <c r="Q4" s="64">
        <f>(D4-Math!B$14)/Math!B$15</f>
        <v>4.8985098840605826E-2</v>
      </c>
      <c r="R4" s="64">
        <f>(E4-Math!C$14)/Math!C$15</f>
        <v>1.5728303942579092</v>
      </c>
      <c r="S4" s="64">
        <f>(F4-Math!D$14)/Math!D$15</f>
        <v>4.4709036395762274</v>
      </c>
      <c r="T4" s="64">
        <f>(G4-Math!E$14)/Math!E$15</f>
        <v>1.7280535969963231E-2</v>
      </c>
      <c r="U4" s="64">
        <f>(H4-Math!F$14)/Math!F$15</f>
        <v>1.2116611071773118</v>
      </c>
      <c r="V4" s="64">
        <f>(I4-Math!G$14)/Math!G$15</f>
        <v>1.3983307473652546</v>
      </c>
      <c r="W4" s="64">
        <f>(J4-Math!H$14)/Math!H$15</f>
        <v>-0.53563136395848565</v>
      </c>
      <c r="X4" s="64">
        <f>(-1)*(K4-Math!I$14)/Math!I$15</f>
        <v>-1.5407526800783111</v>
      </c>
      <c r="Y4" s="64">
        <f>(L4-Math!J$14)/Math!J$15</f>
        <v>2.9166766518045923</v>
      </c>
    </row>
    <row r="5" spans="1:25">
      <c r="A5" s="64" t="str">
        <f>IF((LEN('Bball ref'!B11)-LEN(SUBSTITUTE('Bball ref'!B11," ","")))&lt;2,'Bball ref'!B11,LEFT('Bball ref'!B11,FIND(" ",'Bball ref'!B11,FIND(" ",'Bball ref'!B11)+1)-1))</f>
        <v>Giannis Antetokounmpo</v>
      </c>
      <c r="B5" s="64">
        <f>'Bball ref'!A11</f>
        <v>4</v>
      </c>
      <c r="C5" s="64">
        <f>'Bball ref'!E11</f>
        <v>72</v>
      </c>
      <c r="D5" s="64">
        <f>VALUE(LEFT('Bball ref'!G11,FIND("(",'Bball ref'!G11)-1))</f>
        <v>0.56000000000000005</v>
      </c>
      <c r="E5" s="64">
        <f>VALUE(LEFT('Bball ref'!H11,(FIND("(",'Bball ref'!H11)-1)))</f>
        <v>0.74</v>
      </c>
      <c r="F5" s="64">
        <f>'Bball ref'!I11</f>
        <v>0.9</v>
      </c>
      <c r="G5" s="64">
        <f>'Bball ref'!K11</f>
        <v>13.2</v>
      </c>
      <c r="H5" s="64">
        <f>'Bball ref'!L11</f>
        <v>6.2</v>
      </c>
      <c r="I5" s="64">
        <f>'Bball ref'!M11</f>
        <v>1.3</v>
      </c>
      <c r="J5" s="64">
        <f>'Bball ref'!N11</f>
        <v>1.6</v>
      </c>
      <c r="K5" s="64">
        <f>'Bball ref'!O11</f>
        <v>3.4</v>
      </c>
      <c r="L5" s="64">
        <f>'Bball ref'!J11</f>
        <v>28.7</v>
      </c>
      <c r="M5" s="64">
        <f>VALUE(MID('Bball ref'!G11,FIND("(",'Bball ref'!G11)+1,FIND("/",'Bball ref'!G11)-FIND("(",'Bball ref'!G11)-1))</f>
        <v>10.199999999999999</v>
      </c>
      <c r="N5" s="64">
        <f>VALUE(MID('Bball ref'!G11,FIND("/",'Bball ref'!G11)+1,FIND(")",'Bball ref'!G11)-FIND("/",'Bball ref'!G11)-1))</f>
        <v>18.100000000000001</v>
      </c>
      <c r="O5" s="64">
        <f>VALUE(MID('Bball ref'!H11,FIND("(",'Bball ref'!H11)+1,FIND("/",'Bball ref'!H11)-FIND("(",'Bball ref'!H11)-1))</f>
        <v>7.3</v>
      </c>
      <c r="P5" s="64">
        <f>VALUE(MID('Bball ref'!H11,FIND("/",'Bball ref'!H11)+1,FIND(")",'Bball ref'!H11)-FIND("/",'Bball ref'!H11)-1))</f>
        <v>9.8000000000000007</v>
      </c>
      <c r="Q5" s="64">
        <f>(D5-Math!B$14)/Math!B$15</f>
        <v>1.5277805355381187</v>
      </c>
      <c r="R5" s="64">
        <f>(E5-Math!C$14)/Math!C$15</f>
        <v>-0.48711696339882865</v>
      </c>
      <c r="S5" s="64">
        <f>(F5-Math!D$14)/Math!D$15</f>
        <v>-0.59986062345665569</v>
      </c>
      <c r="T5" s="64">
        <f>(G5-Math!E$14)/Math!E$15</f>
        <v>2.789762131150952</v>
      </c>
      <c r="U5" s="64">
        <f>(H5-Math!F$14)/Math!F$15</f>
        <v>1.4624706926000632</v>
      </c>
      <c r="V5" s="64">
        <f>(I5-Math!G$14)/Math!G$15</f>
        <v>0.87065876722742253</v>
      </c>
      <c r="W5" s="64">
        <f>(J5-Math!H$14)/Math!H$15</f>
        <v>1.6731577657672323</v>
      </c>
      <c r="X5" s="64">
        <f>(-1)*(K5-Math!I$14)/Math!I$15</f>
        <v>-2.2115200636561565</v>
      </c>
      <c r="Y5" s="64">
        <f>(L5-Math!J$14)/Math!J$15</f>
        <v>2.6961264134746923</v>
      </c>
    </row>
    <row r="6" spans="1:25">
      <c r="A6" s="64" t="str">
        <f>IF((LEN('Bball ref'!B12)-LEN(SUBSTITUTE('Bball ref'!B12," ","")))&lt;2,'Bball ref'!B12,LEFT('Bball ref'!B12,FIND(" ",'Bball ref'!B12,FIND(" ",'Bball ref'!B12)+1)-1))</f>
        <v>Karl-Anthony Towns</v>
      </c>
      <c r="B6" s="64">
        <f>'Bball ref'!A12</f>
        <v>5</v>
      </c>
      <c r="C6" s="64">
        <f>'Bball ref'!E12</f>
        <v>79</v>
      </c>
      <c r="D6" s="64">
        <f>VALUE(LEFT('Bball ref'!G12,FIND("(",'Bball ref'!G12)-1))</f>
        <v>0.52</v>
      </c>
      <c r="E6" s="64">
        <f>VALUE(LEFT('Bball ref'!H12,(FIND("(",'Bball ref'!H12)-1)))</f>
        <v>0.85</v>
      </c>
      <c r="F6" s="64">
        <f>'Bball ref'!I12</f>
        <v>1.9</v>
      </c>
      <c r="G6" s="64">
        <f>'Bball ref'!K12</f>
        <v>12.4</v>
      </c>
      <c r="H6" s="64">
        <f>'Bball ref'!L12</f>
        <v>3.6</v>
      </c>
      <c r="I6" s="64">
        <f>'Bball ref'!M12</f>
        <v>0.9</v>
      </c>
      <c r="J6" s="64">
        <f>'Bball ref'!N12</f>
        <v>1.7</v>
      </c>
      <c r="K6" s="64">
        <f>'Bball ref'!O12</f>
        <v>3.1</v>
      </c>
      <c r="L6" s="64">
        <f>'Bball ref'!J12</f>
        <v>25.6</v>
      </c>
      <c r="M6" s="64">
        <f>VALUE(MID('Bball ref'!G12,FIND("(",'Bball ref'!G12)+1,FIND("/",'Bball ref'!G12)-FIND("(",'Bball ref'!G12)-1))</f>
        <v>9.3000000000000007</v>
      </c>
      <c r="N6" s="64">
        <f>VALUE(MID('Bball ref'!G12,FIND("/",'Bball ref'!G12)+1,FIND(")",'Bball ref'!G12)-FIND("/",'Bball ref'!G12)-1))</f>
        <v>18</v>
      </c>
      <c r="O6" s="64">
        <f>VALUE(MID('Bball ref'!H12,FIND("(",'Bball ref'!H12)+1,FIND("/",'Bball ref'!H12)-FIND("(",'Bball ref'!H12)-1))</f>
        <v>5.2</v>
      </c>
      <c r="P6" s="64">
        <f>VALUE(MID('Bball ref'!H12,FIND("/",'Bball ref'!H12)+1,FIND(")",'Bball ref'!H12)-FIND("/",'Bball ref'!H12)-1))</f>
        <v>6.1</v>
      </c>
      <c r="Q6" s="64">
        <f>(D6-Math!B$14)/Math!B$15</f>
        <v>0.78838281718936221</v>
      </c>
      <c r="R6" s="64">
        <f>(E6-Math!C$14)/Math!C$15</f>
        <v>0.84579015037906013</v>
      </c>
      <c r="S6" s="64">
        <f>(F6-Math!D$14)/Math!D$15</f>
        <v>0.47902538995459598</v>
      </c>
      <c r="T6" s="64">
        <f>(G6-Math!E$14)/Math!E$15</f>
        <v>2.4859285316790634</v>
      </c>
      <c r="U6" s="64">
        <f>(H6-Math!F$14)/Math!F$15</f>
        <v>0.15826084840175575</v>
      </c>
      <c r="V6" s="64">
        <f>(I6-Math!G$14)/Math!G$15</f>
        <v>-0.18468519304824169</v>
      </c>
      <c r="W6" s="64">
        <f>(J6-Math!H$14)/Math!H$15</f>
        <v>1.8572235265777084</v>
      </c>
      <c r="X6" s="64">
        <f>(-1)*(K6-Math!I$14)/Math!I$15</f>
        <v>-1.8090596335094493</v>
      </c>
      <c r="Y6" s="64">
        <f>(L6-Math!J$14)/Math!J$15</f>
        <v>2.0745757418177027</v>
      </c>
    </row>
    <row r="7" spans="1:25">
      <c r="A7" s="64" t="str">
        <f>IF((LEN('Bball ref'!B13)-LEN(SUBSTITUTE('Bball ref'!B13," ","")))&lt;2,'Bball ref'!B13,LEFT('Bball ref'!B13,FIND(" ",'Bball ref'!B13,FIND(" ",'Bball ref'!B13)+1)-1))</f>
        <v>Nikola Jokic</v>
      </c>
      <c r="B7" s="64">
        <f>'Bball ref'!A13</f>
        <v>6</v>
      </c>
      <c r="C7" s="64">
        <f>'Bball ref'!E13</f>
        <v>78</v>
      </c>
      <c r="D7" s="64">
        <f>VALUE(LEFT('Bball ref'!G13,FIND("(",'Bball ref'!G13)-1))</f>
        <v>0.51</v>
      </c>
      <c r="E7" s="64">
        <f>VALUE(LEFT('Bball ref'!H13,(FIND("(",'Bball ref'!H13)-1)))</f>
        <v>0.83</v>
      </c>
      <c r="F7" s="64">
        <f>'Bball ref'!I13</f>
        <v>1.1000000000000001</v>
      </c>
      <c r="G7" s="64">
        <f>'Bball ref'!K13</f>
        <v>11.7</v>
      </c>
      <c r="H7" s="64">
        <f>'Bball ref'!L13</f>
        <v>7.8</v>
      </c>
      <c r="I7" s="64">
        <f>'Bball ref'!M13</f>
        <v>1.4</v>
      </c>
      <c r="J7" s="64">
        <f>'Bball ref'!N13</f>
        <v>0.8</v>
      </c>
      <c r="K7" s="64">
        <f>'Bball ref'!O13</f>
        <v>3.2</v>
      </c>
      <c r="L7" s="64">
        <f>'Bball ref'!J13</f>
        <v>21.6</v>
      </c>
      <c r="M7" s="64">
        <f>VALUE(MID('Bball ref'!G13,FIND("(",'Bball ref'!G13)+1,FIND("/",'Bball ref'!G13)-FIND("(",'Bball ref'!G13)-1))</f>
        <v>8.3000000000000007</v>
      </c>
      <c r="N7" s="64">
        <f>VALUE(MID('Bball ref'!G13,FIND("/",'Bball ref'!G13)+1,FIND(")",'Bball ref'!G13)-FIND("/",'Bball ref'!G13)-1))</f>
        <v>16.2</v>
      </c>
      <c r="O7" s="64">
        <f>VALUE(MID('Bball ref'!H13,FIND("(",'Bball ref'!H13)+1,FIND("/",'Bball ref'!H13)-FIND("(",'Bball ref'!H13)-1))</f>
        <v>3.9</v>
      </c>
      <c r="P7" s="64">
        <f>VALUE(MID('Bball ref'!H13,FIND("/",'Bball ref'!H13)+1,FIND(")",'Bball ref'!H13)-FIND("/",'Bball ref'!H13)-1))</f>
        <v>4.7</v>
      </c>
      <c r="Q7" s="64">
        <f>(D7-Math!B$14)/Math!B$15</f>
        <v>0.60353338760217312</v>
      </c>
      <c r="R7" s="64">
        <f>(E7-Math!C$14)/Math!C$15</f>
        <v>0.60344340241944372</v>
      </c>
      <c r="S7" s="64">
        <f>(F7-Math!D$14)/Math!D$15</f>
        <v>-0.38408342077440522</v>
      </c>
      <c r="T7" s="64">
        <f>(G7-Math!E$14)/Math!E$15</f>
        <v>2.2200741321411597</v>
      </c>
      <c r="U7" s="64">
        <f>(H7-Math!F$14)/Math!F$15</f>
        <v>2.2650613659528678</v>
      </c>
      <c r="V7" s="64">
        <f>(I7-Math!G$14)/Math!G$15</f>
        <v>1.1344947572963382</v>
      </c>
      <c r="W7" s="64">
        <f>(J7-Math!H$14)/Math!H$15</f>
        <v>0.20063167928342035</v>
      </c>
      <c r="X7" s="64">
        <f>(-1)*(K7-Math!I$14)/Math!I$15</f>
        <v>-1.9432131102250185</v>
      </c>
      <c r="Y7" s="64">
        <f>(L7-Math!J$14)/Math!J$15</f>
        <v>1.2725748751635217</v>
      </c>
    </row>
    <row r="8" spans="1:25">
      <c r="A8" s="64" t="str">
        <f>IF((LEN('Bball ref'!B14)-LEN(SUBSTITUTE('Bball ref'!B14," ","")))&lt;2,'Bball ref'!B14,LEFT('Bball ref'!B14,FIND(" ",'Bball ref'!B14,FIND(" ",'Bball ref'!B14)+1)-1))</f>
        <v>Joel Embiid</v>
      </c>
      <c r="B8" s="64">
        <f>'Bball ref'!A14</f>
        <v>7</v>
      </c>
      <c r="C8" s="64">
        <f>'Bball ref'!E14</f>
        <v>66</v>
      </c>
      <c r="D8" s="64">
        <f>VALUE(LEFT('Bball ref'!G14,FIND("(",'Bball ref'!G14)-1))</f>
        <v>0.49</v>
      </c>
      <c r="E8" s="64">
        <f>VALUE(LEFT('Bball ref'!H14,(FIND("(",'Bball ref'!H14)-1)))</f>
        <v>0.8</v>
      </c>
      <c r="F8" s="64">
        <f>'Bball ref'!I14</f>
        <v>1.2</v>
      </c>
      <c r="G8" s="64">
        <f>'Bball ref'!K14</f>
        <v>13.6</v>
      </c>
      <c r="H8" s="64">
        <f>'Bball ref'!L14</f>
        <v>3.7</v>
      </c>
      <c r="I8" s="64">
        <f>'Bball ref'!M14</f>
        <v>0.7</v>
      </c>
      <c r="J8" s="64">
        <f>'Bball ref'!N14</f>
        <v>1.9</v>
      </c>
      <c r="K8" s="64">
        <f>'Bball ref'!O14</f>
        <v>3.3</v>
      </c>
      <c r="L8" s="64">
        <f>'Bball ref'!J14</f>
        <v>27.6</v>
      </c>
      <c r="M8" s="64">
        <f>VALUE(MID('Bball ref'!G14,FIND("(",'Bball ref'!G14)+1,FIND("/",'Bball ref'!G14)-FIND("(",'Bball ref'!G14)-1))</f>
        <v>9.1</v>
      </c>
      <c r="N8" s="64">
        <f>VALUE(MID('Bball ref'!G14,FIND("/",'Bball ref'!G14)+1,FIND(")",'Bball ref'!G14)-FIND("/",'Bball ref'!G14)-1))</f>
        <v>18.600000000000001</v>
      </c>
      <c r="O8" s="64">
        <f>VALUE(MID('Bball ref'!H14,FIND("(",'Bball ref'!H14)+1,FIND("/",'Bball ref'!H14)-FIND("(",'Bball ref'!H14)-1))</f>
        <v>8.1999999999999993</v>
      </c>
      <c r="P8" s="64">
        <f>VALUE(MID('Bball ref'!H14,FIND("/",'Bball ref'!H14)+1,FIND(")",'Bball ref'!H14)-FIND("/",'Bball ref'!H14)-1))</f>
        <v>10.199999999999999</v>
      </c>
      <c r="Q8" s="64">
        <f>(D8-Math!B$14)/Math!B$15</f>
        <v>0.23383452842779492</v>
      </c>
      <c r="R8" s="64">
        <f>(E8-Math!C$14)/Math!C$15</f>
        <v>0.23992328048002048</v>
      </c>
      <c r="S8" s="64">
        <f>(F8-Math!D$14)/Math!D$15</f>
        <v>-0.27619481943328023</v>
      </c>
      <c r="T8" s="64">
        <f>(G8-Math!E$14)/Math!E$15</f>
        <v>2.9416789308868969</v>
      </c>
      <c r="U8" s="64">
        <f>(H8-Math!F$14)/Math!F$15</f>
        <v>0.20842276548630609</v>
      </c>
      <c r="V8" s="64">
        <f>(I8-Math!G$14)/Math!G$15</f>
        <v>-0.71235717318607394</v>
      </c>
      <c r="W8" s="64">
        <f>(J8-Math!H$14)/Math!H$15</f>
        <v>2.2253550481986615</v>
      </c>
      <c r="X8" s="64">
        <f>(-1)*(K8-Math!I$14)/Math!I$15</f>
        <v>-2.0773665869405873</v>
      </c>
      <c r="Y8" s="64">
        <f>(L8-Math!J$14)/Math!J$15</f>
        <v>2.4755761751447931</v>
      </c>
    </row>
    <row r="9" spans="1:25">
      <c r="A9" s="64" t="str">
        <f>IF((LEN('Bball ref'!B15)-LEN(SUBSTITUTE('Bball ref'!B15," ","")))&lt;2,'Bball ref'!B15,LEFT('Bball ref'!B15,FIND(" ",'Bball ref'!B15,FIND(" ",'Bball ref'!B15)+1)-1))</f>
        <v>Kawhi Leonard</v>
      </c>
      <c r="B9" s="64">
        <f>'Bball ref'!A15</f>
        <v>8</v>
      </c>
      <c r="C9" s="64">
        <f>'Bball ref'!E15</f>
        <v>69</v>
      </c>
      <c r="D9" s="64">
        <f>VALUE(LEFT('Bball ref'!G15,FIND("(",'Bball ref'!G15)-1))</f>
        <v>0.5</v>
      </c>
      <c r="E9" s="64">
        <f>VALUE(LEFT('Bball ref'!H15,(FIND("(",'Bball ref'!H15)-1)))</f>
        <v>0.85</v>
      </c>
      <c r="F9" s="64">
        <f>'Bball ref'!I15</f>
        <v>2</v>
      </c>
      <c r="G9" s="64">
        <f>'Bball ref'!K15</f>
        <v>7</v>
      </c>
      <c r="H9" s="64">
        <f>'Bball ref'!L15</f>
        <v>3.5</v>
      </c>
      <c r="I9" s="64">
        <f>'Bball ref'!M15</f>
        <v>1.8</v>
      </c>
      <c r="J9" s="64">
        <f>'Bball ref'!N15</f>
        <v>0.6</v>
      </c>
      <c r="K9" s="64">
        <f>'Bball ref'!O15</f>
        <v>2</v>
      </c>
      <c r="L9" s="64">
        <f>'Bball ref'!J15</f>
        <v>24.1</v>
      </c>
      <c r="M9" s="64">
        <f>VALUE(MID('Bball ref'!G15,FIND("(",'Bball ref'!G15)+1,FIND("/",'Bball ref'!G15)-FIND("(",'Bball ref'!G15)-1))</f>
        <v>8</v>
      </c>
      <c r="N9" s="64">
        <f>VALUE(MID('Bball ref'!G15,FIND("/",'Bball ref'!G15)+1,FIND(")",'Bball ref'!G15)-FIND("/",'Bball ref'!G15)-1))</f>
        <v>16</v>
      </c>
      <c r="O9" s="64">
        <f>VALUE(MID('Bball ref'!H15,FIND("(",'Bball ref'!H15)+1,FIND("/",'Bball ref'!H15)-FIND("(",'Bball ref'!H15)-1))</f>
        <v>6</v>
      </c>
      <c r="P9" s="64">
        <f>VALUE(MID('Bball ref'!H15,FIND("/",'Bball ref'!H15)+1,FIND(")",'Bball ref'!H15)-FIND("/",'Bball ref'!H15)-1))</f>
        <v>7.1</v>
      </c>
      <c r="Q9" s="64">
        <f>(D9-Math!B$14)/Math!B$15</f>
        <v>0.41868395801498404</v>
      </c>
      <c r="R9" s="64">
        <f>(E9-Math!C$14)/Math!C$15</f>
        <v>0.84579015037906013</v>
      </c>
      <c r="S9" s="64">
        <f>(F9-Math!D$14)/Math!D$15</f>
        <v>0.58691399129572119</v>
      </c>
      <c r="T9" s="64">
        <f>(G9-Math!E$14)/Math!E$15</f>
        <v>0.4350517352438108</v>
      </c>
      <c r="U9" s="64">
        <f>(H9-Math!F$14)/Math!F$15</f>
        <v>0.10809893131720544</v>
      </c>
      <c r="V9" s="64">
        <f>(I9-Math!G$14)/Math!G$15</f>
        <v>2.1898387175720027</v>
      </c>
      <c r="W9" s="64">
        <f>(J9-Math!H$14)/Math!H$15</f>
        <v>-0.16749984233753273</v>
      </c>
      <c r="X9" s="64">
        <f>(-1)*(K9-Math!I$14)/Math!I$15</f>
        <v>-0.33337138963818985</v>
      </c>
      <c r="Y9" s="64">
        <f>(L9-Math!J$14)/Math!J$15</f>
        <v>1.7738254168223848</v>
      </c>
    </row>
    <row r="10" spans="1:25">
      <c r="A10" s="64" t="str">
        <f>IF((LEN('Bball ref'!B16)-LEN(SUBSTITUTE('Bball ref'!B16," ","")))&lt;2,'Bball ref'!B16,LEFT('Bball ref'!B16,FIND(" ",'Bball ref'!B16,FIND(" ",'Bball ref'!B16)+1)-1))</f>
        <v>Damian Lillard</v>
      </c>
      <c r="B10" s="64">
        <f>'Bball ref'!A16</f>
        <v>9</v>
      </c>
      <c r="C10" s="64">
        <f>'Bball ref'!E16</f>
        <v>80</v>
      </c>
      <c r="D10" s="64">
        <f>VALUE(LEFT('Bball ref'!G16,FIND("(",'Bball ref'!G16)-1))</f>
        <v>0.45</v>
      </c>
      <c r="E10" s="64">
        <f>VALUE(LEFT('Bball ref'!H16,(FIND("(",'Bball ref'!H16)-1)))</f>
        <v>0.91</v>
      </c>
      <c r="F10" s="64">
        <f>'Bball ref'!I16</f>
        <v>3.2</v>
      </c>
      <c r="G10" s="64">
        <f>'Bball ref'!K16</f>
        <v>3.8</v>
      </c>
      <c r="H10" s="64">
        <f>'Bball ref'!L16</f>
        <v>7</v>
      </c>
      <c r="I10" s="64">
        <f>'Bball ref'!M16</f>
        <v>1.1000000000000001</v>
      </c>
      <c r="J10" s="64">
        <f>'Bball ref'!N16</f>
        <v>0.4</v>
      </c>
      <c r="K10" s="64">
        <f>'Bball ref'!O16</f>
        <v>2.6</v>
      </c>
      <c r="L10" s="64">
        <f>'Bball ref'!J16</f>
        <v>27.6</v>
      </c>
      <c r="M10" s="64">
        <f>VALUE(MID('Bball ref'!G16,FIND("(",'Bball ref'!G16)+1,FIND("/",'Bball ref'!G16)-FIND("(",'Bball ref'!G16)-1))</f>
        <v>9.1</v>
      </c>
      <c r="N10" s="64">
        <f>VALUE(MID('Bball ref'!G16,FIND("/",'Bball ref'!G16)+1,FIND(")",'Bball ref'!G16)-FIND("/",'Bball ref'!G16)-1))</f>
        <v>20.399999999999999</v>
      </c>
      <c r="O10" s="64">
        <f>VALUE(MID('Bball ref'!H16,FIND("(",'Bball ref'!H16)+1,FIND("/",'Bball ref'!H16)-FIND("(",'Bball ref'!H16)-1))</f>
        <v>6.2</v>
      </c>
      <c r="P10" s="64">
        <f>VALUE(MID('Bball ref'!H16,FIND("/",'Bball ref'!H16)+1,FIND(")",'Bball ref'!H16)-FIND("/",'Bball ref'!H16)-1))</f>
        <v>6.8</v>
      </c>
      <c r="Q10" s="64">
        <f>(D10-Math!B$14)/Math!B$15</f>
        <v>-0.50556318992096039</v>
      </c>
      <c r="R10" s="64">
        <f>(E10-Math!C$14)/Math!C$15</f>
        <v>1.5728303942579092</v>
      </c>
      <c r="S10" s="64">
        <f>(F10-Math!D$14)/Math!D$15</f>
        <v>1.8815772073892234</v>
      </c>
      <c r="T10" s="64">
        <f>(G10-Math!E$14)/Math!E$15</f>
        <v>-0.78028266264374613</v>
      </c>
      <c r="U10" s="64">
        <f>(H10-Math!F$14)/Math!F$15</f>
        <v>1.8637660292764655</v>
      </c>
      <c r="V10" s="64">
        <f>(I10-Math!G$14)/Math!G$15</f>
        <v>0.34298678708959057</v>
      </c>
      <c r="W10" s="64">
        <f>(J10-Math!H$14)/Math!H$15</f>
        <v>-0.53563136395848565</v>
      </c>
      <c r="X10" s="64">
        <f>(-1)*(K10-Math!I$14)/Math!I$15</f>
        <v>-1.1382922499316042</v>
      </c>
      <c r="Y10" s="64">
        <f>(L10-Math!J$14)/Math!J$15</f>
        <v>2.4755761751447931</v>
      </c>
    </row>
    <row r="11" spans="1:25">
      <c r="A11" s="64" t="str">
        <f>IF((LEN('Bball ref'!B17)-LEN(SUBSTITUTE('Bball ref'!B17," ","")))&lt;2,'Bball ref'!B17,LEFT('Bball ref'!B17,FIND(" ",'Bball ref'!B17,FIND(" ",'Bball ref'!B17)+1)-1))</f>
        <v>Paul George</v>
      </c>
      <c r="B11" s="64">
        <f>'Bball ref'!A17</f>
        <v>10</v>
      </c>
      <c r="C11" s="64">
        <f>'Bball ref'!E17</f>
        <v>60</v>
      </c>
      <c r="D11" s="64">
        <f>VALUE(LEFT('Bball ref'!G17,FIND("(",'Bball ref'!G17)-1))</f>
        <v>0.45</v>
      </c>
      <c r="E11" s="64">
        <f>VALUE(LEFT('Bball ref'!H17,(FIND("(",'Bball ref'!H17)-1)))</f>
        <v>0.85</v>
      </c>
      <c r="F11" s="64">
        <f>'Bball ref'!I17</f>
        <v>3.7</v>
      </c>
      <c r="G11" s="64">
        <f>'Bball ref'!K17</f>
        <v>7.9</v>
      </c>
      <c r="H11" s="64">
        <f>'Bball ref'!L17</f>
        <v>4</v>
      </c>
      <c r="I11" s="64">
        <f>'Bball ref'!M17</f>
        <v>1.9</v>
      </c>
      <c r="J11" s="64">
        <f>'Bball ref'!N17</f>
        <v>0.4</v>
      </c>
      <c r="K11" s="64">
        <f>'Bball ref'!O17</f>
        <v>2.5</v>
      </c>
      <c r="L11" s="64">
        <f>'Bball ref'!J17</f>
        <v>23.5</v>
      </c>
      <c r="M11" s="64">
        <f>VALUE(MID('Bball ref'!G17,FIND("(",'Bball ref'!G17)+1,FIND("/",'Bball ref'!G17)-FIND("(",'Bball ref'!G17)-1))</f>
        <v>7.4</v>
      </c>
      <c r="N11" s="64">
        <f>VALUE(MID('Bball ref'!G17,FIND("/",'Bball ref'!G17)+1,FIND(")",'Bball ref'!G17)-FIND("/",'Bball ref'!G17)-1))</f>
        <v>16.5</v>
      </c>
      <c r="O11" s="64">
        <f>VALUE(MID('Bball ref'!H17,FIND("(",'Bball ref'!H17)+1,FIND("/",'Bball ref'!H17)-FIND("(",'Bball ref'!H17)-1))</f>
        <v>5</v>
      </c>
      <c r="P11" s="64">
        <f>VALUE(MID('Bball ref'!H17,FIND("/",'Bball ref'!H17)+1,FIND(")",'Bball ref'!H17)-FIND("/",'Bball ref'!H17)-1))</f>
        <v>5.9</v>
      </c>
      <c r="Q11" s="64">
        <f>(D11-Math!B$14)/Math!B$15</f>
        <v>-0.50556318992096039</v>
      </c>
      <c r="R11" s="64">
        <f>(E11-Math!C$14)/Math!C$15</f>
        <v>0.84579015037906013</v>
      </c>
      <c r="S11" s="64">
        <f>(F11-Math!D$14)/Math!D$15</f>
        <v>2.4210202140948498</v>
      </c>
      <c r="T11" s="64">
        <f>(G11-Math!E$14)/Math!E$15</f>
        <v>0.7768645346496863</v>
      </c>
      <c r="U11" s="64">
        <f>(H11-Math!F$14)/Math!F$15</f>
        <v>0.35890851673995683</v>
      </c>
      <c r="V11" s="64">
        <f>(I11-Math!G$14)/Math!G$15</f>
        <v>2.4536747076409187</v>
      </c>
      <c r="W11" s="64">
        <f>(J11-Math!H$14)/Math!H$15</f>
        <v>-0.53563136395848565</v>
      </c>
      <c r="X11" s="64">
        <f>(-1)*(K11-Math!I$14)/Math!I$15</f>
        <v>-1.0041387732160352</v>
      </c>
      <c r="Y11" s="64">
        <f>(L11-Math!J$14)/Math!J$15</f>
        <v>1.6535252868242574</v>
      </c>
    </row>
    <row r="12" spans="1:25">
      <c r="A12" s="64" t="str">
        <f>IF((LEN('Bball ref'!B18)-LEN(SUBSTITUTE('Bball ref'!B18," ","")))&lt;2,'Bball ref'!B18,LEFT('Bball ref'!B18,FIND(" ",'Bball ref'!B18,FIND(" ",'Bball ref'!B18)+1)-1))</f>
        <v>Jimmy Butler</v>
      </c>
      <c r="B12" s="64">
        <f>'Bball ref'!A18</f>
        <v>11</v>
      </c>
      <c r="C12" s="64">
        <f>'Bball ref'!E18</f>
        <v>72</v>
      </c>
      <c r="D12" s="64">
        <f>VALUE(LEFT('Bball ref'!G18,FIND("(",'Bball ref'!G18)-1))</f>
        <v>0.46</v>
      </c>
      <c r="E12" s="64">
        <f>VALUE(LEFT('Bball ref'!H18,(FIND("(",'Bball ref'!H18)-1)))</f>
        <v>0.86</v>
      </c>
      <c r="F12" s="64">
        <f>'Bball ref'!I18</f>
        <v>1.6</v>
      </c>
      <c r="G12" s="64">
        <f>'Bball ref'!K18</f>
        <v>6.1</v>
      </c>
      <c r="H12" s="64">
        <f>'Bball ref'!L18</f>
        <v>5.0999999999999996</v>
      </c>
      <c r="I12" s="64">
        <f>'Bball ref'!M18</f>
        <v>1.9</v>
      </c>
      <c r="J12" s="64">
        <f>'Bball ref'!N18</f>
        <v>0.7</v>
      </c>
      <c r="K12" s="64">
        <f>'Bball ref'!O18</f>
        <v>1.4</v>
      </c>
      <c r="L12" s="64">
        <f>'Bball ref'!J18</f>
        <v>22.2</v>
      </c>
      <c r="M12" s="64">
        <f>VALUE(MID('Bball ref'!G18,FIND("(",'Bball ref'!G18)+1,FIND("/",'Bball ref'!G18)-FIND("(",'Bball ref'!G18)-1))</f>
        <v>7.6</v>
      </c>
      <c r="N12" s="64">
        <f>VALUE(MID('Bball ref'!G18,FIND("/",'Bball ref'!G18)+1,FIND(")",'Bball ref'!G18)-FIND("/",'Bball ref'!G18)-1))</f>
        <v>16.399999999999999</v>
      </c>
      <c r="O12" s="64">
        <f>VALUE(MID('Bball ref'!H18,FIND("(",'Bball ref'!H18)+1,FIND("/",'Bball ref'!H18)-FIND("(",'Bball ref'!H18)-1))</f>
        <v>5.4</v>
      </c>
      <c r="P12" s="64">
        <f>VALUE(MID('Bball ref'!H18,FIND("/",'Bball ref'!H18)+1,FIND(")",'Bball ref'!H18)-FIND("/",'Bball ref'!H18)-1))</f>
        <v>6.3</v>
      </c>
      <c r="Q12" s="64">
        <f>(D12-Math!B$14)/Math!B$15</f>
        <v>-0.3207137603337713</v>
      </c>
      <c r="R12" s="64">
        <f>(E12-Math!C$14)/Math!C$15</f>
        <v>0.96696352435886834</v>
      </c>
      <c r="S12" s="64">
        <f>(F12-Math!D$14)/Math!D$15</f>
        <v>0.15535958593122062</v>
      </c>
      <c r="T12" s="64">
        <f>(G12-Math!E$14)/Math!E$15</f>
        <v>9.3238935837935272E-2</v>
      </c>
      <c r="U12" s="64">
        <f>(H12-Math!F$14)/Math!F$15</f>
        <v>0.91068960467000981</v>
      </c>
      <c r="V12" s="64">
        <f>(I12-Math!G$14)/Math!G$15</f>
        <v>2.4536747076409187</v>
      </c>
      <c r="W12" s="64">
        <f>(J12-Math!H$14)/Math!H$15</f>
        <v>1.6565918472943714E-2</v>
      </c>
      <c r="X12" s="64">
        <f>(-1)*(K12-Math!I$14)/Math!I$15</f>
        <v>0.47154947065522446</v>
      </c>
      <c r="Y12" s="64">
        <f>(L12-Math!J$14)/Math!J$15</f>
        <v>1.3928750051616485</v>
      </c>
    </row>
    <row r="13" spans="1:25">
      <c r="A13" s="64" t="str">
        <f>IF((LEN('Bball ref'!B19)-LEN(SUBSTITUTE('Bball ref'!B19," ","")))&lt;2,'Bball ref'!B19,LEFT('Bball ref'!B19,FIND(" ",'Bball ref'!B19,FIND(" ",'Bball ref'!B19)+1)-1))</f>
        <v>LeBron James</v>
      </c>
      <c r="B13" s="64">
        <f>'Bball ref'!A19</f>
        <v>12</v>
      </c>
      <c r="C13" s="64">
        <f>'Bball ref'!E19</f>
        <v>74</v>
      </c>
      <c r="D13" s="64">
        <f>VALUE(LEFT('Bball ref'!G19,FIND("(",'Bball ref'!G19)-1))</f>
        <v>0.51</v>
      </c>
      <c r="E13" s="64">
        <f>VALUE(LEFT('Bball ref'!H19,(FIND("(",'Bball ref'!H19)-1)))</f>
        <v>0.7</v>
      </c>
      <c r="F13" s="64">
        <f>'Bball ref'!I19</f>
        <v>2.1</v>
      </c>
      <c r="G13" s="64">
        <f>'Bball ref'!K19</f>
        <v>8.6999999999999993</v>
      </c>
      <c r="H13" s="64">
        <f>'Bball ref'!L19</f>
        <v>8.8000000000000007</v>
      </c>
      <c r="I13" s="64">
        <f>'Bball ref'!M19</f>
        <v>1.3</v>
      </c>
      <c r="J13" s="64">
        <f>'Bball ref'!N19</f>
        <v>0.6</v>
      </c>
      <c r="K13" s="64">
        <f>'Bball ref'!O19</f>
        <v>3.7</v>
      </c>
      <c r="L13" s="64">
        <f>'Bball ref'!J19</f>
        <v>26.9</v>
      </c>
      <c r="M13" s="64">
        <f>VALUE(MID('Bball ref'!G19,FIND("(",'Bball ref'!G19)+1,FIND("/",'Bball ref'!G19)-FIND("(",'Bball ref'!G19)-1))</f>
        <v>9.9</v>
      </c>
      <c r="N13" s="64">
        <f>VALUE(MID('Bball ref'!G19,FIND("/",'Bball ref'!G19)+1,FIND(")",'Bball ref'!G19)-FIND("/",'Bball ref'!G19)-1))</f>
        <v>19.399999999999999</v>
      </c>
      <c r="O13" s="64">
        <f>VALUE(MID('Bball ref'!H19,FIND("(",'Bball ref'!H19)+1,FIND("/",'Bball ref'!H19)-FIND("(",'Bball ref'!H19)-1))</f>
        <v>5</v>
      </c>
      <c r="P13" s="64">
        <f>VALUE(MID('Bball ref'!H19,FIND("/",'Bball ref'!H19)+1,FIND(")",'Bball ref'!H19)-FIND("/",'Bball ref'!H19)-1))</f>
        <v>7.1</v>
      </c>
      <c r="Q13" s="64">
        <f>(D13-Math!B$14)/Math!B$15</f>
        <v>0.60353338760217312</v>
      </c>
      <c r="R13" s="64">
        <f>(E13-Math!C$14)/Math!C$15</f>
        <v>-0.97181045931806143</v>
      </c>
      <c r="S13" s="64">
        <f>(F13-Math!D$14)/Math!D$15</f>
        <v>0.69480259263684652</v>
      </c>
      <c r="T13" s="64">
        <f>(G13-Math!E$14)/Math!E$15</f>
        <v>1.0806981341215751</v>
      </c>
      <c r="U13" s="64">
        <f>(H13-Math!F$14)/Math!F$15</f>
        <v>2.7666805367983707</v>
      </c>
      <c r="V13" s="64">
        <f>(I13-Math!G$14)/Math!G$15</f>
        <v>0.87065876722742253</v>
      </c>
      <c r="W13" s="64">
        <f>(J13-Math!H$14)/Math!H$15</f>
        <v>-0.16749984233753273</v>
      </c>
      <c r="X13" s="64">
        <f>(-1)*(K13-Math!I$14)/Math!I$15</f>
        <v>-2.6139804938028637</v>
      </c>
      <c r="Y13" s="64">
        <f>(L13-Math!J$14)/Math!J$15</f>
        <v>2.3352260234803111</v>
      </c>
    </row>
    <row r="14" spans="1:25">
      <c r="A14" s="64" t="str">
        <f>IF((LEN('Bball ref'!B21)-LEN(SUBSTITUTE('Bball ref'!B21," ","")))&lt;2,'Bball ref'!B21,LEFT('Bball ref'!B21,FIND(" ",'Bball ref'!B21,FIND(" ",'Bball ref'!B21)+1)-1))</f>
        <v>Kyrie Irving</v>
      </c>
      <c r="B14" s="64">
        <f>'Bball ref'!A21</f>
        <v>13</v>
      </c>
      <c r="C14" s="64">
        <f>'Bball ref'!E21</f>
        <v>68</v>
      </c>
      <c r="D14" s="64">
        <f>VALUE(LEFT('Bball ref'!G21,FIND("(",'Bball ref'!G21)-1))</f>
        <v>0.46</v>
      </c>
      <c r="E14" s="64">
        <f>VALUE(LEFT('Bball ref'!H21,(FIND("(",'Bball ref'!H21)-1)))</f>
        <v>0.87</v>
      </c>
      <c r="F14" s="64">
        <f>'Bball ref'!I21</f>
        <v>2.7</v>
      </c>
      <c r="G14" s="64">
        <f>'Bball ref'!K21</f>
        <v>3.9</v>
      </c>
      <c r="H14" s="64">
        <f>'Bball ref'!L21</f>
        <v>7.2</v>
      </c>
      <c r="I14" s="64">
        <f>'Bball ref'!M21</f>
        <v>1.4</v>
      </c>
      <c r="J14" s="64">
        <f>'Bball ref'!N21</f>
        <v>0.4</v>
      </c>
      <c r="K14" s="64">
        <f>'Bball ref'!O21</f>
        <v>2.6</v>
      </c>
      <c r="L14" s="64">
        <f>'Bball ref'!J21</f>
        <v>25.1</v>
      </c>
      <c r="M14" s="64">
        <f>VALUE(MID('Bball ref'!G21,FIND("(",'Bball ref'!G21)+1,FIND("/",'Bball ref'!G21)-FIND("(",'Bball ref'!G21)-1))</f>
        <v>9.5</v>
      </c>
      <c r="N14" s="64">
        <f>VALUE(MID('Bball ref'!G21,FIND("/",'Bball ref'!G21)+1,FIND(")",'Bball ref'!G21)-FIND("/",'Bball ref'!G21)-1))</f>
        <v>20.5</v>
      </c>
      <c r="O14" s="64">
        <f>VALUE(MID('Bball ref'!H21,FIND("(",'Bball ref'!H21)+1,FIND("/",'Bball ref'!H21)-FIND("(",'Bball ref'!H21)-1))</f>
        <v>3.4</v>
      </c>
      <c r="P14" s="64">
        <f>VALUE(MID('Bball ref'!H21,FIND("/",'Bball ref'!H21)+1,FIND(")",'Bball ref'!H21)-FIND("/",'Bball ref'!H21)-1))</f>
        <v>3.9</v>
      </c>
      <c r="Q14" s="64">
        <f>(D14-Math!B$14)/Math!B$15</f>
        <v>-0.3207137603337713</v>
      </c>
      <c r="R14" s="64">
        <f>(E14-Math!C$14)/Math!C$15</f>
        <v>1.0881368983386766</v>
      </c>
      <c r="S14" s="64">
        <f>(F14-Math!D$14)/Math!D$15</f>
        <v>1.3421342006835977</v>
      </c>
      <c r="T14" s="64">
        <f>(G14-Math!E$14)/Math!E$15</f>
        <v>-0.74230346270976</v>
      </c>
      <c r="U14" s="64">
        <f>(H14-Math!F$14)/Math!F$15</f>
        <v>1.9640898634455661</v>
      </c>
      <c r="V14" s="64">
        <f>(I14-Math!G$14)/Math!G$15</f>
        <v>1.1344947572963382</v>
      </c>
      <c r="W14" s="64">
        <f>(J14-Math!H$14)/Math!H$15</f>
        <v>-0.53563136395848565</v>
      </c>
      <c r="X14" s="64">
        <f>(-1)*(K14-Math!I$14)/Math!I$15</f>
        <v>-1.1382922499316042</v>
      </c>
      <c r="Y14" s="64">
        <f>(L14-Math!J$14)/Math!J$15</f>
        <v>1.97432563348593</v>
      </c>
    </row>
    <row r="15" spans="1:25">
      <c r="A15" s="64" t="str">
        <f>IF((LEN('Bball ref'!B22)-LEN(SUBSTITUTE('Bball ref'!B22," ","")))&lt;2,'Bball ref'!B22,LEFT('Bball ref'!B22,FIND(" ",'Bball ref'!B22,FIND(" ",'Bball ref'!B22)+1)-1))</f>
        <v>Bradley Beal</v>
      </c>
      <c r="B15" s="64">
        <f>'Bball ref'!A22</f>
        <v>14</v>
      </c>
      <c r="C15" s="64">
        <f>'Bball ref'!E22</f>
        <v>78</v>
      </c>
      <c r="D15" s="64">
        <f>VALUE(LEFT('Bball ref'!G22,FIND("(",'Bball ref'!G22)-1))</f>
        <v>0.47</v>
      </c>
      <c r="E15" s="64">
        <f>VALUE(LEFT('Bball ref'!H22,(FIND("(",'Bball ref'!H22)-1)))</f>
        <v>0.8</v>
      </c>
      <c r="F15" s="64">
        <f>'Bball ref'!I22</f>
        <v>2.5</v>
      </c>
      <c r="G15" s="64">
        <f>'Bball ref'!K22</f>
        <v>5.3</v>
      </c>
      <c r="H15" s="64">
        <f>'Bball ref'!L22</f>
        <v>5.5</v>
      </c>
      <c r="I15" s="64">
        <f>'Bball ref'!M22</f>
        <v>1.4</v>
      </c>
      <c r="J15" s="64">
        <f>'Bball ref'!N22</f>
        <v>0.7</v>
      </c>
      <c r="K15" s="64">
        <f>'Bball ref'!O22</f>
        <v>2.6</v>
      </c>
      <c r="L15" s="64">
        <f>'Bball ref'!J22</f>
        <v>26.7</v>
      </c>
      <c r="M15" s="64">
        <f>VALUE(MID('Bball ref'!G22,FIND("(",'Bball ref'!G22)+1,FIND("/",'Bball ref'!G22)-FIND("(",'Bball ref'!G22)-1))</f>
        <v>9.9</v>
      </c>
      <c r="N15" s="64">
        <f>VALUE(MID('Bball ref'!G22,FIND("/",'Bball ref'!G22)+1,FIND(")",'Bball ref'!G22)-FIND("/",'Bball ref'!G22)-1))</f>
        <v>21.1</v>
      </c>
      <c r="O15" s="64">
        <f>VALUE(MID('Bball ref'!H22,FIND("(",'Bball ref'!H22)+1,FIND("/",'Bball ref'!H22)-FIND("(",'Bball ref'!H22)-1))</f>
        <v>4.4000000000000004</v>
      </c>
      <c r="P15" s="64">
        <f>VALUE(MID('Bball ref'!H22,FIND("/",'Bball ref'!H22)+1,FIND(")",'Bball ref'!H22)-FIND("/",'Bball ref'!H22)-1))</f>
        <v>5.5</v>
      </c>
      <c r="Q15" s="64">
        <f>(D15-Math!B$14)/Math!B$15</f>
        <v>-0.13586433074658327</v>
      </c>
      <c r="R15" s="64">
        <f>(E15-Math!C$14)/Math!C$15</f>
        <v>0.23992328048002048</v>
      </c>
      <c r="S15" s="64">
        <f>(F15-Math!D$14)/Math!D$15</f>
        <v>1.126356998001347</v>
      </c>
      <c r="T15" s="64">
        <f>(G15-Math!E$14)/Math!E$15</f>
        <v>-0.21059466363395388</v>
      </c>
      <c r="U15" s="64">
        <f>(H15-Math!F$14)/Math!F$15</f>
        <v>1.1113372730082112</v>
      </c>
      <c r="V15" s="64">
        <f>(I15-Math!G$14)/Math!G$15</f>
        <v>1.1344947572963382</v>
      </c>
      <c r="W15" s="64">
        <f>(J15-Math!H$14)/Math!H$15</f>
        <v>1.6565918472943714E-2</v>
      </c>
      <c r="X15" s="64">
        <f>(-1)*(K15-Math!I$14)/Math!I$15</f>
        <v>-1.1382922499316042</v>
      </c>
      <c r="Y15" s="64">
        <f>(L15-Math!J$14)/Math!J$15</f>
        <v>2.2951259801476018</v>
      </c>
    </row>
    <row r="16" spans="1:25">
      <c r="A16" s="64" t="str">
        <f>IF((LEN('Bball ref'!B23)-LEN(SUBSTITUTE('Bball ref'!B23," ","")))&lt;2,'Bball ref'!B23,LEFT('Bball ref'!B23,FIND(" ",'Bball ref'!B23,FIND(" ",'Bball ref'!B23)+1)-1))</f>
        <v>Nikola Vucevic</v>
      </c>
      <c r="B16" s="64">
        <f>'Bball ref'!A23</f>
        <v>15</v>
      </c>
      <c r="C16" s="64">
        <f>'Bball ref'!E23</f>
        <v>78</v>
      </c>
      <c r="D16" s="64">
        <f>VALUE(LEFT('Bball ref'!G23,FIND("(",'Bball ref'!G23)-1))</f>
        <v>0.49</v>
      </c>
      <c r="E16" s="64">
        <f>VALUE(LEFT('Bball ref'!H23,(FIND("(",'Bball ref'!H23)-1)))</f>
        <v>0.8</v>
      </c>
      <c r="F16" s="64">
        <f>'Bball ref'!I23</f>
        <v>1.2</v>
      </c>
      <c r="G16" s="64">
        <f>'Bball ref'!K23</f>
        <v>12.1</v>
      </c>
      <c r="H16" s="64">
        <f>'Bball ref'!L23</f>
        <v>4.0999999999999996</v>
      </c>
      <c r="I16" s="64">
        <f>'Bball ref'!M23</f>
        <v>1</v>
      </c>
      <c r="J16" s="64">
        <f>'Bball ref'!N23</f>
        <v>1.2</v>
      </c>
      <c r="K16" s="64">
        <f>'Bball ref'!O23</f>
        <v>2</v>
      </c>
      <c r="L16" s="64">
        <f>'Bball ref'!J23</f>
        <v>20.100000000000001</v>
      </c>
      <c r="M16" s="64">
        <f>VALUE(MID('Bball ref'!G23,FIND("(",'Bball ref'!G23)+1,FIND("/",'Bball ref'!G23)-FIND("(",'Bball ref'!G23)-1))</f>
        <v>8.3000000000000007</v>
      </c>
      <c r="N16" s="64">
        <f>VALUE(MID('Bball ref'!G23,FIND("/",'Bball ref'!G23)+1,FIND(")",'Bball ref'!G23)-FIND("/",'Bball ref'!G23)-1))</f>
        <v>17.100000000000001</v>
      </c>
      <c r="O16" s="64">
        <f>VALUE(MID('Bball ref'!H23,FIND("(",'Bball ref'!H23)+1,FIND("/",'Bball ref'!H23)-FIND("(",'Bball ref'!H23)-1))</f>
        <v>2.4</v>
      </c>
      <c r="P16" s="64">
        <f>VALUE(MID('Bball ref'!H23,FIND("/",'Bball ref'!H23)+1,FIND(")",'Bball ref'!H23)-FIND("/",'Bball ref'!H23)-1))</f>
        <v>3</v>
      </c>
      <c r="Q16" s="64">
        <f>(D16-Math!B$14)/Math!B$15</f>
        <v>0.23383452842779492</v>
      </c>
      <c r="R16" s="64">
        <f>(E16-Math!C$14)/Math!C$15</f>
        <v>0.23992328048002048</v>
      </c>
      <c r="S16" s="64">
        <f>(F16-Math!D$14)/Math!D$15</f>
        <v>-0.27619481943328023</v>
      </c>
      <c r="T16" s="64">
        <f>(G16-Math!E$14)/Math!E$15</f>
        <v>2.3719909318771046</v>
      </c>
      <c r="U16" s="64">
        <f>(H16-Math!F$14)/Math!F$15</f>
        <v>0.40907043382450697</v>
      </c>
      <c r="V16" s="64">
        <f>(I16-Math!G$14)/Math!G$15</f>
        <v>7.9150797020674304E-2</v>
      </c>
      <c r="W16" s="64">
        <f>(J16-Math!H$14)/Math!H$15</f>
        <v>0.93689472252532613</v>
      </c>
      <c r="X16" s="64">
        <f>(-1)*(K16-Math!I$14)/Math!I$15</f>
        <v>-0.33337138963818985</v>
      </c>
      <c r="Y16" s="64">
        <f>(L16-Math!J$14)/Math!J$15</f>
        <v>0.97182455016820402</v>
      </c>
    </row>
    <row r="17" spans="1:25">
      <c r="A17" s="64" t="str">
        <f>IF((LEN('Bball ref'!B24)-LEN(SUBSTITUTE('Bball ref'!B24," ","")))&lt;2,'Bball ref'!B24,LEFT('Bball ref'!B24,FIND(" ",'Bball ref'!B24,FIND(" ",'Bball ref'!B24)+1)-1))</f>
        <v>Kemba Walker</v>
      </c>
      <c r="B17" s="64">
        <f>'Bball ref'!A24</f>
        <v>16</v>
      </c>
      <c r="C17" s="64">
        <f>'Bball ref'!E24</f>
        <v>80</v>
      </c>
      <c r="D17" s="64">
        <f>VALUE(LEFT('Bball ref'!G24,FIND("(",'Bball ref'!G24)-1))</f>
        <v>0.45</v>
      </c>
      <c r="E17" s="64">
        <f>VALUE(LEFT('Bball ref'!H24,(FIND("(",'Bball ref'!H24)-1)))</f>
        <v>0.84</v>
      </c>
      <c r="F17" s="64">
        <f>'Bball ref'!I24</f>
        <v>3.2</v>
      </c>
      <c r="G17" s="64">
        <f>'Bball ref'!K24</f>
        <v>4.0999999999999996</v>
      </c>
      <c r="H17" s="64">
        <f>'Bball ref'!L24</f>
        <v>5.9</v>
      </c>
      <c r="I17" s="64">
        <f>'Bball ref'!M24</f>
        <v>1.1000000000000001</v>
      </c>
      <c r="J17" s="64">
        <f>'Bball ref'!N24</f>
        <v>0.4</v>
      </c>
      <c r="K17" s="64">
        <f>'Bball ref'!O24</f>
        <v>2.5</v>
      </c>
      <c r="L17" s="64">
        <f>'Bball ref'!J24</f>
        <v>24.9</v>
      </c>
      <c r="M17" s="64">
        <f>VALUE(MID('Bball ref'!G24,FIND("(",'Bball ref'!G24)+1,FIND("/",'Bball ref'!G24)-FIND("(",'Bball ref'!G24)-1))</f>
        <v>8.6</v>
      </c>
      <c r="N17" s="64">
        <f>VALUE(MID('Bball ref'!G24,FIND("/",'Bball ref'!G24)+1,FIND(")",'Bball ref'!G24)-FIND("/",'Bball ref'!G24)-1))</f>
        <v>19</v>
      </c>
      <c r="O17" s="64">
        <f>VALUE(MID('Bball ref'!H24,FIND("(",'Bball ref'!H24)+1,FIND("/",'Bball ref'!H24)-FIND("(",'Bball ref'!H24)-1))</f>
        <v>4.5999999999999996</v>
      </c>
      <c r="P17" s="64">
        <f>VALUE(MID('Bball ref'!H24,FIND("/",'Bball ref'!H24)+1,FIND(")",'Bball ref'!H24)-FIND("/",'Bball ref'!H24)-1))</f>
        <v>5.5</v>
      </c>
      <c r="Q17" s="64">
        <f>(D17-Math!B$14)/Math!B$15</f>
        <v>-0.50556318992096039</v>
      </c>
      <c r="R17" s="64">
        <f>(E17-Math!C$14)/Math!C$15</f>
        <v>0.72461677639925193</v>
      </c>
      <c r="S17" s="64">
        <f>(F17-Math!D$14)/Math!D$15</f>
        <v>1.8815772073892234</v>
      </c>
      <c r="T17" s="64">
        <f>(G17-Math!E$14)/Math!E$15</f>
        <v>-0.66634506284178774</v>
      </c>
      <c r="U17" s="64">
        <f>(H17-Math!F$14)/Math!F$15</f>
        <v>1.3119849413464124</v>
      </c>
      <c r="V17" s="64">
        <f>(I17-Math!G$14)/Math!G$15</f>
        <v>0.34298678708959057</v>
      </c>
      <c r="W17" s="64">
        <f>(J17-Math!H$14)/Math!H$15</f>
        <v>-0.53563136395848565</v>
      </c>
      <c r="X17" s="64">
        <f>(-1)*(K17-Math!I$14)/Math!I$15</f>
        <v>-1.0041387732160352</v>
      </c>
      <c r="Y17" s="64">
        <f>(L17-Math!J$14)/Math!J$15</f>
        <v>1.9342255901532206</v>
      </c>
    </row>
    <row r="18" spans="1:25">
      <c r="A18" s="64" t="str">
        <f>IF((LEN('Bball ref'!B25)-LEN(SUBSTITUTE('Bball ref'!B25," ","")))&lt;2,'Bball ref'!B25,LEFT('Bball ref'!B25,FIND(" ",'Bball ref'!B25,FIND(" ",'Bball ref'!B25)+1)-1))</f>
        <v>Devin Booker</v>
      </c>
      <c r="B18" s="64">
        <f>'Bball ref'!A25</f>
        <v>17</v>
      </c>
      <c r="C18" s="64">
        <f>'Bball ref'!E25</f>
        <v>71</v>
      </c>
      <c r="D18" s="64">
        <f>VALUE(LEFT('Bball ref'!G25,FIND("(",'Bball ref'!G25)-1))</f>
        <v>0.47</v>
      </c>
      <c r="E18" s="64">
        <f>VALUE(LEFT('Bball ref'!H25,(FIND("(",'Bball ref'!H25)-1)))</f>
        <v>0.85</v>
      </c>
      <c r="F18" s="64">
        <f>'Bball ref'!I25</f>
        <v>2.2000000000000002</v>
      </c>
      <c r="G18" s="64">
        <f>'Bball ref'!K25</f>
        <v>4.3</v>
      </c>
      <c r="H18" s="64">
        <f>'Bball ref'!L25</f>
        <v>5.7</v>
      </c>
      <c r="I18" s="64">
        <f>'Bball ref'!M25</f>
        <v>0.9</v>
      </c>
      <c r="J18" s="64">
        <f>'Bball ref'!N25</f>
        <v>0.2</v>
      </c>
      <c r="K18" s="64">
        <f>'Bball ref'!O25</f>
        <v>3.7</v>
      </c>
      <c r="L18" s="64">
        <f>'Bball ref'!J25</f>
        <v>27.5</v>
      </c>
      <c r="M18" s="64">
        <f>VALUE(MID('Bball ref'!G25,FIND("(",'Bball ref'!G25)+1,FIND("/",'Bball ref'!G25)-FIND("(",'Bball ref'!G25)-1))</f>
        <v>9.4</v>
      </c>
      <c r="N18" s="64">
        <f>VALUE(MID('Bball ref'!G25,FIND("/",'Bball ref'!G25)+1,FIND(")",'Bball ref'!G25)-FIND("/",'Bball ref'!G25)-1))</f>
        <v>20.100000000000001</v>
      </c>
      <c r="O18" s="64">
        <f>VALUE(MID('Bball ref'!H25,FIND("(",'Bball ref'!H25)+1,FIND("/",'Bball ref'!H25)-FIND("(",'Bball ref'!H25)-1))</f>
        <v>6.4</v>
      </c>
      <c r="P18" s="64">
        <f>VALUE(MID('Bball ref'!H25,FIND("/",'Bball ref'!H25)+1,FIND(")",'Bball ref'!H25)-FIND("/",'Bball ref'!H25)-1))</f>
        <v>7.5</v>
      </c>
      <c r="Q18" s="64">
        <f>(D18-Math!B$14)/Math!B$15</f>
        <v>-0.13586433074658327</v>
      </c>
      <c r="R18" s="64">
        <f>(E18-Math!C$14)/Math!C$15</f>
        <v>0.84579015037906013</v>
      </c>
      <c r="S18" s="64">
        <f>(F18-Math!D$14)/Math!D$15</f>
        <v>0.80269119397797173</v>
      </c>
      <c r="T18" s="64">
        <f>(G18-Math!E$14)/Math!E$15</f>
        <v>-0.59038666297381537</v>
      </c>
      <c r="U18" s="64">
        <f>(H18-Math!F$14)/Math!F$15</f>
        <v>1.2116611071773118</v>
      </c>
      <c r="V18" s="64">
        <f>(I18-Math!G$14)/Math!G$15</f>
        <v>-0.18468519304824169</v>
      </c>
      <c r="W18" s="64">
        <f>(J18-Math!H$14)/Math!H$15</f>
        <v>-0.90376288557943862</v>
      </c>
      <c r="X18" s="64">
        <f>(-1)*(K18-Math!I$14)/Math!I$15</f>
        <v>-2.6139804938028637</v>
      </c>
      <c r="Y18" s="64">
        <f>(L18-Math!J$14)/Math!J$15</f>
        <v>2.4555261534784383</v>
      </c>
    </row>
    <row r="19" spans="1:25">
      <c r="A19" s="64" t="str">
        <f>IF((LEN('Bball ref'!B26)-LEN(SUBSTITUTE('Bball ref'!B26," ","")))&lt;2,'Bball ref'!B26,LEFT('Bball ref'!B26,FIND(" ",'Bball ref'!B26,FIND(" ",'Bball ref'!B26)+1)-1))</f>
        <v>Rudy Gobert</v>
      </c>
      <c r="B19" s="64">
        <f>'Bball ref'!A26</f>
        <v>18</v>
      </c>
      <c r="C19" s="64">
        <f>'Bball ref'!E26</f>
        <v>77</v>
      </c>
      <c r="D19" s="64">
        <f>VALUE(LEFT('Bball ref'!G26,FIND("(",'Bball ref'!G26)-1))</f>
        <v>0.68</v>
      </c>
      <c r="E19" s="64">
        <f>VALUE(LEFT('Bball ref'!H26,(FIND("(",'Bball ref'!H26)-1)))</f>
        <v>0.65</v>
      </c>
      <c r="F19" s="64">
        <f>'Bball ref'!I26</f>
        <v>0</v>
      </c>
      <c r="G19" s="64">
        <f>'Bball ref'!K26</f>
        <v>13.5</v>
      </c>
      <c r="H19" s="64">
        <f>'Bball ref'!L26</f>
        <v>2.1</v>
      </c>
      <c r="I19" s="64">
        <f>'Bball ref'!M26</f>
        <v>0.8</v>
      </c>
      <c r="J19" s="64">
        <f>'Bball ref'!N26</f>
        <v>2.4</v>
      </c>
      <c r="K19" s="64">
        <f>'Bball ref'!O26</f>
        <v>1.6</v>
      </c>
      <c r="L19" s="64">
        <f>'Bball ref'!J26</f>
        <v>16.899999999999999</v>
      </c>
      <c r="M19" s="64">
        <f>VALUE(MID('Bball ref'!G26,FIND("(",'Bball ref'!G26)+1,FIND("/",'Bball ref'!G26)-FIND("(",'Bball ref'!G26)-1))</f>
        <v>6.3</v>
      </c>
      <c r="N19" s="64">
        <f>VALUE(MID('Bball ref'!G26,FIND("/",'Bball ref'!G26)+1,FIND(")",'Bball ref'!G26)-FIND("/",'Bball ref'!G26)-1))</f>
        <v>9.3000000000000007</v>
      </c>
      <c r="O19" s="64">
        <f>VALUE(MID('Bball ref'!H26,FIND("(",'Bball ref'!H26)+1,FIND("/",'Bball ref'!H26)-FIND("(",'Bball ref'!H26)-1))</f>
        <v>4.4000000000000004</v>
      </c>
      <c r="P19" s="64">
        <f>VALUE(MID('Bball ref'!H26,FIND("/",'Bball ref'!H26)+1,FIND(")",'Bball ref'!H26)-FIND("/",'Bball ref'!H26)-1))</f>
        <v>6.8</v>
      </c>
      <c r="Q19" s="64">
        <f>(D19-Math!B$14)/Math!B$15</f>
        <v>3.7459736905843855</v>
      </c>
      <c r="R19" s="64">
        <f>(E19-Math!C$14)/Math!C$15</f>
        <v>-1.5776773292171011</v>
      </c>
      <c r="S19" s="64">
        <f>(F19-Math!D$14)/Math!D$15</f>
        <v>-1.5708580355267823</v>
      </c>
      <c r="T19" s="64">
        <f>(G19-Math!E$14)/Math!E$15</f>
        <v>2.9036997309529107</v>
      </c>
      <c r="U19" s="64">
        <f>(H19-Math!F$14)/Math!F$15</f>
        <v>-0.59416790786649853</v>
      </c>
      <c r="V19" s="64">
        <f>(I19-Math!G$14)/Math!G$15</f>
        <v>-0.44852118311715766</v>
      </c>
      <c r="W19" s="64">
        <f>(J19-Math!H$14)/Math!H$15</f>
        <v>3.145683852251044</v>
      </c>
      <c r="X19" s="64">
        <f>(-1)*(K19-Math!I$14)/Math!I$15</f>
        <v>0.20324251722408615</v>
      </c>
      <c r="Y19" s="64">
        <f>(L19-Math!J$14)/Math!J$15</f>
        <v>0.33022385684485867</v>
      </c>
    </row>
    <row r="20" spans="1:25">
      <c r="A20" s="64" t="str">
        <f>IF((LEN('Bball ref'!B27)-LEN(SUBSTITUTE('Bball ref'!B27," ","")))&lt;2,'Bball ref'!B27,LEFT('Bball ref'!B27,FIND(" ",'Bball ref'!B27,FIND(" ",'Bball ref'!B27)+1)-1))</f>
        <v>Jrue Holiday</v>
      </c>
      <c r="B20" s="64">
        <f>'Bball ref'!A27</f>
        <v>19</v>
      </c>
      <c r="C20" s="64">
        <f>'Bball ref'!E27</f>
        <v>73</v>
      </c>
      <c r="D20" s="64">
        <f>VALUE(LEFT('Bball ref'!G27,FIND("(",'Bball ref'!G27)-1))</f>
        <v>0.47</v>
      </c>
      <c r="E20" s="64">
        <f>VALUE(LEFT('Bball ref'!H27,(FIND("(",'Bball ref'!H27)-1)))</f>
        <v>0.78</v>
      </c>
      <c r="F20" s="64">
        <f>'Bball ref'!I27</f>
        <v>1.8</v>
      </c>
      <c r="G20" s="64">
        <f>'Bball ref'!K27</f>
        <v>5.0999999999999996</v>
      </c>
      <c r="H20" s="64">
        <f>'Bball ref'!L27</f>
        <v>6.5</v>
      </c>
      <c r="I20" s="64">
        <f>'Bball ref'!M27</f>
        <v>1.5</v>
      </c>
      <c r="J20" s="64">
        <f>'Bball ref'!N27</f>
        <v>0.8</v>
      </c>
      <c r="K20" s="64">
        <f>'Bball ref'!O27</f>
        <v>3</v>
      </c>
      <c r="L20" s="64">
        <f>'Bball ref'!J27</f>
        <v>22.1</v>
      </c>
      <c r="M20" s="64">
        <f>VALUE(MID('Bball ref'!G27,FIND("(",'Bball ref'!G27)+1,FIND("/",'Bball ref'!G27)-FIND("(",'Bball ref'!G27)-1))</f>
        <v>8.6</v>
      </c>
      <c r="N20" s="64">
        <f>VALUE(MID('Bball ref'!G27,FIND("/",'Bball ref'!G27)+1,FIND(")",'Bball ref'!G27)-FIND("/",'Bball ref'!G27)-1))</f>
        <v>18.399999999999999</v>
      </c>
      <c r="O20" s="64">
        <f>VALUE(MID('Bball ref'!H27,FIND("(",'Bball ref'!H27)+1,FIND("/",'Bball ref'!H27)-FIND("(",'Bball ref'!H27)-1))</f>
        <v>3.1</v>
      </c>
      <c r="P20" s="64">
        <f>VALUE(MID('Bball ref'!H27,FIND("/",'Bball ref'!H27)+1,FIND(")",'Bball ref'!H27)-FIND("/",'Bball ref'!H27)-1))</f>
        <v>4</v>
      </c>
      <c r="Q20" s="64">
        <f>(D20-Math!B$14)/Math!B$15</f>
        <v>-0.13586433074658327</v>
      </c>
      <c r="R20" s="64">
        <f>(E20-Math!C$14)/Math!C$15</f>
        <v>-2.4234674795958946E-3</v>
      </c>
      <c r="S20" s="64">
        <f>(F20-Math!D$14)/Math!D$15</f>
        <v>0.37113678861347094</v>
      </c>
      <c r="T20" s="64">
        <f>(G20-Math!E$14)/Math!E$15</f>
        <v>-0.28655306350192628</v>
      </c>
      <c r="U20" s="64">
        <f>(H20-Math!F$14)/Math!F$15</f>
        <v>1.6129564438537141</v>
      </c>
      <c r="V20" s="64">
        <f>(I20-Math!G$14)/Math!G$15</f>
        <v>1.3983307473652546</v>
      </c>
      <c r="W20" s="64">
        <f>(J20-Math!H$14)/Math!H$15</f>
        <v>0.20063167928342035</v>
      </c>
      <c r="X20" s="64">
        <f>(-1)*(K20-Math!I$14)/Math!I$15</f>
        <v>-1.6749061567938803</v>
      </c>
      <c r="Y20" s="64">
        <f>(L20-Math!J$14)/Math!J$15</f>
        <v>1.3728249834952944</v>
      </c>
    </row>
    <row r="21" spans="1:25">
      <c r="A21" s="64" t="str">
        <f>IF((LEN('Bball ref'!B28)-LEN(SUBSTITUTE('Bball ref'!B28," ","")))&lt;2,'Bball ref'!B28,LEFT('Bball ref'!B28,FIND(" ",'Bball ref'!B28,FIND(" ",'Bball ref'!B28)+1)-1))</f>
        <v>Andre Drummond</v>
      </c>
      <c r="B21" s="64">
        <f>'Bball ref'!A28</f>
        <v>20</v>
      </c>
      <c r="C21" s="64">
        <f>'Bball ref'!E28</f>
        <v>78</v>
      </c>
      <c r="D21" s="64">
        <f>VALUE(LEFT('Bball ref'!G28,FIND("(",'Bball ref'!G28)-1))</f>
        <v>0.54</v>
      </c>
      <c r="E21" s="64">
        <f>VALUE(LEFT('Bball ref'!H28,(FIND("(",'Bball ref'!H28)-1)))</f>
        <v>0.6</v>
      </c>
      <c r="F21" s="64">
        <f>'Bball ref'!I28</f>
        <v>0.1</v>
      </c>
      <c r="G21" s="64">
        <f>'Bball ref'!K28</f>
        <v>16</v>
      </c>
      <c r="H21" s="64">
        <f>'Bball ref'!L28</f>
        <v>1.5</v>
      </c>
      <c r="I21" s="64">
        <f>'Bball ref'!M28</f>
        <v>1.7</v>
      </c>
      <c r="J21" s="64">
        <f>'Bball ref'!N28</f>
        <v>1.9</v>
      </c>
      <c r="K21" s="64">
        <f>'Bball ref'!O28</f>
        <v>2.2000000000000002</v>
      </c>
      <c r="L21" s="64">
        <f>'Bball ref'!J28</f>
        <v>18.600000000000001</v>
      </c>
      <c r="M21" s="64">
        <f>VALUE(MID('Bball ref'!G28,FIND("(",'Bball ref'!G28)+1,FIND("/",'Bball ref'!G28)-FIND("(",'Bball ref'!G28)-1))</f>
        <v>7.6</v>
      </c>
      <c r="N21" s="64">
        <f>VALUE(MID('Bball ref'!G28,FIND("/",'Bball ref'!G28)+1,FIND(")",'Bball ref'!G28)-FIND("/",'Bball ref'!G28)-1))</f>
        <v>14.2</v>
      </c>
      <c r="O21" s="64">
        <f>VALUE(MID('Bball ref'!H28,FIND("(",'Bball ref'!H28)+1,FIND("/",'Bball ref'!H28)-FIND("(",'Bball ref'!H28)-1))</f>
        <v>3.3</v>
      </c>
      <c r="P21" s="64">
        <f>VALUE(MID('Bball ref'!H28,FIND("/",'Bball ref'!H28)+1,FIND(")",'Bball ref'!H28)-FIND("/",'Bball ref'!H28)-1))</f>
        <v>5.5</v>
      </c>
      <c r="Q21" s="64">
        <f>(D21-Math!B$14)/Math!B$15</f>
        <v>1.1580816763637403</v>
      </c>
      <c r="R21" s="64">
        <f>(E21-Math!C$14)/Math!C$15</f>
        <v>-2.1835441991161422</v>
      </c>
      <c r="S21" s="64">
        <f>(F21-Math!D$14)/Math!D$15</f>
        <v>-1.4629694341856569</v>
      </c>
      <c r="T21" s="64">
        <f>(G21-Math!E$14)/Math!E$15</f>
        <v>3.8531797293025645</v>
      </c>
      <c r="U21" s="64">
        <f>(H21-Math!F$14)/Math!F$15</f>
        <v>-0.89513941037380029</v>
      </c>
      <c r="V21" s="64">
        <f>(I21-Math!G$14)/Math!G$15</f>
        <v>1.9260027275030867</v>
      </c>
      <c r="W21" s="64">
        <f>(J21-Math!H$14)/Math!H$15</f>
        <v>2.2253550481986615</v>
      </c>
      <c r="X21" s="64">
        <f>(-1)*(K21-Math!I$14)/Math!I$15</f>
        <v>-0.60167834306932821</v>
      </c>
      <c r="Y21" s="64">
        <f>(L21-Math!J$14)/Math!J$15</f>
        <v>0.67107422517288617</v>
      </c>
    </row>
    <row r="22" spans="1:25">
      <c r="A22" s="64" t="str">
        <f>IF((LEN('Bball ref'!B29)-LEN(SUBSTITUTE('Bball ref'!B29," ","")))&lt;2,'Bball ref'!B29,LEFT('Bball ref'!B29,FIND(" ",'Bball ref'!B29,FIND(" ",'Bball ref'!B29)+1)-1))</f>
        <v>Deandre Ayton</v>
      </c>
      <c r="B22" s="64">
        <f>'Bball ref'!A29</f>
        <v>21</v>
      </c>
      <c r="C22" s="64">
        <f>'Bball ref'!E29</f>
        <v>72</v>
      </c>
      <c r="D22" s="64">
        <f>VALUE(LEFT('Bball ref'!G29,FIND("(",'Bball ref'!G29)-1))</f>
        <v>0.56000000000000005</v>
      </c>
      <c r="E22" s="64">
        <f>VALUE(LEFT('Bball ref'!H29,(FIND("(",'Bball ref'!H29)-1)))</f>
        <v>0.75</v>
      </c>
      <c r="F22" s="64">
        <f>'Bball ref'!I29</f>
        <v>0</v>
      </c>
      <c r="G22" s="64">
        <f>'Bball ref'!K29</f>
        <v>11</v>
      </c>
      <c r="H22" s="64">
        <f>'Bball ref'!L29</f>
        <v>2</v>
      </c>
      <c r="I22" s="64">
        <f>'Bball ref'!M29</f>
        <v>0.9</v>
      </c>
      <c r="J22" s="64">
        <f>'Bball ref'!N29</f>
        <v>1.3</v>
      </c>
      <c r="K22" s="64">
        <f>'Bball ref'!O29</f>
        <v>1.9</v>
      </c>
      <c r="L22" s="64">
        <f>'Bball ref'!J29</f>
        <v>19.5</v>
      </c>
      <c r="M22" s="64">
        <f>VALUE(MID('Bball ref'!G29,FIND("(",'Bball ref'!G29)+1,FIND("/",'Bball ref'!G29)-FIND("(",'Bball ref'!G29)-1))</f>
        <v>8.5</v>
      </c>
      <c r="N22" s="64">
        <f>VALUE(MID('Bball ref'!G29,FIND("/",'Bball ref'!G29)+1,FIND(")",'Bball ref'!G29)-FIND("/",'Bball ref'!G29)-1))</f>
        <v>15.3</v>
      </c>
      <c r="O22" s="64">
        <f>VALUE(MID('Bball ref'!H29,FIND("(",'Bball ref'!H29)+1,FIND("/",'Bball ref'!H29)-FIND("(",'Bball ref'!H29)-1))</f>
        <v>2.4</v>
      </c>
      <c r="P22" s="64">
        <f>VALUE(MID('Bball ref'!H29,FIND("/",'Bball ref'!H29)+1,FIND(")",'Bball ref'!H29)-FIND("/",'Bball ref'!H29)-1))</f>
        <v>3.2</v>
      </c>
      <c r="Q22" s="64">
        <f>(D22-Math!B$14)/Math!B$15</f>
        <v>1.5277805355381187</v>
      </c>
      <c r="R22" s="64">
        <f>(E22-Math!C$14)/Math!C$15</f>
        <v>-0.3659435894190205</v>
      </c>
      <c r="S22" s="64">
        <f>(F22-Math!D$14)/Math!D$15</f>
        <v>-1.5708580355267823</v>
      </c>
      <c r="T22" s="64">
        <f>(G22-Math!E$14)/Math!E$15</f>
        <v>1.9542197326032569</v>
      </c>
      <c r="U22" s="64">
        <f>(H22-Math!F$14)/Math!F$15</f>
        <v>-0.64432982495104885</v>
      </c>
      <c r="V22" s="64">
        <f>(I22-Math!G$14)/Math!G$15</f>
        <v>-0.18468519304824169</v>
      </c>
      <c r="W22" s="64">
        <f>(J22-Math!H$14)/Math!H$15</f>
        <v>1.1209604833358027</v>
      </c>
      <c r="X22" s="64">
        <f>(-1)*(K22-Math!I$14)/Math!I$15</f>
        <v>-0.19921791292262073</v>
      </c>
      <c r="Y22" s="64">
        <f>(L22-Math!J$14)/Math!J$15</f>
        <v>0.85152442017007657</v>
      </c>
    </row>
    <row r="23" spans="1:25">
      <c r="A23" s="64" t="str">
        <f>IF((LEN('Bball ref'!B30)-LEN(SUBSTITUTE('Bball ref'!B30," ","")))&lt;2,'Bball ref'!B30,LEFT('Bball ref'!B30,FIND(" ",'Bball ref'!B30,FIND(" ",'Bball ref'!B30)+1)-1))</f>
        <v>John Collins</v>
      </c>
      <c r="B23" s="64">
        <f>'Bball ref'!A30</f>
        <v>22</v>
      </c>
      <c r="C23" s="64">
        <f>'Bball ref'!E30</f>
        <v>72</v>
      </c>
      <c r="D23" s="64">
        <f>VALUE(LEFT('Bball ref'!G30,FIND("(",'Bball ref'!G30)-1))</f>
        <v>0.56000000000000005</v>
      </c>
      <c r="E23" s="64">
        <f>VALUE(LEFT('Bball ref'!H30,(FIND("(",'Bball ref'!H30)-1)))</f>
        <v>0.76</v>
      </c>
      <c r="F23" s="64">
        <f>'Bball ref'!I30</f>
        <v>1</v>
      </c>
      <c r="G23" s="64">
        <f>'Bball ref'!K30</f>
        <v>10.9</v>
      </c>
      <c r="H23" s="64">
        <f>'Bball ref'!L30</f>
        <v>2</v>
      </c>
      <c r="I23" s="64">
        <f>'Bball ref'!M30</f>
        <v>0.5</v>
      </c>
      <c r="J23" s="64">
        <f>'Bball ref'!N30</f>
        <v>1.1000000000000001</v>
      </c>
      <c r="K23" s="64">
        <f>'Bball ref'!O30</f>
        <v>2.4</v>
      </c>
      <c r="L23" s="64">
        <f>'Bball ref'!J30</f>
        <v>21.8</v>
      </c>
      <c r="M23" s="64">
        <f>VALUE(MID('Bball ref'!G30,FIND("(",'Bball ref'!G30)+1,FIND("/",'Bball ref'!G30)-FIND("(",'Bball ref'!G30)-1))</f>
        <v>8.6</v>
      </c>
      <c r="N23" s="64">
        <f>VALUE(MID('Bball ref'!G30,FIND("/",'Bball ref'!G30)+1,FIND(")",'Bball ref'!G30)-FIND("/",'Bball ref'!G30)-1))</f>
        <v>15.4</v>
      </c>
      <c r="O23" s="64">
        <f>VALUE(MID('Bball ref'!H30,FIND("(",'Bball ref'!H30)+1,FIND("/",'Bball ref'!H30)-FIND("(",'Bball ref'!H30)-1))</f>
        <v>3.7</v>
      </c>
      <c r="P23" s="64">
        <f>VALUE(MID('Bball ref'!H30,FIND("/",'Bball ref'!H30)+1,FIND(")",'Bball ref'!H30)-FIND("/",'Bball ref'!H30)-1))</f>
        <v>4.9000000000000004</v>
      </c>
      <c r="Q23" s="64">
        <f>(D23-Math!B$14)/Math!B$15</f>
        <v>1.5277805355381187</v>
      </c>
      <c r="R23" s="64">
        <f>(E23-Math!C$14)/Math!C$15</f>
        <v>-0.24477021543921229</v>
      </c>
      <c r="S23" s="64">
        <f>(F23-Math!D$14)/Math!D$15</f>
        <v>-0.49197202211553048</v>
      </c>
      <c r="T23" s="64">
        <f>(G23-Math!E$14)/Math!E$15</f>
        <v>1.9162405326692709</v>
      </c>
      <c r="U23" s="64">
        <f>(H23-Math!F$14)/Math!F$15</f>
        <v>-0.64432982495104885</v>
      </c>
      <c r="V23" s="64">
        <f>(I23-Math!G$14)/Math!G$15</f>
        <v>-1.2400291533239061</v>
      </c>
      <c r="W23" s="64">
        <f>(J23-Math!H$14)/Math!H$15</f>
        <v>0.75282896171484992</v>
      </c>
      <c r="X23" s="64">
        <f>(-1)*(K23-Math!I$14)/Math!I$15</f>
        <v>-0.86998529650046597</v>
      </c>
      <c r="Y23" s="64">
        <f>(L23-Math!J$14)/Math!J$15</f>
        <v>1.3126749184962307</v>
      </c>
    </row>
    <row r="24" spans="1:25">
      <c r="A24" s="64" t="str">
        <f>IF((LEN('Bball ref'!B31)-LEN(SUBSTITUTE('Bball ref'!B31," ","")))&lt;2,'Bball ref'!B31,LEFT('Bball ref'!B31,FIND(" ",'Bball ref'!B31,FIND(" ",'Bball ref'!B31)+1)-1))</f>
        <v>Russell Westbrook</v>
      </c>
      <c r="B24" s="64">
        <f>'Bball ref'!A31</f>
        <v>23</v>
      </c>
      <c r="C24" s="64">
        <f>'Bball ref'!E31</f>
        <v>76</v>
      </c>
      <c r="D24" s="64">
        <f>VALUE(LEFT('Bball ref'!G31,FIND("(",'Bball ref'!G31)-1))</f>
        <v>0.45</v>
      </c>
      <c r="E24" s="64">
        <f>VALUE(LEFT('Bball ref'!H31,(FIND("(",'Bball ref'!H31)-1)))</f>
        <v>0.7</v>
      </c>
      <c r="F24" s="64">
        <f>'Bball ref'!I31</f>
        <v>1.7</v>
      </c>
      <c r="G24" s="64">
        <f>'Bball ref'!K31</f>
        <v>8.4</v>
      </c>
      <c r="H24" s="64">
        <f>'Bball ref'!L31</f>
        <v>8.1999999999999993</v>
      </c>
      <c r="I24" s="64">
        <f>'Bball ref'!M31</f>
        <v>1.9</v>
      </c>
      <c r="J24" s="64">
        <f>'Bball ref'!N31</f>
        <v>0.5</v>
      </c>
      <c r="K24" s="64">
        <f>'Bball ref'!O31</f>
        <v>4.0999999999999996</v>
      </c>
      <c r="L24" s="64">
        <f>'Bball ref'!J31</f>
        <v>21.2</v>
      </c>
      <c r="M24" s="64">
        <f>VALUE(MID('Bball ref'!G31,FIND("(",'Bball ref'!G31)+1,FIND("/",'Bball ref'!G31)-FIND("(",'Bball ref'!G31)-1))</f>
        <v>8.1</v>
      </c>
      <c r="N24" s="64">
        <f>VALUE(MID('Bball ref'!G31,FIND("/",'Bball ref'!G31)+1,FIND(")",'Bball ref'!G31)-FIND("/",'Bball ref'!G31)-1))</f>
        <v>18.2</v>
      </c>
      <c r="O24" s="64">
        <f>VALUE(MID('Bball ref'!H31,FIND("(",'Bball ref'!H31)+1,FIND("/",'Bball ref'!H31)-FIND("(",'Bball ref'!H31)-1))</f>
        <v>3.3</v>
      </c>
      <c r="P24" s="64">
        <f>VALUE(MID('Bball ref'!H31,FIND("/",'Bball ref'!H31)+1,FIND(")",'Bball ref'!H31)-FIND("/",'Bball ref'!H31)-1))</f>
        <v>4.7</v>
      </c>
      <c r="Q24" s="64">
        <f>(D24-Math!B$14)/Math!B$15</f>
        <v>-0.50556318992096039</v>
      </c>
      <c r="R24" s="64">
        <f>(E24-Math!C$14)/Math!C$15</f>
        <v>-0.97181045931806143</v>
      </c>
      <c r="S24" s="64">
        <f>(F24-Math!D$14)/Math!D$15</f>
        <v>0.26324818727234567</v>
      </c>
      <c r="T24" s="64">
        <f>(G24-Math!E$14)/Math!E$15</f>
        <v>0.96676053431961706</v>
      </c>
      <c r="U24" s="64">
        <f>(H24-Math!F$14)/Math!F$15</f>
        <v>2.4657090342910681</v>
      </c>
      <c r="V24" s="64">
        <f>(I24-Math!G$14)/Math!G$15</f>
        <v>2.4536747076409187</v>
      </c>
      <c r="W24" s="64">
        <f>(J24-Math!H$14)/Math!H$15</f>
        <v>-0.35156560314800916</v>
      </c>
      <c r="X24" s="64">
        <f>(-1)*(K24-Math!I$14)/Math!I$15</f>
        <v>-3.1505944006651396</v>
      </c>
      <c r="Y24" s="64">
        <f>(L24-Math!J$14)/Math!J$15</f>
        <v>1.1923747884981033</v>
      </c>
    </row>
    <row r="25" spans="1:25">
      <c r="A25" s="64" t="str">
        <f>IF((LEN('Bball ref'!B32)-LEN(SUBSTITUTE('Bball ref'!B32," ","")))&lt;2,'Bball ref'!B32,LEFT('Bball ref'!B32,FIND(" ",'Bball ref'!B32,FIND(" ",'Bball ref'!B32)+1)-1))</f>
        <v>Trae Young</v>
      </c>
      <c r="B25" s="64">
        <f>'Bball ref'!A32</f>
        <v>24</v>
      </c>
      <c r="C25" s="64">
        <f>'Bball ref'!E32</f>
        <v>78</v>
      </c>
      <c r="D25" s="64">
        <f>VALUE(LEFT('Bball ref'!G32,FIND("(",'Bball ref'!G32)-1))</f>
        <v>0.43</v>
      </c>
      <c r="E25" s="64">
        <f>VALUE(LEFT('Bball ref'!H32,(FIND("(",'Bball ref'!H32)-1)))</f>
        <v>0.86</v>
      </c>
      <c r="F25" s="64">
        <f>'Bball ref'!I32</f>
        <v>2.4</v>
      </c>
      <c r="G25" s="64">
        <f>'Bball ref'!K32</f>
        <v>4</v>
      </c>
      <c r="H25" s="64">
        <f>'Bball ref'!L32</f>
        <v>8.9</v>
      </c>
      <c r="I25" s="64">
        <f>'Bball ref'!M32</f>
        <v>1</v>
      </c>
      <c r="J25" s="64">
        <f>'Bball ref'!N32</f>
        <v>0.2</v>
      </c>
      <c r="K25" s="64">
        <f>'Bball ref'!O32</f>
        <v>3.9</v>
      </c>
      <c r="L25" s="64">
        <f>'Bball ref'!J32</f>
        <v>22.3</v>
      </c>
      <c r="M25" s="64">
        <f>VALUE(MID('Bball ref'!G32,FIND("(",'Bball ref'!G32)+1,FIND("/",'Bball ref'!G32)-FIND("(",'Bball ref'!G32)-1))</f>
        <v>7.5</v>
      </c>
      <c r="N25" s="64">
        <f>VALUE(MID('Bball ref'!G32,FIND("/",'Bball ref'!G32)+1,FIND(")",'Bball ref'!G32)-FIND("/",'Bball ref'!G32)-1))</f>
        <v>17.3</v>
      </c>
      <c r="O25" s="64">
        <f>VALUE(MID('Bball ref'!H32,FIND("(",'Bball ref'!H32)+1,FIND("/",'Bball ref'!H32)-FIND("(",'Bball ref'!H32)-1))</f>
        <v>4.9000000000000004</v>
      </c>
      <c r="P25" s="64">
        <f>VALUE(MID('Bball ref'!H32,FIND("/",'Bball ref'!H32)+1,FIND(")",'Bball ref'!H32)-FIND("/",'Bball ref'!H32)-1))</f>
        <v>5.7</v>
      </c>
      <c r="Q25" s="64">
        <f>(D25-Math!B$14)/Math!B$15</f>
        <v>-0.87526204909533856</v>
      </c>
      <c r="R25" s="64">
        <f>(E25-Math!C$14)/Math!C$15</f>
        <v>0.96696352435886834</v>
      </c>
      <c r="S25" s="64">
        <f>(F25-Math!D$14)/Math!D$15</f>
        <v>1.0184683966602219</v>
      </c>
      <c r="T25" s="64">
        <f>(G25-Math!E$14)/Math!E$15</f>
        <v>-0.70432426277577376</v>
      </c>
      <c r="U25" s="64">
        <f>(H25-Math!F$14)/Math!F$15</f>
        <v>2.8168424538829209</v>
      </c>
      <c r="V25" s="64">
        <f>(I25-Math!G$14)/Math!G$15</f>
        <v>7.9150797020674304E-2</v>
      </c>
      <c r="W25" s="64">
        <f>(J25-Math!H$14)/Math!H$15</f>
        <v>-0.90376288557943862</v>
      </c>
      <c r="X25" s="64">
        <f>(-1)*(K25-Math!I$14)/Math!I$15</f>
        <v>-2.8822874472340012</v>
      </c>
      <c r="Y25" s="64">
        <f>(L25-Math!J$14)/Math!J$15</f>
        <v>1.4129250268280034</v>
      </c>
    </row>
    <row r="26" spans="1:25">
      <c r="A26" s="64" t="str">
        <f>IF((LEN('Bball ref'!B34)-LEN(SUBSTITUTE('Bball ref'!B34," ","")))&lt;2,'Bball ref'!B34,LEFT('Bball ref'!B34,FIND(" ",'Bball ref'!B34,FIND(" ",'Bball ref'!B34)+1)-1))</f>
        <v>Myles Turner</v>
      </c>
      <c r="B26" s="64">
        <f>'Bball ref'!A34</f>
        <v>25</v>
      </c>
      <c r="C26" s="64">
        <f>'Bball ref'!E34</f>
        <v>76</v>
      </c>
      <c r="D26" s="64">
        <f>VALUE(LEFT('Bball ref'!G34,FIND("(",'Bball ref'!G34)-1))</f>
        <v>0.48</v>
      </c>
      <c r="E26" s="64">
        <f>VALUE(LEFT('Bball ref'!H34,(FIND("(",'Bball ref'!H34)-1)))</f>
        <v>0.73</v>
      </c>
      <c r="F26" s="64">
        <f>'Bball ref'!I34</f>
        <v>1.1000000000000001</v>
      </c>
      <c r="G26" s="64">
        <f>'Bball ref'!K34</f>
        <v>7.9</v>
      </c>
      <c r="H26" s="64">
        <f>'Bball ref'!L34</f>
        <v>1.8</v>
      </c>
      <c r="I26" s="64">
        <f>'Bball ref'!M34</f>
        <v>0.8</v>
      </c>
      <c r="J26" s="64">
        <f>'Bball ref'!N34</f>
        <v>2.8</v>
      </c>
      <c r="K26" s="64">
        <f>'Bball ref'!O34</f>
        <v>1.5</v>
      </c>
      <c r="L26" s="64">
        <f>'Bball ref'!J34</f>
        <v>14.6</v>
      </c>
      <c r="M26" s="64">
        <f>VALUE(MID('Bball ref'!G34,FIND("(",'Bball ref'!G34)+1,FIND("/",'Bball ref'!G34)-FIND("(",'Bball ref'!G34)-1))</f>
        <v>5.6</v>
      </c>
      <c r="N26" s="64">
        <f>VALUE(MID('Bball ref'!G34,FIND("/",'Bball ref'!G34)+1,FIND(")",'Bball ref'!G34)-FIND("/",'Bball ref'!G34)-1))</f>
        <v>11.7</v>
      </c>
      <c r="O26" s="64">
        <f>VALUE(MID('Bball ref'!H34,FIND("(",'Bball ref'!H34)+1,FIND("/",'Bball ref'!H34)-FIND("(",'Bball ref'!H34)-1))</f>
        <v>2.2000000000000002</v>
      </c>
      <c r="P26" s="64">
        <f>VALUE(MID('Bball ref'!H34,FIND("/",'Bball ref'!H34)+1,FIND(")",'Bball ref'!H34)-FIND("/",'Bball ref'!H34)-1))</f>
        <v>3</v>
      </c>
      <c r="Q26" s="64">
        <f>(D26-Math!B$14)/Math!B$15</f>
        <v>4.8985098840605826E-2</v>
      </c>
      <c r="R26" s="64">
        <f>(E26-Math!C$14)/Math!C$15</f>
        <v>-0.6082903373786368</v>
      </c>
      <c r="S26" s="64">
        <f>(F26-Math!D$14)/Math!D$15</f>
        <v>-0.38408342077440522</v>
      </c>
      <c r="T26" s="64">
        <f>(G26-Math!E$14)/Math!E$15</f>
        <v>0.7768645346496863</v>
      </c>
      <c r="U26" s="64">
        <f>(H26-Math!F$14)/Math!F$15</f>
        <v>-0.74465365912014936</v>
      </c>
      <c r="V26" s="64">
        <f>(I26-Math!G$14)/Math!G$15</f>
        <v>-0.44852118311715766</v>
      </c>
      <c r="W26" s="64">
        <f>(J26-Math!H$14)/Math!H$15</f>
        <v>3.8819468954929497</v>
      </c>
      <c r="X26" s="64">
        <f>(-1)*(K26-Math!I$14)/Math!I$15</f>
        <v>0.3373959939396553</v>
      </c>
      <c r="Y26" s="64">
        <f>(L26-Math!J$14)/Math!J$15</f>
        <v>-0.13092664148129513</v>
      </c>
    </row>
    <row r="27" spans="1:25">
      <c r="A27" s="64" t="str">
        <f>IF((LEN('Bball ref'!B35)-LEN(SUBSTITUTE('Bball ref'!B35," ","")))&lt;2,'Bball ref'!B35,LEFT('Bball ref'!B35,FIND(" ",'Bball ref'!B35,FIND(" ",'Bball ref'!B35)+1)-1))</f>
        <v>Mike Conley</v>
      </c>
      <c r="B27" s="64">
        <f>'Bball ref'!A35</f>
        <v>26</v>
      </c>
      <c r="C27" s="64">
        <f>'Bball ref'!E35</f>
        <v>70</v>
      </c>
      <c r="D27" s="64">
        <f>VALUE(LEFT('Bball ref'!G35,FIND("(",'Bball ref'!G35)-1))</f>
        <v>0.46</v>
      </c>
      <c r="E27" s="64">
        <f>VALUE(LEFT('Bball ref'!H35,(FIND("(",'Bball ref'!H35)-1)))</f>
        <v>0.84</v>
      </c>
      <c r="F27" s="64">
        <f>'Bball ref'!I35</f>
        <v>2.2000000000000002</v>
      </c>
      <c r="G27" s="64">
        <f>'Bball ref'!K35</f>
        <v>3.4</v>
      </c>
      <c r="H27" s="64">
        <f>'Bball ref'!L35</f>
        <v>6</v>
      </c>
      <c r="I27" s="64">
        <f>'Bball ref'!M35</f>
        <v>1.2</v>
      </c>
      <c r="J27" s="64">
        <f>'Bball ref'!N35</f>
        <v>0.3</v>
      </c>
      <c r="K27" s="64">
        <f>'Bball ref'!O35</f>
        <v>1.8</v>
      </c>
      <c r="L27" s="64">
        <f>'Bball ref'!J35</f>
        <v>19.3</v>
      </c>
      <c r="M27" s="64">
        <f>VALUE(MID('Bball ref'!G35,FIND("(",'Bball ref'!G35)+1,FIND("/",'Bball ref'!G35)-FIND("(",'Bball ref'!G35)-1))</f>
        <v>6.1</v>
      </c>
      <c r="N27" s="64">
        <f>VALUE(MID('Bball ref'!G35,FIND("/",'Bball ref'!G35)+1,FIND(")",'Bball ref'!G35)-FIND("/",'Bball ref'!G35)-1))</f>
        <v>13.4</v>
      </c>
      <c r="O27" s="64">
        <f>VALUE(MID('Bball ref'!H35,FIND("(",'Bball ref'!H35)+1,FIND("/",'Bball ref'!H35)-FIND("(",'Bball ref'!H35)-1))</f>
        <v>4.9000000000000004</v>
      </c>
      <c r="P27" s="64">
        <f>VALUE(MID('Bball ref'!H35,FIND("/",'Bball ref'!H35)+1,FIND(")",'Bball ref'!H35)-FIND("/",'Bball ref'!H35)-1))</f>
        <v>5.8</v>
      </c>
      <c r="Q27" s="64">
        <f>(D27-Math!B$14)/Math!B$15</f>
        <v>-0.3207137603337713</v>
      </c>
      <c r="R27" s="64">
        <f>(E27-Math!C$14)/Math!C$15</f>
        <v>0.72461677639925193</v>
      </c>
      <c r="S27" s="64">
        <f>(F27-Math!D$14)/Math!D$15</f>
        <v>0.80269119397797173</v>
      </c>
      <c r="T27" s="64">
        <f>(G27-Math!E$14)/Math!E$15</f>
        <v>-0.93219946237969076</v>
      </c>
      <c r="U27" s="64">
        <f>(H27-Math!F$14)/Math!F$15</f>
        <v>1.3621468584309626</v>
      </c>
      <c r="V27" s="64">
        <f>(I27-Math!G$14)/Math!G$15</f>
        <v>0.6068227771585063</v>
      </c>
      <c r="W27" s="64">
        <f>(J27-Math!H$14)/Math!H$15</f>
        <v>-0.71969712476896219</v>
      </c>
      <c r="X27" s="64">
        <f>(-1)*(K27-Math!I$14)/Math!I$15</f>
        <v>-6.5064436207051865E-2</v>
      </c>
      <c r="Y27" s="64">
        <f>(L27-Math!J$14)/Math!J$15</f>
        <v>0.81142437683736768</v>
      </c>
    </row>
    <row r="28" spans="1:25">
      <c r="A28" s="64" t="str">
        <f>IF((LEN('Bball ref'!B36)-LEN(SUBSTITUTE('Bball ref'!B36," ","")))&lt;2,'Bball ref'!B36,LEFT('Bball ref'!B36,FIND(" ",'Bball ref'!B36,FIND(" ",'Bball ref'!B36)+1)-1))</f>
        <v>Chris Paul</v>
      </c>
      <c r="B28" s="64">
        <f>'Bball ref'!A36</f>
        <v>27</v>
      </c>
      <c r="C28" s="64">
        <f>'Bball ref'!E36</f>
        <v>64</v>
      </c>
      <c r="D28" s="64">
        <f>VALUE(LEFT('Bball ref'!G36,FIND("(",'Bball ref'!G36)-1))</f>
        <v>0.43</v>
      </c>
      <c r="E28" s="64">
        <f>VALUE(LEFT('Bball ref'!H36,(FIND("(",'Bball ref'!H36)-1)))</f>
        <v>0.88</v>
      </c>
      <c r="F28" s="64">
        <f>'Bball ref'!I36</f>
        <v>2</v>
      </c>
      <c r="G28" s="64">
        <f>'Bball ref'!K36</f>
        <v>3.8</v>
      </c>
      <c r="H28" s="64">
        <f>'Bball ref'!L36</f>
        <v>7.7</v>
      </c>
      <c r="I28" s="64">
        <f>'Bball ref'!M36</f>
        <v>1.6</v>
      </c>
      <c r="J28" s="64">
        <f>'Bball ref'!N36</f>
        <v>0.3</v>
      </c>
      <c r="K28" s="64">
        <f>'Bball ref'!O36</f>
        <v>2.6</v>
      </c>
      <c r="L28" s="64">
        <f>'Bball ref'!J36</f>
        <v>15.5</v>
      </c>
      <c r="M28" s="64">
        <f>VALUE(MID('Bball ref'!G36,FIND("(",'Bball ref'!G36)+1,FIND("/",'Bball ref'!G36)-FIND("(",'Bball ref'!G36)-1))</f>
        <v>5.3</v>
      </c>
      <c r="N28" s="64">
        <f>VALUE(MID('Bball ref'!G36,FIND("/",'Bball ref'!G36)+1,FIND(")",'Bball ref'!G36)-FIND("/",'Bball ref'!G36)-1))</f>
        <v>12.2</v>
      </c>
      <c r="O28" s="64">
        <f>VALUE(MID('Bball ref'!H36,FIND("(",'Bball ref'!H36)+1,FIND("/",'Bball ref'!H36)-FIND("(",'Bball ref'!H36)-1))</f>
        <v>2.9</v>
      </c>
      <c r="P28" s="64">
        <f>VALUE(MID('Bball ref'!H36,FIND("/",'Bball ref'!H36)+1,FIND(")",'Bball ref'!H36)-FIND("/",'Bball ref'!H36)-1))</f>
        <v>3.3</v>
      </c>
      <c r="Q28" s="64">
        <f>(D28-Math!B$14)/Math!B$15</f>
        <v>-0.87526204909533856</v>
      </c>
      <c r="R28" s="64">
        <f>(E28-Math!C$14)/Math!C$15</f>
        <v>1.2093102723184848</v>
      </c>
      <c r="S28" s="64">
        <f>(F28-Math!D$14)/Math!D$15</f>
        <v>0.58691399129572119</v>
      </c>
      <c r="T28" s="64">
        <f>(G28-Math!E$14)/Math!E$15</f>
        <v>-0.78028266264374613</v>
      </c>
      <c r="U28" s="64">
        <f>(H28-Math!F$14)/Math!F$15</f>
        <v>2.2148994488683176</v>
      </c>
      <c r="V28" s="64">
        <f>(I28-Math!G$14)/Math!G$15</f>
        <v>1.6621667374341709</v>
      </c>
      <c r="W28" s="64">
        <f>(J28-Math!H$14)/Math!H$15</f>
        <v>-0.71969712476896219</v>
      </c>
      <c r="X28" s="64">
        <f>(-1)*(K28-Math!I$14)/Math!I$15</f>
        <v>-1.1382922499316042</v>
      </c>
      <c r="Y28" s="64">
        <f>(L28-Math!J$14)/Math!J$15</f>
        <v>4.9523553515895651E-2</v>
      </c>
    </row>
    <row r="29" spans="1:25">
      <c r="A29" s="64" t="str">
        <f>IF((LEN('Bball ref'!B37)-LEN(SUBSTITUTE('Bball ref'!B37," ","")))&lt;2,'Bball ref'!B37,LEFT('Bball ref'!B37,FIND(" ",'Bball ref'!B37,FIND(" ",'Bball ref'!B37)+1)-1))</f>
        <v>Draymond Green</v>
      </c>
      <c r="B29" s="64">
        <f>'Bball ref'!A37</f>
        <v>28</v>
      </c>
      <c r="C29" s="64">
        <f>'Bball ref'!E37</f>
        <v>74</v>
      </c>
      <c r="D29" s="64">
        <f>VALUE(LEFT('Bball ref'!G37,FIND("(",'Bball ref'!G37)-1))</f>
        <v>0.45</v>
      </c>
      <c r="E29" s="64">
        <f>VALUE(LEFT('Bball ref'!H37,(FIND("(",'Bball ref'!H37)-1)))</f>
        <v>0.69</v>
      </c>
      <c r="F29" s="64">
        <f>'Bball ref'!I37</f>
        <v>1</v>
      </c>
      <c r="G29" s="64">
        <f>'Bball ref'!K37</f>
        <v>7.7</v>
      </c>
      <c r="H29" s="64">
        <f>'Bball ref'!L37</f>
        <v>7.6</v>
      </c>
      <c r="I29" s="64">
        <f>'Bball ref'!M37</f>
        <v>1.5</v>
      </c>
      <c r="J29" s="64">
        <f>'Bball ref'!N37</f>
        <v>1.2</v>
      </c>
      <c r="K29" s="64">
        <f>'Bball ref'!O37</f>
        <v>2.7</v>
      </c>
      <c r="L29" s="64">
        <f>'Bball ref'!J37</f>
        <v>10.3</v>
      </c>
      <c r="M29" s="64">
        <f>VALUE(MID('Bball ref'!G37,FIND("(",'Bball ref'!G37)+1,FIND("/",'Bball ref'!G37)-FIND("(",'Bball ref'!G37)-1))</f>
        <v>4.0999999999999996</v>
      </c>
      <c r="N29" s="64">
        <f>VALUE(MID('Bball ref'!G37,FIND("/",'Bball ref'!G37)+1,FIND(")",'Bball ref'!G37)-FIND("/",'Bball ref'!G37)-1))</f>
        <v>9.1</v>
      </c>
      <c r="O29" s="64">
        <f>VALUE(MID('Bball ref'!H37,FIND("(",'Bball ref'!H37)+1,FIND("/",'Bball ref'!H37)-FIND("(",'Bball ref'!H37)-1))</f>
        <v>1.1000000000000001</v>
      </c>
      <c r="P29" s="64">
        <f>VALUE(MID('Bball ref'!H37,FIND("/",'Bball ref'!H37)+1,FIND(")",'Bball ref'!H37)-FIND("/",'Bball ref'!H37)-1))</f>
        <v>1.6</v>
      </c>
      <c r="Q29" s="64">
        <f>(D29-Math!B$14)/Math!B$15</f>
        <v>-0.50556318992096039</v>
      </c>
      <c r="R29" s="64">
        <f>(E29-Math!C$14)/Math!C$15</f>
        <v>-1.0929838332978696</v>
      </c>
      <c r="S29" s="64">
        <f>(F29-Math!D$14)/Math!D$15</f>
        <v>-0.49197202211553048</v>
      </c>
      <c r="T29" s="64">
        <f>(G29-Math!E$14)/Math!E$15</f>
        <v>0.70090613478171393</v>
      </c>
      <c r="U29" s="64">
        <f>(H29-Math!F$14)/Math!F$15</f>
        <v>2.1647375317837669</v>
      </c>
      <c r="V29" s="64">
        <f>(I29-Math!G$14)/Math!G$15</f>
        <v>1.3983307473652546</v>
      </c>
      <c r="W29" s="64">
        <f>(J29-Math!H$14)/Math!H$15</f>
        <v>0.93689472252532613</v>
      </c>
      <c r="X29" s="64">
        <f>(-1)*(K29-Math!I$14)/Math!I$15</f>
        <v>-1.2724457266471734</v>
      </c>
      <c r="Y29" s="64">
        <f>(L29-Math!J$14)/Math!J$15</f>
        <v>-0.99307757313453937</v>
      </c>
    </row>
    <row r="30" spans="1:25">
      <c r="A30" s="64" t="str">
        <f>IF((LEN('Bball ref'!B38)-LEN(SUBSTITUTE('Bball ref'!B38," ","")))&lt;2,'Bball ref'!B38,LEFT('Bball ref'!B38,FIND(" ",'Bball ref'!B38,FIND(" ",'Bball ref'!B38)+1)-1))</f>
        <v>LaMarcus Aldridge</v>
      </c>
      <c r="B30" s="64">
        <f>'Bball ref'!A38</f>
        <v>29</v>
      </c>
      <c r="C30" s="64">
        <f>'Bball ref'!E38</f>
        <v>76</v>
      </c>
      <c r="D30" s="64">
        <f>VALUE(LEFT('Bball ref'!G38,FIND("(",'Bball ref'!G38)-1))</f>
        <v>0.51</v>
      </c>
      <c r="E30" s="64">
        <f>VALUE(LEFT('Bball ref'!H38,(FIND("(",'Bball ref'!H38)-1)))</f>
        <v>0.85</v>
      </c>
      <c r="F30" s="64">
        <f>'Bball ref'!I38</f>
        <v>0.1</v>
      </c>
      <c r="G30" s="64">
        <f>'Bball ref'!K38</f>
        <v>8.9</v>
      </c>
      <c r="H30" s="64">
        <f>'Bball ref'!L38</f>
        <v>2.1</v>
      </c>
      <c r="I30" s="64">
        <f>'Bball ref'!M38</f>
        <v>0.5</v>
      </c>
      <c r="J30" s="64">
        <f>'Bball ref'!N38</f>
        <v>1.2</v>
      </c>
      <c r="K30" s="64">
        <f>'Bball ref'!O38</f>
        <v>1.8</v>
      </c>
      <c r="L30" s="64">
        <f>'Bball ref'!J38</f>
        <v>20.8</v>
      </c>
      <c r="M30" s="64">
        <f>VALUE(MID('Bball ref'!G38,FIND("(",'Bball ref'!G38)+1,FIND("/",'Bball ref'!G38)-FIND("(",'Bball ref'!G38)-1))</f>
        <v>8.1</v>
      </c>
      <c r="N30" s="64">
        <f>VALUE(MID('Bball ref'!G38,FIND("/",'Bball ref'!G38)+1,FIND(")",'Bball ref'!G38)-FIND("/",'Bball ref'!G38)-1))</f>
        <v>16</v>
      </c>
      <c r="O30" s="64">
        <f>VALUE(MID('Bball ref'!H38,FIND("(",'Bball ref'!H38)+1,FIND("/",'Bball ref'!H38)-FIND("(",'Bball ref'!H38)-1))</f>
        <v>4.5</v>
      </c>
      <c r="P30" s="64">
        <f>VALUE(MID('Bball ref'!H38,FIND("/",'Bball ref'!H38)+1,FIND(")",'Bball ref'!H38)-FIND("/",'Bball ref'!H38)-1))</f>
        <v>5.3</v>
      </c>
      <c r="Q30" s="64">
        <f>(D30-Math!B$14)/Math!B$15</f>
        <v>0.60353338760217312</v>
      </c>
      <c r="R30" s="64">
        <f>(E30-Math!C$14)/Math!C$15</f>
        <v>0.84579015037906013</v>
      </c>
      <c r="S30" s="64">
        <f>(F30-Math!D$14)/Math!D$15</f>
        <v>-1.4629694341856569</v>
      </c>
      <c r="T30" s="64">
        <f>(G30-Math!E$14)/Math!E$15</f>
        <v>1.1566565339895478</v>
      </c>
      <c r="U30" s="64">
        <f>(H30-Math!F$14)/Math!F$15</f>
        <v>-0.59416790786649853</v>
      </c>
      <c r="V30" s="64">
        <f>(I30-Math!G$14)/Math!G$15</f>
        <v>-1.2400291533239061</v>
      </c>
      <c r="W30" s="64">
        <f>(J30-Math!H$14)/Math!H$15</f>
        <v>0.93689472252532613</v>
      </c>
      <c r="X30" s="64">
        <f>(-1)*(K30-Math!I$14)/Math!I$15</f>
        <v>-6.5064436207051865E-2</v>
      </c>
      <c r="Y30" s="64">
        <f>(L30-Math!J$14)/Math!J$15</f>
        <v>1.1121747018326855</v>
      </c>
    </row>
    <row r="31" spans="1:25">
      <c r="A31" s="64" t="str">
        <f>IF((LEN('Bball ref'!B39)-LEN(SUBSTITUTE('Bball ref'!B39," ","")))&lt;2,'Bball ref'!B39,LEFT('Bball ref'!B39,FIND(" ",'Bball ref'!B39,FIND(" ",'Bball ref'!B39)+1)-1))</f>
        <v>Pascal Siakam</v>
      </c>
      <c r="B31" s="64">
        <f>'Bball ref'!A39</f>
        <v>30</v>
      </c>
      <c r="C31" s="64">
        <f>'Bball ref'!E39</f>
        <v>78</v>
      </c>
      <c r="D31" s="64">
        <f>VALUE(LEFT('Bball ref'!G39,FIND("(",'Bball ref'!G39)-1))</f>
        <v>0.52</v>
      </c>
      <c r="E31" s="64">
        <f>VALUE(LEFT('Bball ref'!H39,(FIND("(",'Bball ref'!H39)-1)))</f>
        <v>0.79</v>
      </c>
      <c r="F31" s="64">
        <f>'Bball ref'!I39</f>
        <v>1.1000000000000001</v>
      </c>
      <c r="G31" s="64">
        <f>'Bball ref'!K39</f>
        <v>7.7</v>
      </c>
      <c r="H31" s="64">
        <f>'Bball ref'!L39</f>
        <v>3.5</v>
      </c>
      <c r="I31" s="64">
        <f>'Bball ref'!M39</f>
        <v>1</v>
      </c>
      <c r="J31" s="64">
        <f>'Bball ref'!N39</f>
        <v>0.7</v>
      </c>
      <c r="K31" s="64">
        <f>'Bball ref'!O39</f>
        <v>2</v>
      </c>
      <c r="L31" s="64">
        <f>'Bball ref'!J39</f>
        <v>18.8</v>
      </c>
      <c r="M31" s="64">
        <f>VALUE(MID('Bball ref'!G39,FIND("(",'Bball ref'!G39)+1,FIND("/",'Bball ref'!G39)-FIND("(",'Bball ref'!G39)-1))</f>
        <v>7.1</v>
      </c>
      <c r="N31" s="64">
        <f>VALUE(MID('Bball ref'!G39,FIND("/",'Bball ref'!G39)+1,FIND(")",'Bball ref'!G39)-FIND("/",'Bball ref'!G39)-1))</f>
        <v>13.6</v>
      </c>
      <c r="O31" s="64">
        <f>VALUE(MID('Bball ref'!H39,FIND("(",'Bball ref'!H39)+1,FIND("/",'Bball ref'!H39)-FIND("(",'Bball ref'!H39)-1))</f>
        <v>3.4</v>
      </c>
      <c r="P31" s="64">
        <f>VALUE(MID('Bball ref'!H39,FIND("/",'Bball ref'!H39)+1,FIND(")",'Bball ref'!H39)-FIND("/",'Bball ref'!H39)-1))</f>
        <v>4.3</v>
      </c>
      <c r="Q31" s="64">
        <f>(D31-Math!B$14)/Math!B$15</f>
        <v>0.78838281718936221</v>
      </c>
      <c r="R31" s="64">
        <f>(E31-Math!C$14)/Math!C$15</f>
        <v>0.11874990650021229</v>
      </c>
      <c r="S31" s="64">
        <f>(F31-Math!D$14)/Math!D$15</f>
        <v>-0.38408342077440522</v>
      </c>
      <c r="T31" s="64">
        <f>(G31-Math!E$14)/Math!E$15</f>
        <v>0.70090613478171393</v>
      </c>
      <c r="U31" s="64">
        <f>(H31-Math!F$14)/Math!F$15</f>
        <v>0.10809893131720544</v>
      </c>
      <c r="V31" s="64">
        <f>(I31-Math!G$14)/Math!G$15</f>
        <v>7.9150797020674304E-2</v>
      </c>
      <c r="W31" s="64">
        <f>(J31-Math!H$14)/Math!H$15</f>
        <v>1.6565918472943714E-2</v>
      </c>
      <c r="X31" s="64">
        <f>(-1)*(K31-Math!I$14)/Math!I$15</f>
        <v>-0.33337138963818985</v>
      </c>
      <c r="Y31" s="64">
        <f>(L31-Math!J$14)/Math!J$15</f>
        <v>0.71117426850559506</v>
      </c>
    </row>
    <row r="32" spans="1:25">
      <c r="A32" s="64" t="str">
        <f>IF((LEN('Bball ref'!B40)-LEN(SUBSTITUTE('Bball ref'!B40," ","")))&lt;2,'Bball ref'!B40,LEFT('Bball ref'!B40,FIND(" ",'Bball ref'!B40,FIND(" ",'Bball ref'!B40)+1)-1))</f>
        <v>Robert Covington</v>
      </c>
      <c r="B32" s="64">
        <f>'Bball ref'!A40</f>
        <v>31</v>
      </c>
      <c r="C32" s="64">
        <f>'Bball ref'!E40</f>
        <v>66</v>
      </c>
      <c r="D32" s="64">
        <f>VALUE(LEFT('Bball ref'!G40,FIND("(",'Bball ref'!G40)-1))</f>
        <v>0.44</v>
      </c>
      <c r="E32" s="64">
        <f>VALUE(LEFT('Bball ref'!H40,(FIND("(",'Bball ref'!H40)-1)))</f>
        <v>0.76</v>
      </c>
      <c r="F32" s="64">
        <f>'Bball ref'!I40</f>
        <v>2.4</v>
      </c>
      <c r="G32" s="64">
        <f>'Bball ref'!K40</f>
        <v>5.5</v>
      </c>
      <c r="H32" s="64">
        <f>'Bball ref'!L40</f>
        <v>1.3</v>
      </c>
      <c r="I32" s="64">
        <f>'Bball ref'!M40</f>
        <v>2</v>
      </c>
      <c r="J32" s="64">
        <f>'Bball ref'!N40</f>
        <v>1.3</v>
      </c>
      <c r="K32" s="64">
        <f>'Bball ref'!O40</f>
        <v>1.2</v>
      </c>
      <c r="L32" s="64">
        <f>'Bball ref'!J40</f>
        <v>13.5</v>
      </c>
      <c r="M32" s="64">
        <f>VALUE(MID('Bball ref'!G40,FIND("(",'Bball ref'!G40)+1,FIND("/",'Bball ref'!G40)-FIND("(",'Bball ref'!G40)-1))</f>
        <v>4.5999999999999996</v>
      </c>
      <c r="N32" s="64">
        <f>VALUE(MID('Bball ref'!G40,FIND("/",'Bball ref'!G40)+1,FIND(")",'Bball ref'!G40)-FIND("/",'Bball ref'!G40)-1))</f>
        <v>10.4</v>
      </c>
      <c r="O32" s="64">
        <f>VALUE(MID('Bball ref'!H40,FIND("(",'Bball ref'!H40)+1,FIND("/",'Bball ref'!H40)-FIND("(",'Bball ref'!H40)-1))</f>
        <v>1.9</v>
      </c>
      <c r="P32" s="64">
        <f>VALUE(MID('Bball ref'!H40,FIND("/",'Bball ref'!H40)+1,FIND(")",'Bball ref'!H40)-FIND("/",'Bball ref'!H40)-1))</f>
        <v>2.5</v>
      </c>
      <c r="Q32" s="64">
        <f>(D32-Math!B$14)/Math!B$15</f>
        <v>-0.69041261950814947</v>
      </c>
      <c r="R32" s="64">
        <f>(E32-Math!C$14)/Math!C$15</f>
        <v>-0.24477021543921229</v>
      </c>
      <c r="S32" s="64">
        <f>(F32-Math!D$14)/Math!D$15</f>
        <v>1.0184683966602219</v>
      </c>
      <c r="T32" s="64">
        <f>(G32-Math!E$14)/Math!E$15</f>
        <v>-0.13463626376598151</v>
      </c>
      <c r="U32" s="64">
        <f>(H32-Math!F$14)/Math!F$15</f>
        <v>-0.9954632445429008</v>
      </c>
      <c r="V32" s="64">
        <f>(I32-Math!G$14)/Math!G$15</f>
        <v>2.7175106977098347</v>
      </c>
      <c r="W32" s="64">
        <f>(J32-Math!H$14)/Math!H$15</f>
        <v>1.1209604833358027</v>
      </c>
      <c r="X32" s="64">
        <f>(-1)*(K32-Math!I$14)/Math!I$15</f>
        <v>0.73985642408636254</v>
      </c>
      <c r="Y32" s="64">
        <f>(L32-Math!J$14)/Math!J$15</f>
        <v>-0.3514768798111948</v>
      </c>
    </row>
    <row r="33" spans="1:25">
      <c r="A33" s="64" t="str">
        <f>IF((LEN('Bball ref'!B41)-LEN(SUBSTITUTE('Bball ref'!B41," ","")))&lt;2,'Bball ref'!B41,LEFT('Bball ref'!B41,FIND(" ",'Bball ref'!B41,FIND(" ",'Bball ref'!B41)+1)-1))</f>
        <v>Zion Williamson</v>
      </c>
      <c r="B33" s="64">
        <f>'Bball ref'!A41</f>
        <v>32</v>
      </c>
      <c r="C33" s="64">
        <f>'Bball ref'!E41</f>
        <v>60</v>
      </c>
      <c r="D33" s="64">
        <f>VALUE(LEFT('Bball ref'!G41,FIND("(",'Bball ref'!G41)-1))</f>
        <v>0.56000000000000005</v>
      </c>
      <c r="E33" s="64">
        <f>VALUE(LEFT('Bball ref'!H41,(FIND("(",'Bball ref'!H41)-1)))</f>
        <v>0.69</v>
      </c>
      <c r="F33" s="64">
        <f>'Bball ref'!I41</f>
        <v>0.5</v>
      </c>
      <c r="G33" s="64">
        <f>'Bball ref'!K41</f>
        <v>8.6</v>
      </c>
      <c r="H33" s="64">
        <f>'Bball ref'!L41</f>
        <v>2.7</v>
      </c>
      <c r="I33" s="64">
        <f>'Bball ref'!M41</f>
        <v>1.6</v>
      </c>
      <c r="J33" s="64">
        <f>'Bball ref'!N41</f>
        <v>0.9</v>
      </c>
      <c r="K33" s="64">
        <f>'Bball ref'!O41</f>
        <v>2.4</v>
      </c>
      <c r="L33" s="64">
        <f>'Bball ref'!J41</f>
        <v>19.2</v>
      </c>
      <c r="M33" s="64">
        <f>VALUE(MID('Bball ref'!G41,FIND("(",'Bball ref'!G41)+1,FIND("/",'Bball ref'!G41)-FIND("(",'Bball ref'!G41)-1))</f>
        <v>7.3</v>
      </c>
      <c r="N33" s="64">
        <f>VALUE(MID('Bball ref'!G41,FIND("/",'Bball ref'!G41)+1,FIND(")",'Bball ref'!G41)-FIND("/",'Bball ref'!G41)-1))</f>
        <v>13.1</v>
      </c>
      <c r="O33" s="64">
        <f>VALUE(MID('Bball ref'!H41,FIND("(",'Bball ref'!H41)+1,FIND("/",'Bball ref'!H41)-FIND("(",'Bball ref'!H41)-1))</f>
        <v>4</v>
      </c>
      <c r="P33" s="64">
        <f>VALUE(MID('Bball ref'!H41,FIND("/",'Bball ref'!H41)+1,FIND(")",'Bball ref'!H41)-FIND("/",'Bball ref'!H41)-1))</f>
        <v>5.8</v>
      </c>
      <c r="Q33" s="64">
        <f>(D33-Math!B$14)/Math!B$15</f>
        <v>1.5277805355381187</v>
      </c>
      <c r="R33" s="64">
        <f>(E33-Math!C$14)/Math!C$15</f>
        <v>-1.0929838332978696</v>
      </c>
      <c r="S33" s="64">
        <f>(F33-Math!D$14)/Math!D$15</f>
        <v>-1.0314150288211563</v>
      </c>
      <c r="T33" s="64">
        <f>(G33-Math!E$14)/Math!E$15</f>
        <v>1.0427189341875891</v>
      </c>
      <c r="U33" s="64">
        <f>(H33-Math!F$14)/Math!F$15</f>
        <v>-0.29319640535919678</v>
      </c>
      <c r="V33" s="64">
        <f>(I33-Math!G$14)/Math!G$15</f>
        <v>1.6621667374341709</v>
      </c>
      <c r="W33" s="64">
        <f>(J33-Math!H$14)/Math!H$15</f>
        <v>0.38469744009389678</v>
      </c>
      <c r="X33" s="64">
        <f>(-1)*(K33-Math!I$14)/Math!I$15</f>
        <v>-0.86998529650046597</v>
      </c>
      <c r="Y33" s="64">
        <f>(L33-Math!J$14)/Math!J$15</f>
        <v>0.79137435517101284</v>
      </c>
    </row>
    <row r="34" spans="1:25">
      <c r="A34" s="64" t="str">
        <f>IF((LEN('Bball ref'!B42)-LEN(SUBSTITUTE('Bball ref'!B42," ","")))&lt;2,'Bball ref'!B42,LEFT('Bball ref'!B42,FIND(" ",'Bball ref'!B42,FIND(" ",'Bball ref'!B42)+1)-1))</f>
        <v>Mitchell Robinson</v>
      </c>
      <c r="B34" s="64">
        <f>'Bball ref'!A42</f>
        <v>33</v>
      </c>
      <c r="C34" s="64">
        <f>'Bball ref'!E42</f>
        <v>76</v>
      </c>
      <c r="D34" s="64">
        <f>VALUE(LEFT('Bball ref'!G42,FIND("(",'Bball ref'!G42)-1))</f>
        <v>0.62</v>
      </c>
      <c r="E34" s="64">
        <f>VALUE(LEFT('Bball ref'!H42,(FIND("(",'Bball ref'!H42)-1)))</f>
        <v>0.64</v>
      </c>
      <c r="F34" s="64">
        <f>'Bball ref'!I42</f>
        <v>0</v>
      </c>
      <c r="G34" s="64">
        <f>'Bball ref'!K42</f>
        <v>9.1</v>
      </c>
      <c r="H34" s="64">
        <f>'Bball ref'!L42</f>
        <v>0.8</v>
      </c>
      <c r="I34" s="64">
        <f>'Bball ref'!M42</f>
        <v>1</v>
      </c>
      <c r="J34" s="64">
        <f>'Bball ref'!N42</f>
        <v>2.7</v>
      </c>
      <c r="K34" s="64">
        <f>'Bball ref'!O42</f>
        <v>0.9</v>
      </c>
      <c r="L34" s="64">
        <f>'Bball ref'!J42</f>
        <v>10.9</v>
      </c>
      <c r="M34" s="64">
        <f>VALUE(MID('Bball ref'!G42,FIND("(",'Bball ref'!G42)+1,FIND("/",'Bball ref'!G42)-FIND("(",'Bball ref'!G42)-1))</f>
        <v>4.5999999999999996</v>
      </c>
      <c r="N34" s="64">
        <f>VALUE(MID('Bball ref'!G42,FIND("/",'Bball ref'!G42)+1,FIND(")",'Bball ref'!G42)-FIND("/",'Bball ref'!G42)-1))</f>
        <v>7.4</v>
      </c>
      <c r="O34" s="64">
        <f>VALUE(MID('Bball ref'!H42,FIND("(",'Bball ref'!H42)+1,FIND("/",'Bball ref'!H42)-FIND("(",'Bball ref'!H42)-1))</f>
        <v>1.6</v>
      </c>
      <c r="P34" s="64">
        <f>VALUE(MID('Bball ref'!H42,FIND("/",'Bball ref'!H42)+1,FIND(")",'Bball ref'!H42)-FIND("/",'Bball ref'!H42)-1))</f>
        <v>2.5</v>
      </c>
      <c r="Q34" s="64">
        <f>(D34-Math!B$14)/Math!B$15</f>
        <v>2.6368771130612512</v>
      </c>
      <c r="R34" s="64">
        <f>(E34-Math!C$14)/Math!C$15</f>
        <v>-1.6988507031969093</v>
      </c>
      <c r="S34" s="64">
        <f>(F34-Math!D$14)/Math!D$15</f>
        <v>-1.5708580355267823</v>
      </c>
      <c r="T34" s="64">
        <f>(G34-Math!E$14)/Math!E$15</f>
        <v>1.2326149338575199</v>
      </c>
      <c r="U34" s="64">
        <f>(H34-Math!F$14)/Math!F$15</f>
        <v>-1.246272829965652</v>
      </c>
      <c r="V34" s="64">
        <f>(I34-Math!G$14)/Math!G$15</f>
        <v>7.9150797020674304E-2</v>
      </c>
      <c r="W34" s="64">
        <f>(J34-Math!H$14)/Math!H$15</f>
        <v>3.6978811346824738</v>
      </c>
      <c r="X34" s="64">
        <f>(-1)*(K34-Math!I$14)/Math!I$15</f>
        <v>1.1423168542330695</v>
      </c>
      <c r="Y34" s="64">
        <f>(L34-Math!J$14)/Math!J$15</f>
        <v>-0.87277744313641237</v>
      </c>
    </row>
    <row r="35" spans="1:25">
      <c r="A35" s="64" t="str">
        <f>IF((LEN('Bball ref'!B43)-LEN(SUBSTITUTE('Bball ref'!B43," ","")))&lt;2,'Bball ref'!B43,LEFT('Bball ref'!B43,FIND(" ",'Bball ref'!B43,FIND(" ",'Bball ref'!B43)+1)-1))</f>
        <v>Clint Capela</v>
      </c>
      <c r="B35" s="64">
        <f>'Bball ref'!A43</f>
        <v>34</v>
      </c>
      <c r="C35" s="64">
        <f>'Bball ref'!E43</f>
        <v>72</v>
      </c>
      <c r="D35" s="64">
        <f>VALUE(LEFT('Bball ref'!G43,FIND("(",'Bball ref'!G43)-1))</f>
        <v>0.65</v>
      </c>
      <c r="E35" s="64">
        <f>VALUE(LEFT('Bball ref'!H43,(FIND("(",'Bball ref'!H43)-1)))</f>
        <v>0.66</v>
      </c>
      <c r="F35" s="64">
        <f>'Bball ref'!I43</f>
        <v>0</v>
      </c>
      <c r="G35" s="64">
        <f>'Bball ref'!K43</f>
        <v>11.1</v>
      </c>
      <c r="H35" s="64">
        <f>'Bball ref'!L43</f>
        <v>1.5</v>
      </c>
      <c r="I35" s="64">
        <f>'Bball ref'!M43</f>
        <v>0.7</v>
      </c>
      <c r="J35" s="64">
        <f>'Bball ref'!N43</f>
        <v>1.8</v>
      </c>
      <c r="K35" s="64">
        <f>'Bball ref'!O43</f>
        <v>1.4</v>
      </c>
      <c r="L35" s="64">
        <f>'Bball ref'!J43</f>
        <v>15.8</v>
      </c>
      <c r="M35" s="64">
        <f>VALUE(MID('Bball ref'!G43,FIND("(",'Bball ref'!G43)+1,FIND("/",'Bball ref'!G43)-FIND("(",'Bball ref'!G43)-1))</f>
        <v>6.6</v>
      </c>
      <c r="N35" s="64">
        <f>VALUE(MID('Bball ref'!G43,FIND("/",'Bball ref'!G43)+1,FIND(")",'Bball ref'!G43)-FIND("/",'Bball ref'!G43)-1))</f>
        <v>10.1</v>
      </c>
      <c r="O35" s="64">
        <f>VALUE(MID('Bball ref'!H43,FIND("(",'Bball ref'!H43)+1,FIND("/",'Bball ref'!H43)-FIND("(",'Bball ref'!H43)-1))</f>
        <v>2.7</v>
      </c>
      <c r="P35" s="64">
        <f>VALUE(MID('Bball ref'!H43,FIND("/",'Bball ref'!H43)+1,FIND(")",'Bball ref'!H43)-FIND("/",'Bball ref'!H43)-1))</f>
        <v>4.0999999999999996</v>
      </c>
      <c r="Q35" s="64">
        <f>(D35-Math!B$14)/Math!B$15</f>
        <v>3.1914254018228183</v>
      </c>
      <c r="R35" s="64">
        <f>(E35-Math!C$14)/Math!C$15</f>
        <v>-1.4565039552372929</v>
      </c>
      <c r="S35" s="64">
        <f>(F35-Math!D$14)/Math!D$15</f>
        <v>-1.5708580355267823</v>
      </c>
      <c r="T35" s="64">
        <f>(G35-Math!E$14)/Math!E$15</f>
        <v>1.9921989325372429</v>
      </c>
      <c r="U35" s="64">
        <f>(H35-Math!F$14)/Math!F$15</f>
        <v>-0.89513941037380029</v>
      </c>
      <c r="V35" s="64">
        <f>(I35-Math!G$14)/Math!G$15</f>
        <v>-0.71235717318607394</v>
      </c>
      <c r="W35" s="64">
        <f>(J35-Math!H$14)/Math!H$15</f>
        <v>2.0412892873881852</v>
      </c>
      <c r="X35" s="64">
        <f>(-1)*(K35-Math!I$14)/Math!I$15</f>
        <v>0.47154947065522446</v>
      </c>
      <c r="Y35" s="64">
        <f>(L35-Math!J$14)/Math!J$15</f>
        <v>0.10967361851495935</v>
      </c>
    </row>
    <row r="36" spans="1:25">
      <c r="A36" s="64" t="str">
        <f>IF((LEN('Bball ref'!B44)-LEN(SUBSTITUTE('Bball ref'!B44," ","")))&lt;2,'Bball ref'!B44,LEFT('Bball ref'!B44,FIND(" ",'Bball ref'!B44,FIND(" ",'Bball ref'!B44)+1)-1))</f>
        <v>Otto Porter</v>
      </c>
      <c r="B36" s="64">
        <f>'Bball ref'!A44</f>
        <v>35</v>
      </c>
      <c r="C36" s="64">
        <f>'Bball ref'!E44</f>
        <v>76</v>
      </c>
      <c r="D36" s="64">
        <f>VALUE(LEFT('Bball ref'!G44,FIND("(",'Bball ref'!G44)-1))</f>
        <v>0.47</v>
      </c>
      <c r="E36" s="64">
        <f>VALUE(LEFT('Bball ref'!H44,(FIND("(",'Bball ref'!H44)-1)))</f>
        <v>0.8</v>
      </c>
      <c r="F36" s="64">
        <f>'Bball ref'!I44</f>
        <v>2.2000000000000002</v>
      </c>
      <c r="G36" s="64">
        <f>'Bball ref'!K44</f>
        <v>5.7</v>
      </c>
      <c r="H36" s="64">
        <f>'Bball ref'!L44</f>
        <v>2.6</v>
      </c>
      <c r="I36" s="64">
        <f>'Bball ref'!M44</f>
        <v>1.5</v>
      </c>
      <c r="J36" s="64">
        <f>'Bball ref'!N44</f>
        <v>0.7</v>
      </c>
      <c r="K36" s="64">
        <f>'Bball ref'!O44</f>
        <v>1.3</v>
      </c>
      <c r="L36" s="64">
        <f>'Bball ref'!J44</f>
        <v>16.899999999999999</v>
      </c>
      <c r="M36" s="64">
        <f>VALUE(MID('Bball ref'!G44,FIND("(",'Bball ref'!G44)+1,FIND("/",'Bball ref'!G44)-FIND("(",'Bball ref'!G44)-1))</f>
        <v>6.5</v>
      </c>
      <c r="N36" s="64">
        <f>VALUE(MID('Bball ref'!G44,FIND("/",'Bball ref'!G44)+1,FIND(")",'Bball ref'!G44)-FIND("/",'Bball ref'!G44)-1))</f>
        <v>13.9</v>
      </c>
      <c r="O36" s="64">
        <f>VALUE(MID('Bball ref'!H44,FIND("(",'Bball ref'!H44)+1,FIND("/",'Bball ref'!H44)-FIND("(",'Bball ref'!H44)-1))</f>
        <v>1.6</v>
      </c>
      <c r="P36" s="64">
        <f>VALUE(MID('Bball ref'!H44,FIND("/",'Bball ref'!H44)+1,FIND(")",'Bball ref'!H44)-FIND("/",'Bball ref'!H44)-1))</f>
        <v>2</v>
      </c>
      <c r="Q36" s="64">
        <f>(D36-Math!B$14)/Math!B$15</f>
        <v>-0.13586433074658327</v>
      </c>
      <c r="R36" s="64">
        <f>(E36-Math!C$14)/Math!C$15</f>
        <v>0.23992328048002048</v>
      </c>
      <c r="S36" s="64">
        <f>(F36-Math!D$14)/Math!D$15</f>
        <v>0.80269119397797173</v>
      </c>
      <c r="T36" s="64">
        <f>(G36-Math!E$14)/Math!E$15</f>
        <v>-5.8677863898009143E-2</v>
      </c>
      <c r="U36" s="64">
        <f>(H36-Math!F$14)/Math!F$15</f>
        <v>-0.34335832244374709</v>
      </c>
      <c r="V36" s="64">
        <f>(I36-Math!G$14)/Math!G$15</f>
        <v>1.3983307473652546</v>
      </c>
      <c r="W36" s="64">
        <f>(J36-Math!H$14)/Math!H$15</f>
        <v>1.6565918472943714E-2</v>
      </c>
      <c r="X36" s="64">
        <f>(-1)*(K36-Math!I$14)/Math!I$15</f>
        <v>0.60570294737079333</v>
      </c>
      <c r="Y36" s="64">
        <f>(L36-Math!J$14)/Math!J$15</f>
        <v>0.33022385684485867</v>
      </c>
    </row>
    <row r="37" spans="1:25">
      <c r="A37" s="64" t="str">
        <f>IF((LEN('Bball ref'!B45)-LEN(SUBSTITUTE('Bball ref'!B45," ","")))&lt;2,'Bball ref'!B45,LEFT('Bball ref'!B45,FIND(" ",'Bball ref'!B45,FIND(" ",'Bball ref'!B45)+1)-1))</f>
        <v>Buddy Hield</v>
      </c>
      <c r="B37" s="64">
        <f>'Bball ref'!A45</f>
        <v>36</v>
      </c>
      <c r="C37" s="64">
        <f>'Bball ref'!E45</f>
        <v>80</v>
      </c>
      <c r="D37" s="64">
        <f>VALUE(LEFT('Bball ref'!G45,FIND("(",'Bball ref'!G45)-1))</f>
        <v>0.46</v>
      </c>
      <c r="E37" s="64">
        <f>VALUE(LEFT('Bball ref'!H45,(FIND("(",'Bball ref'!H45)-1)))</f>
        <v>0.88</v>
      </c>
      <c r="F37" s="64">
        <f>'Bball ref'!I45</f>
        <v>3.5</v>
      </c>
      <c r="G37" s="64">
        <f>'Bball ref'!K45</f>
        <v>5.3</v>
      </c>
      <c r="H37" s="64">
        <f>'Bball ref'!L45</f>
        <v>2.6</v>
      </c>
      <c r="I37" s="64">
        <f>'Bball ref'!M45</f>
        <v>0.8</v>
      </c>
      <c r="J37" s="64">
        <f>'Bball ref'!N45</f>
        <v>0.4</v>
      </c>
      <c r="K37" s="64">
        <f>'Bball ref'!O45</f>
        <v>1.8</v>
      </c>
      <c r="L37" s="64">
        <f>'Bball ref'!J45</f>
        <v>21.8</v>
      </c>
      <c r="M37" s="64">
        <f>VALUE(MID('Bball ref'!G45,FIND("(",'Bball ref'!G45)+1,FIND("/",'Bball ref'!G45)-FIND("(",'Bball ref'!G45)-1))</f>
        <v>8</v>
      </c>
      <c r="N37" s="64">
        <f>VALUE(MID('Bball ref'!G45,FIND("/",'Bball ref'!G45)+1,FIND(")",'Bball ref'!G45)-FIND("/",'Bball ref'!G45)-1))</f>
        <v>17.5</v>
      </c>
      <c r="O37" s="64">
        <f>VALUE(MID('Bball ref'!H45,FIND("(",'Bball ref'!H45)+1,FIND("/",'Bball ref'!H45)-FIND("(",'Bball ref'!H45)-1))</f>
        <v>2.2000000000000002</v>
      </c>
      <c r="P37" s="64">
        <f>VALUE(MID('Bball ref'!H45,FIND("/",'Bball ref'!H45)+1,FIND(")",'Bball ref'!H45)-FIND("/",'Bball ref'!H45)-1))</f>
        <v>2.5</v>
      </c>
      <c r="Q37" s="64">
        <f>(D37-Math!B$14)/Math!B$15</f>
        <v>-0.3207137603337713</v>
      </c>
      <c r="R37" s="64">
        <f>(E37-Math!C$14)/Math!C$15</f>
        <v>1.2093102723184848</v>
      </c>
      <c r="S37" s="64">
        <f>(F37-Math!D$14)/Math!D$15</f>
        <v>2.2052430114125992</v>
      </c>
      <c r="T37" s="64">
        <f>(G37-Math!E$14)/Math!E$15</f>
        <v>-0.21059466363395388</v>
      </c>
      <c r="U37" s="64">
        <f>(H37-Math!F$14)/Math!F$15</f>
        <v>-0.34335832244374709</v>
      </c>
      <c r="V37" s="64">
        <f>(I37-Math!G$14)/Math!G$15</f>
        <v>-0.44852118311715766</v>
      </c>
      <c r="W37" s="64">
        <f>(J37-Math!H$14)/Math!H$15</f>
        <v>-0.53563136395848565</v>
      </c>
      <c r="X37" s="64">
        <f>(-1)*(K37-Math!I$14)/Math!I$15</f>
        <v>-6.5064436207051865E-2</v>
      </c>
      <c r="Y37" s="64">
        <f>(L37-Math!J$14)/Math!J$15</f>
        <v>1.3126749184962307</v>
      </c>
    </row>
    <row r="38" spans="1:25">
      <c r="A38" s="64" t="str">
        <f>IF((LEN('Bball ref'!B47)-LEN(SUBSTITUTE('Bball ref'!B47," ","")))&lt;2,'Bball ref'!B47,LEFT('Bball ref'!B47,FIND(" ",'Bball ref'!B47,FIND(" ",'Bball ref'!B47)+1)-1))</f>
        <v>D'Angelo Russell</v>
      </c>
      <c r="B38" s="64">
        <f>'Bball ref'!A47</f>
        <v>37</v>
      </c>
      <c r="C38" s="64">
        <f>'Bball ref'!E47</f>
        <v>78</v>
      </c>
      <c r="D38" s="64">
        <f>VALUE(LEFT('Bball ref'!G47,FIND("(",'Bball ref'!G47)-1))</f>
        <v>0.45</v>
      </c>
      <c r="E38" s="64">
        <f>VALUE(LEFT('Bball ref'!H47,(FIND("(",'Bball ref'!H47)-1)))</f>
        <v>0.79</v>
      </c>
      <c r="F38" s="64">
        <f>'Bball ref'!I47</f>
        <v>3.3</v>
      </c>
      <c r="G38" s="64">
        <f>'Bball ref'!K47</f>
        <v>4.2</v>
      </c>
      <c r="H38" s="64">
        <f>'Bball ref'!L47</f>
        <v>5.2</v>
      </c>
      <c r="I38" s="64">
        <f>'Bball ref'!M47</f>
        <v>1.3</v>
      </c>
      <c r="J38" s="64">
        <f>'Bball ref'!N47</f>
        <v>0.2</v>
      </c>
      <c r="K38" s="64">
        <f>'Bball ref'!O47</f>
        <v>2.8</v>
      </c>
      <c r="L38" s="64">
        <f>'Bball ref'!J47</f>
        <v>21.6</v>
      </c>
      <c r="M38" s="64">
        <f>VALUE(MID('Bball ref'!G47,FIND("(",'Bball ref'!G47)+1,FIND("/",'Bball ref'!G47)-FIND("(",'Bball ref'!G47)-1))</f>
        <v>8</v>
      </c>
      <c r="N38" s="64">
        <f>VALUE(MID('Bball ref'!G47,FIND("/",'Bball ref'!G47)+1,FIND(")",'Bball ref'!G47)-FIND("/",'Bball ref'!G47)-1))</f>
        <v>17.899999999999999</v>
      </c>
      <c r="O38" s="64">
        <f>VALUE(MID('Bball ref'!H47,FIND("(",'Bball ref'!H47)+1,FIND("/",'Bball ref'!H47)-FIND("(",'Bball ref'!H47)-1))</f>
        <v>2.2999999999999998</v>
      </c>
      <c r="P38" s="64">
        <f>VALUE(MID('Bball ref'!H47,FIND("/",'Bball ref'!H47)+1,FIND(")",'Bball ref'!H47)-FIND("/",'Bball ref'!H47)-1))</f>
        <v>2.9</v>
      </c>
      <c r="Q38" s="64">
        <f>(D38-Math!B$14)/Math!B$15</f>
        <v>-0.50556318992096039</v>
      </c>
      <c r="R38" s="64">
        <f>(E38-Math!C$14)/Math!C$15</f>
        <v>0.11874990650021229</v>
      </c>
      <c r="S38" s="64">
        <f>(F38-Math!D$14)/Math!D$15</f>
        <v>1.9894658087303483</v>
      </c>
      <c r="T38" s="64">
        <f>(G38-Math!E$14)/Math!E$15</f>
        <v>-0.62836586290780139</v>
      </c>
      <c r="U38" s="64">
        <f>(H38-Math!F$14)/Math!F$15</f>
        <v>0.96085152175456034</v>
      </c>
      <c r="V38" s="64">
        <f>(I38-Math!G$14)/Math!G$15</f>
        <v>0.87065876722742253</v>
      </c>
      <c r="W38" s="64">
        <f>(J38-Math!H$14)/Math!H$15</f>
        <v>-0.90376288557943862</v>
      </c>
      <c r="X38" s="64">
        <f>(-1)*(K38-Math!I$14)/Math!I$15</f>
        <v>-1.4065992033627419</v>
      </c>
      <c r="Y38" s="64">
        <f>(L38-Math!J$14)/Math!J$15</f>
        <v>1.2725748751635217</v>
      </c>
    </row>
    <row r="39" spans="1:25">
      <c r="A39" s="64" t="str">
        <f>IF((LEN('Bball ref'!B48)-LEN(SUBSTITUTE('Bball ref'!B48," ","")))&lt;2,'Bball ref'!B48,LEFT('Bball ref'!B48,FIND(" ",'Bball ref'!B48,FIND(" ",'Bball ref'!B48)+1)-1))</f>
        <v>Kristaps Porzingis</v>
      </c>
      <c r="B39" s="64">
        <f>'Bball ref'!A48</f>
        <v>38</v>
      </c>
      <c r="C39" s="64">
        <f>'Bball ref'!E48</f>
        <v>62</v>
      </c>
      <c r="D39" s="64">
        <f>VALUE(LEFT('Bball ref'!G48,FIND("(",'Bball ref'!G48)-1))</f>
        <v>0.45</v>
      </c>
      <c r="E39" s="64">
        <f>VALUE(LEFT('Bball ref'!H48,(FIND("(",'Bball ref'!H48)-1)))</f>
        <v>0.8</v>
      </c>
      <c r="F39" s="64">
        <f>'Bball ref'!I48</f>
        <v>1.9</v>
      </c>
      <c r="G39" s="64">
        <f>'Bball ref'!K48</f>
        <v>7.6</v>
      </c>
      <c r="H39" s="64">
        <f>'Bball ref'!L48</f>
        <v>1.2</v>
      </c>
      <c r="I39" s="64">
        <f>'Bball ref'!M48</f>
        <v>0.7</v>
      </c>
      <c r="J39" s="64">
        <f>'Bball ref'!N48</f>
        <v>1.9</v>
      </c>
      <c r="K39" s="64">
        <f>'Bball ref'!O48</f>
        <v>1.8</v>
      </c>
      <c r="L39" s="64">
        <f>'Bball ref'!J48</f>
        <v>19.899999999999999</v>
      </c>
      <c r="M39" s="64">
        <f>VALUE(MID('Bball ref'!G48,FIND("(",'Bball ref'!G48)+1,FIND("/",'Bball ref'!G48)-FIND("(",'Bball ref'!G48)-1))</f>
        <v>6.8</v>
      </c>
      <c r="N39" s="64">
        <f>VALUE(MID('Bball ref'!G48,FIND("/",'Bball ref'!G48)+1,FIND(")",'Bball ref'!G48)-FIND("/",'Bball ref'!G48)-1))</f>
        <v>15.2</v>
      </c>
      <c r="O39" s="64">
        <f>VALUE(MID('Bball ref'!H48,FIND("(",'Bball ref'!H48)+1,FIND("/",'Bball ref'!H48)-FIND("(",'Bball ref'!H48)-1))</f>
        <v>4.4000000000000004</v>
      </c>
      <c r="P39" s="64">
        <f>VALUE(MID('Bball ref'!H48,FIND("/",'Bball ref'!H48)+1,FIND(")",'Bball ref'!H48)-FIND("/",'Bball ref'!H48)-1))</f>
        <v>5.5</v>
      </c>
      <c r="Q39" s="64">
        <f>(D39-Math!B$14)/Math!B$15</f>
        <v>-0.50556318992096039</v>
      </c>
      <c r="R39" s="64">
        <f>(E39-Math!C$14)/Math!C$15</f>
        <v>0.23992328048002048</v>
      </c>
      <c r="S39" s="64">
        <f>(F39-Math!D$14)/Math!D$15</f>
        <v>0.47902538995459598</v>
      </c>
      <c r="T39" s="64">
        <f>(G39-Math!E$14)/Math!E$15</f>
        <v>0.66292693484772758</v>
      </c>
      <c r="U39" s="64">
        <f>(H39-Math!F$14)/Math!F$15</f>
        <v>-1.0456251616274512</v>
      </c>
      <c r="V39" s="64">
        <f>(I39-Math!G$14)/Math!G$15</f>
        <v>-0.71235717318607394</v>
      </c>
      <c r="W39" s="64">
        <f>(J39-Math!H$14)/Math!H$15</f>
        <v>2.2253550481986615</v>
      </c>
      <c r="X39" s="64">
        <f>(-1)*(K39-Math!I$14)/Math!I$15</f>
        <v>-6.5064436207051865E-2</v>
      </c>
      <c r="Y39" s="64">
        <f>(L39-Math!J$14)/Math!J$15</f>
        <v>0.93172450683549435</v>
      </c>
    </row>
    <row r="40" spans="1:25">
      <c r="A40" s="64" t="str">
        <f>IF((LEN('Bball ref'!B49)-LEN(SUBSTITUTE('Bball ref'!B49," ","")))&lt;2,'Bball ref'!B49,LEFT('Bball ref'!B49,FIND(" ",'Bball ref'!B49,FIND(" ",'Bball ref'!B49)+1)-1))</f>
        <v>Khris Middleton</v>
      </c>
      <c r="B40" s="64">
        <f>'Bball ref'!A49</f>
        <v>39</v>
      </c>
      <c r="C40" s="64">
        <f>'Bball ref'!E49</f>
        <v>76</v>
      </c>
      <c r="D40" s="64">
        <f>VALUE(LEFT('Bball ref'!G49,FIND("(",'Bball ref'!G49)-1))</f>
        <v>0.45</v>
      </c>
      <c r="E40" s="64">
        <f>VALUE(LEFT('Bball ref'!H49,(FIND("(",'Bball ref'!H49)-1)))</f>
        <v>0.83</v>
      </c>
      <c r="F40" s="64">
        <f>'Bball ref'!I49</f>
        <v>2.5</v>
      </c>
      <c r="G40" s="64">
        <f>'Bball ref'!K49</f>
        <v>6.4</v>
      </c>
      <c r="H40" s="64">
        <f>'Bball ref'!L49</f>
        <v>4.5999999999999996</v>
      </c>
      <c r="I40" s="64">
        <f>'Bball ref'!M49</f>
        <v>1.3</v>
      </c>
      <c r="J40" s="64">
        <f>'Bball ref'!N49</f>
        <v>0.1</v>
      </c>
      <c r="K40" s="64">
        <f>'Bball ref'!O49</f>
        <v>2.4</v>
      </c>
      <c r="L40" s="64">
        <f>'Bball ref'!J49</f>
        <v>19.899999999999999</v>
      </c>
      <c r="M40" s="64">
        <f>VALUE(MID('Bball ref'!G49,FIND("(",'Bball ref'!G49)+1,FIND("/",'Bball ref'!G49)-FIND("(",'Bball ref'!G49)-1))</f>
        <v>7.2</v>
      </c>
      <c r="N40" s="64">
        <f>VALUE(MID('Bball ref'!G49,FIND("/",'Bball ref'!G49)+1,FIND(")",'Bball ref'!G49)-FIND("/",'Bball ref'!G49)-1))</f>
        <v>16.100000000000001</v>
      </c>
      <c r="O40" s="64">
        <f>VALUE(MID('Bball ref'!H49,FIND("(",'Bball ref'!H49)+1,FIND("/",'Bball ref'!H49)-FIND("(",'Bball ref'!H49)-1))</f>
        <v>3</v>
      </c>
      <c r="P40" s="64">
        <f>VALUE(MID('Bball ref'!H49,FIND("/",'Bball ref'!H49)+1,FIND(")",'Bball ref'!H49)-FIND("/",'Bball ref'!H49)-1))</f>
        <v>3.6</v>
      </c>
      <c r="Q40" s="64">
        <f>(D40-Math!B$14)/Math!B$15</f>
        <v>-0.50556318992096039</v>
      </c>
      <c r="R40" s="64">
        <f>(E40-Math!C$14)/Math!C$15</f>
        <v>0.60344340241944372</v>
      </c>
      <c r="S40" s="64">
        <f>(F40-Math!D$14)/Math!D$15</f>
        <v>1.126356998001347</v>
      </c>
      <c r="T40" s="64">
        <f>(G40-Math!E$14)/Math!E$15</f>
        <v>0.20717653563989399</v>
      </c>
      <c r="U40" s="64">
        <f>(H40-Math!F$14)/Math!F$15</f>
        <v>0.65988001924725836</v>
      </c>
      <c r="V40" s="64">
        <f>(I40-Math!G$14)/Math!G$15</f>
        <v>0.87065876722742253</v>
      </c>
      <c r="W40" s="64">
        <f>(J40-Math!H$14)/Math!H$15</f>
        <v>-1.0878286463899152</v>
      </c>
      <c r="X40" s="64">
        <f>(-1)*(K40-Math!I$14)/Math!I$15</f>
        <v>-0.86998529650046597</v>
      </c>
      <c r="Y40" s="64">
        <f>(L40-Math!J$14)/Math!J$15</f>
        <v>0.93172450683549435</v>
      </c>
    </row>
    <row r="41" spans="1:25">
      <c r="A41" s="64" t="str">
        <f>IF((LEN('Bball ref'!B50)-LEN(SUBSTITUTE('Bball ref'!B50," ","")))&lt;2,'Bball ref'!B50,LEFT('Bball ref'!B50,FIND(" ",'Bball ref'!B50,FIND(" ",'Bball ref'!B50)+1)-1))</f>
        <v>Kyle Lowry</v>
      </c>
      <c r="B41" s="64">
        <f>'Bball ref'!A50</f>
        <v>40</v>
      </c>
      <c r="C41" s="64">
        <f>'Bball ref'!E50</f>
        <v>68</v>
      </c>
      <c r="D41" s="64">
        <f>VALUE(LEFT('Bball ref'!G50,FIND("(",'Bball ref'!G50)-1))</f>
        <v>0.43</v>
      </c>
      <c r="E41" s="64">
        <f>VALUE(LEFT('Bball ref'!H50,(FIND("(",'Bball ref'!H50)-1)))</f>
        <v>0.83</v>
      </c>
      <c r="F41" s="64">
        <f>'Bball ref'!I50</f>
        <v>2.5</v>
      </c>
      <c r="G41" s="64">
        <f>'Bball ref'!K50</f>
        <v>4.7</v>
      </c>
      <c r="H41" s="64">
        <f>'Bball ref'!L50</f>
        <v>7.1</v>
      </c>
      <c r="I41" s="64">
        <f>'Bball ref'!M50</f>
        <v>1.3</v>
      </c>
      <c r="J41" s="64">
        <f>'Bball ref'!N50</f>
        <v>0.5</v>
      </c>
      <c r="K41" s="64">
        <f>'Bball ref'!O50</f>
        <v>2.7</v>
      </c>
      <c r="L41" s="64">
        <f>'Bball ref'!J50</f>
        <v>16.3</v>
      </c>
      <c r="M41" s="64">
        <f>VALUE(MID('Bball ref'!G50,FIND("(",'Bball ref'!G50)+1,FIND("/",'Bball ref'!G50)-FIND("(",'Bball ref'!G50)-1))</f>
        <v>5.7</v>
      </c>
      <c r="N41" s="64">
        <f>VALUE(MID('Bball ref'!G50,FIND("/",'Bball ref'!G50)+1,FIND(")",'Bball ref'!G50)-FIND("/",'Bball ref'!G50)-1))</f>
        <v>13.2</v>
      </c>
      <c r="O41" s="64">
        <f>VALUE(MID('Bball ref'!H50,FIND("(",'Bball ref'!H50)+1,FIND("/",'Bball ref'!H50)-FIND("(",'Bball ref'!H50)-1))</f>
        <v>2.5</v>
      </c>
      <c r="P41" s="64">
        <f>VALUE(MID('Bball ref'!H50,FIND("/",'Bball ref'!H50)+1,FIND(")",'Bball ref'!H50)-FIND("/",'Bball ref'!H50)-1))</f>
        <v>3</v>
      </c>
      <c r="Q41" s="64">
        <f>(D41-Math!B$14)/Math!B$15</f>
        <v>-0.87526204909533856</v>
      </c>
      <c r="R41" s="64">
        <f>(E41-Math!C$14)/Math!C$15</f>
        <v>0.60344340241944372</v>
      </c>
      <c r="S41" s="64">
        <f>(F41-Math!D$14)/Math!D$15</f>
        <v>1.126356998001347</v>
      </c>
      <c r="T41" s="64">
        <f>(G41-Math!E$14)/Math!E$15</f>
        <v>-0.43846986323787068</v>
      </c>
      <c r="U41" s="64">
        <f>(H41-Math!F$14)/Math!F$15</f>
        <v>1.9139279463610155</v>
      </c>
      <c r="V41" s="64">
        <f>(I41-Math!G$14)/Math!G$15</f>
        <v>0.87065876722742253</v>
      </c>
      <c r="W41" s="64">
        <f>(J41-Math!H$14)/Math!H$15</f>
        <v>-0.35156560314800916</v>
      </c>
      <c r="X41" s="64">
        <f>(-1)*(K41-Math!I$14)/Math!I$15</f>
        <v>-1.2724457266471734</v>
      </c>
      <c r="Y41" s="64">
        <f>(L41-Math!J$14)/Math!J$15</f>
        <v>0.20992372684673197</v>
      </c>
    </row>
    <row r="42" spans="1:25">
      <c r="A42" s="64" t="str">
        <f>IF((LEN('Bball ref'!B51)-LEN(SUBSTITUTE('Bball ref'!B51," ","")))&lt;2,'Bball ref'!B51,LEFT('Bball ref'!B51,FIND(" ",'Bball ref'!B51,FIND(" ",'Bball ref'!B51)+1)-1))</f>
        <v>Ben Simmons</v>
      </c>
      <c r="B42" s="64">
        <f>'Bball ref'!A51</f>
        <v>41</v>
      </c>
      <c r="C42" s="64">
        <f>'Bball ref'!E51</f>
        <v>78</v>
      </c>
      <c r="D42" s="64">
        <f>VALUE(LEFT('Bball ref'!G51,FIND("(",'Bball ref'!G51)-1))</f>
        <v>0.55000000000000004</v>
      </c>
      <c r="E42" s="64">
        <f>VALUE(LEFT('Bball ref'!H51,(FIND("(",'Bball ref'!H51)-1)))</f>
        <v>0.63</v>
      </c>
      <c r="F42" s="64">
        <f>'Bball ref'!I51</f>
        <v>0</v>
      </c>
      <c r="G42" s="64">
        <f>'Bball ref'!K51</f>
        <v>8.8000000000000007</v>
      </c>
      <c r="H42" s="64">
        <f>'Bball ref'!L51</f>
        <v>8.6999999999999993</v>
      </c>
      <c r="I42" s="64">
        <f>'Bball ref'!M51</f>
        <v>1.5</v>
      </c>
      <c r="J42" s="64">
        <f>'Bball ref'!N51</f>
        <v>0.9</v>
      </c>
      <c r="K42" s="64">
        <f>'Bball ref'!O51</f>
        <v>3.5</v>
      </c>
      <c r="L42" s="64">
        <f>'Bball ref'!J51</f>
        <v>17.8</v>
      </c>
      <c r="M42" s="64">
        <f>VALUE(MID('Bball ref'!G51,FIND("(",'Bball ref'!G51)+1,FIND("/",'Bball ref'!G51)-FIND("(",'Bball ref'!G51)-1))</f>
        <v>7.1</v>
      </c>
      <c r="N42" s="64">
        <f>VALUE(MID('Bball ref'!G51,FIND("/",'Bball ref'!G51)+1,FIND(")",'Bball ref'!G51)-FIND("/",'Bball ref'!G51)-1))</f>
        <v>12.8</v>
      </c>
      <c r="O42" s="64">
        <f>VALUE(MID('Bball ref'!H51,FIND("(",'Bball ref'!H51)+1,FIND("/",'Bball ref'!H51)-FIND("(",'Bball ref'!H51)-1))</f>
        <v>3.5</v>
      </c>
      <c r="P42" s="64">
        <f>VALUE(MID('Bball ref'!H51,FIND("/",'Bball ref'!H51)+1,FIND(")",'Bball ref'!H51)-FIND("/",'Bball ref'!H51)-1))</f>
        <v>5.6</v>
      </c>
      <c r="Q42" s="64">
        <f>(D42-Math!B$14)/Math!B$15</f>
        <v>1.3429311059509295</v>
      </c>
      <c r="R42" s="64">
        <f>(E42-Math!C$14)/Math!C$15</f>
        <v>-1.8200240771767173</v>
      </c>
      <c r="S42" s="64">
        <f>(F42-Math!D$14)/Math!D$15</f>
        <v>-1.5708580355267823</v>
      </c>
      <c r="T42" s="64">
        <f>(G42-Math!E$14)/Math!E$15</f>
        <v>1.1186773340555618</v>
      </c>
      <c r="U42" s="64">
        <f>(H42-Math!F$14)/Math!F$15</f>
        <v>2.7165186197138196</v>
      </c>
      <c r="V42" s="64">
        <f>(I42-Math!G$14)/Math!G$15</f>
        <v>1.3983307473652546</v>
      </c>
      <c r="W42" s="64">
        <f>(J42-Math!H$14)/Math!H$15</f>
        <v>0.38469744009389678</v>
      </c>
      <c r="X42" s="64">
        <f>(-1)*(K42-Math!I$14)/Math!I$15</f>
        <v>-2.3456735403717253</v>
      </c>
      <c r="Y42" s="64">
        <f>(L42-Math!J$14)/Math!J$15</f>
        <v>0.51067405184204984</v>
      </c>
    </row>
    <row r="43" spans="1:25">
      <c r="A43" s="64" t="str">
        <f>IF((LEN('Bball ref'!B52)-LEN(SUBSTITUTE('Bball ref'!B52," ","")))&lt;2,'Bball ref'!B52,LEFT('Bball ref'!B52,FIND(" ",'Bball ref'!B52,FIND(" ",'Bball ref'!B52)+1)-1))</f>
        <v>Zach LaVine</v>
      </c>
      <c r="B43" s="64">
        <f>'Bball ref'!A52</f>
        <v>42</v>
      </c>
      <c r="C43" s="64">
        <f>'Bball ref'!E52</f>
        <v>68</v>
      </c>
      <c r="D43" s="64">
        <f>VALUE(LEFT('Bball ref'!G52,FIND("(",'Bball ref'!G52)-1))</f>
        <v>0.46</v>
      </c>
      <c r="E43" s="64">
        <f>VALUE(LEFT('Bball ref'!H52,(FIND("(",'Bball ref'!H52)-1)))</f>
        <v>0.84</v>
      </c>
      <c r="F43" s="64">
        <f>'Bball ref'!I52</f>
        <v>2</v>
      </c>
      <c r="G43" s="64">
        <f>'Bball ref'!K52</f>
        <v>4.8</v>
      </c>
      <c r="H43" s="64">
        <f>'Bball ref'!L52</f>
        <v>4.7</v>
      </c>
      <c r="I43" s="64">
        <f>'Bball ref'!M52</f>
        <v>1</v>
      </c>
      <c r="J43" s="64">
        <f>'Bball ref'!N52</f>
        <v>0.4</v>
      </c>
      <c r="K43" s="64">
        <f>'Bball ref'!O52</f>
        <v>3.4</v>
      </c>
      <c r="L43" s="64">
        <f>'Bball ref'!J52</f>
        <v>23.6</v>
      </c>
      <c r="M43" s="64">
        <f>VALUE(MID('Bball ref'!G52,FIND("(",'Bball ref'!G52)+1,FIND("/",'Bball ref'!G52)-FIND("(",'Bball ref'!G52)-1))</f>
        <v>8.1999999999999993</v>
      </c>
      <c r="N43" s="64">
        <f>VALUE(MID('Bball ref'!G52,FIND("/",'Bball ref'!G52)+1,FIND(")",'Bball ref'!G52)-FIND("/",'Bball ref'!G52)-1))</f>
        <v>17.8</v>
      </c>
      <c r="O43" s="64">
        <f>VALUE(MID('Bball ref'!H52,FIND("(",'Bball ref'!H52)+1,FIND("/",'Bball ref'!H52)-FIND("(",'Bball ref'!H52)-1))</f>
        <v>5.2</v>
      </c>
      <c r="P43" s="64">
        <f>VALUE(MID('Bball ref'!H52,FIND("/",'Bball ref'!H52)+1,FIND(")",'Bball ref'!H52)-FIND("/",'Bball ref'!H52)-1))</f>
        <v>6.2</v>
      </c>
      <c r="Q43" s="64">
        <f>(D43-Math!B$14)/Math!B$15</f>
        <v>-0.3207137603337713</v>
      </c>
      <c r="R43" s="64">
        <f>(E43-Math!C$14)/Math!C$15</f>
        <v>0.72461677639925193</v>
      </c>
      <c r="S43" s="64">
        <f>(F43-Math!D$14)/Math!D$15</f>
        <v>0.58691399129572119</v>
      </c>
      <c r="T43" s="64">
        <f>(G43-Math!E$14)/Math!E$15</f>
        <v>-0.40049066330388466</v>
      </c>
      <c r="U43" s="64">
        <f>(H43-Math!F$14)/Math!F$15</f>
        <v>0.7100419363318089</v>
      </c>
      <c r="V43" s="64">
        <f>(I43-Math!G$14)/Math!G$15</f>
        <v>7.9150797020674304E-2</v>
      </c>
      <c r="W43" s="64">
        <f>(J43-Math!H$14)/Math!H$15</f>
        <v>-0.53563136395848565</v>
      </c>
      <c r="X43" s="64">
        <f>(-1)*(K43-Math!I$14)/Math!I$15</f>
        <v>-2.2115200636561565</v>
      </c>
      <c r="Y43" s="64">
        <f>(L43-Math!J$14)/Math!J$15</f>
        <v>1.6735753084906122</v>
      </c>
    </row>
    <row r="44" spans="1:25">
      <c r="A44" s="64" t="str">
        <f>IF((LEN('Bball ref'!B53)-LEN(SUBSTITUTE('Bball ref'!B53," ","")))&lt;2,'Bball ref'!B53,LEFT('Bball ref'!B53,FIND(" ",'Bball ref'!B53,FIND(" ",'Bball ref'!B53)+1)-1))</f>
        <v>Kevin Love</v>
      </c>
      <c r="B44" s="64">
        <f>'Bball ref'!A53</f>
        <v>43</v>
      </c>
      <c r="C44" s="64">
        <f>'Bball ref'!E53</f>
        <v>60</v>
      </c>
      <c r="D44" s="64">
        <f>VALUE(LEFT('Bball ref'!G53,FIND("(",'Bball ref'!G53)-1))</f>
        <v>0.44</v>
      </c>
      <c r="E44" s="64">
        <f>VALUE(LEFT('Bball ref'!H53,(FIND("(",'Bball ref'!H53)-1)))</f>
        <v>0.91</v>
      </c>
      <c r="F44" s="64">
        <f>'Bball ref'!I53</f>
        <v>2.6</v>
      </c>
      <c r="G44" s="64">
        <f>'Bball ref'!K53</f>
        <v>9.1999999999999993</v>
      </c>
      <c r="H44" s="64">
        <f>'Bball ref'!L53</f>
        <v>2.4</v>
      </c>
      <c r="I44" s="64">
        <f>'Bball ref'!M53</f>
        <v>0.3</v>
      </c>
      <c r="J44" s="64">
        <f>'Bball ref'!N53</f>
        <v>0.3</v>
      </c>
      <c r="K44" s="64">
        <f>'Bball ref'!O53</f>
        <v>2</v>
      </c>
      <c r="L44" s="64">
        <f>'Bball ref'!J53</f>
        <v>18.2</v>
      </c>
      <c r="M44" s="64">
        <f>VALUE(MID('Bball ref'!G53,FIND("(",'Bball ref'!G53)+1,FIND("/",'Bball ref'!G53)-FIND("(",'Bball ref'!G53)-1))</f>
        <v>5.2</v>
      </c>
      <c r="N44" s="64">
        <f>VALUE(MID('Bball ref'!G53,FIND("/",'Bball ref'!G53)+1,FIND(")",'Bball ref'!G53)-FIND("/",'Bball ref'!G53)-1))</f>
        <v>11.8</v>
      </c>
      <c r="O44" s="64">
        <f>VALUE(MID('Bball ref'!H53,FIND("(",'Bball ref'!H53)+1,FIND("/",'Bball ref'!H53)-FIND("(",'Bball ref'!H53)-1))</f>
        <v>5.0999999999999996</v>
      </c>
      <c r="P44" s="64">
        <f>VALUE(MID('Bball ref'!H53,FIND("/",'Bball ref'!H53)+1,FIND(")",'Bball ref'!H53)-FIND("/",'Bball ref'!H53)-1))</f>
        <v>5.6</v>
      </c>
      <c r="Q44" s="64">
        <f>(D44-Math!B$14)/Math!B$15</f>
        <v>-0.69041261950814947</v>
      </c>
      <c r="R44" s="64">
        <f>(E44-Math!C$14)/Math!C$15</f>
        <v>1.5728303942579092</v>
      </c>
      <c r="S44" s="64">
        <f>(F44-Math!D$14)/Math!D$15</f>
        <v>1.2342455993424724</v>
      </c>
      <c r="T44" s="64">
        <f>(G44-Math!E$14)/Math!E$15</f>
        <v>1.2705941337915059</v>
      </c>
      <c r="U44" s="64">
        <f>(H44-Math!F$14)/Math!F$15</f>
        <v>-0.44368215661284777</v>
      </c>
      <c r="V44" s="64">
        <f>(I44-Math!G$14)/Math!G$15</f>
        <v>-1.7677011334617379</v>
      </c>
      <c r="W44" s="64">
        <f>(J44-Math!H$14)/Math!H$15</f>
        <v>-0.71969712476896219</v>
      </c>
      <c r="X44" s="64">
        <f>(-1)*(K44-Math!I$14)/Math!I$15</f>
        <v>-0.33337138963818985</v>
      </c>
      <c r="Y44" s="64">
        <f>(L44-Math!J$14)/Math!J$15</f>
        <v>0.59087413850746762</v>
      </c>
    </row>
    <row r="45" spans="1:25">
      <c r="A45" s="64" t="str">
        <f>IF((LEN('Bball ref'!B54)-LEN(SUBSTITUTE('Bball ref'!B54," ","")))&lt;2,'Bball ref'!B54,LEFT('Bball ref'!B54,FIND(" ",'Bball ref'!B54,FIND(" ",'Bball ref'!B54)+1)-1))</f>
        <v>Tobias Harris</v>
      </c>
      <c r="B45" s="64">
        <f>'Bball ref'!A54</f>
        <v>44</v>
      </c>
      <c r="C45" s="64">
        <f>'Bball ref'!E54</f>
        <v>80</v>
      </c>
      <c r="D45" s="64">
        <f>VALUE(LEFT('Bball ref'!G54,FIND("(",'Bball ref'!G54)-1))</f>
        <v>0.47</v>
      </c>
      <c r="E45" s="64">
        <f>VALUE(LEFT('Bball ref'!H54,(FIND("(",'Bball ref'!H54)-1)))</f>
        <v>0.87</v>
      </c>
      <c r="F45" s="64">
        <f>'Bball ref'!I54</f>
        <v>2</v>
      </c>
      <c r="G45" s="64">
        <f>'Bball ref'!K54</f>
        <v>8</v>
      </c>
      <c r="H45" s="64">
        <f>'Bball ref'!L54</f>
        <v>2.9</v>
      </c>
      <c r="I45" s="64">
        <f>'Bball ref'!M54</f>
        <v>0.8</v>
      </c>
      <c r="J45" s="64">
        <f>'Bball ref'!N54</f>
        <v>0.5</v>
      </c>
      <c r="K45" s="64">
        <f>'Bball ref'!O54</f>
        <v>1.8</v>
      </c>
      <c r="L45" s="64">
        <f>'Bball ref'!J54</f>
        <v>19.399999999999999</v>
      </c>
      <c r="M45" s="64">
        <f>VALUE(MID('Bball ref'!G54,FIND("(",'Bball ref'!G54)+1,FIND("/",'Bball ref'!G54)-FIND("(",'Bball ref'!G54)-1))</f>
        <v>7.1</v>
      </c>
      <c r="N45" s="64">
        <f>VALUE(MID('Bball ref'!G54,FIND("/",'Bball ref'!G54)+1,FIND(")",'Bball ref'!G54)-FIND("/",'Bball ref'!G54)-1))</f>
        <v>15</v>
      </c>
      <c r="O45" s="64">
        <f>VALUE(MID('Bball ref'!H54,FIND("(",'Bball ref'!H54)+1,FIND("/",'Bball ref'!H54)-FIND("(",'Bball ref'!H54)-1))</f>
        <v>3.3</v>
      </c>
      <c r="P45" s="64">
        <f>VALUE(MID('Bball ref'!H54,FIND("/",'Bball ref'!H54)+1,FIND(")",'Bball ref'!H54)-FIND("/",'Bball ref'!H54)-1))</f>
        <v>3.8</v>
      </c>
      <c r="Q45" s="64">
        <f>(D45-Math!B$14)/Math!B$15</f>
        <v>-0.13586433074658327</v>
      </c>
      <c r="R45" s="64">
        <f>(E45-Math!C$14)/Math!C$15</f>
        <v>1.0881368983386766</v>
      </c>
      <c r="S45" s="64">
        <f>(F45-Math!D$14)/Math!D$15</f>
        <v>0.58691399129572119</v>
      </c>
      <c r="T45" s="64">
        <f>(G45-Math!E$14)/Math!E$15</f>
        <v>0.81484373458367232</v>
      </c>
      <c r="U45" s="64">
        <f>(H45-Math!F$14)/Math!F$15</f>
        <v>-0.19287257119009632</v>
      </c>
      <c r="V45" s="64">
        <f>(I45-Math!G$14)/Math!G$15</f>
        <v>-0.44852118311715766</v>
      </c>
      <c r="W45" s="64">
        <f>(J45-Math!H$14)/Math!H$15</f>
        <v>-0.35156560314800916</v>
      </c>
      <c r="X45" s="64">
        <f>(-1)*(K45-Math!I$14)/Math!I$15</f>
        <v>-6.5064436207051865E-2</v>
      </c>
      <c r="Y45" s="64">
        <f>(L45-Math!J$14)/Math!J$15</f>
        <v>0.83147439850372173</v>
      </c>
    </row>
    <row r="46" spans="1:25">
      <c r="A46" s="64" t="str">
        <f>IF((LEN('Bball ref'!B55)-LEN(SUBSTITUTE('Bball ref'!B55," ","")))&lt;2,'Bball ref'!B55,LEFT('Bball ref'!B55,FIND(" ",'Bball ref'!B55,FIND(" ",'Bball ref'!B55)+1)-1))</f>
        <v>Danilo Gallinari</v>
      </c>
      <c r="B46" s="64">
        <f>'Bball ref'!A55</f>
        <v>45</v>
      </c>
      <c r="C46" s="64">
        <f>'Bball ref'!E55</f>
        <v>68</v>
      </c>
      <c r="D46" s="64">
        <f>VALUE(LEFT('Bball ref'!G55,FIND("(",'Bball ref'!G55)-1))</f>
        <v>0.45</v>
      </c>
      <c r="E46" s="64">
        <f>VALUE(LEFT('Bball ref'!H55,(FIND("(",'Bball ref'!H55)-1)))</f>
        <v>0.9</v>
      </c>
      <c r="F46" s="64">
        <f>'Bball ref'!I55</f>
        <v>2.2000000000000002</v>
      </c>
      <c r="G46" s="64">
        <f>'Bball ref'!K55</f>
        <v>6.4</v>
      </c>
      <c r="H46" s="64">
        <f>'Bball ref'!L55</f>
        <v>2.2999999999999998</v>
      </c>
      <c r="I46" s="64">
        <f>'Bball ref'!M55</f>
        <v>0.7</v>
      </c>
      <c r="J46" s="64">
        <f>'Bball ref'!N55</f>
        <v>0.3</v>
      </c>
      <c r="K46" s="64">
        <f>'Bball ref'!O55</f>
        <v>1.7</v>
      </c>
      <c r="L46" s="64">
        <f>'Bball ref'!J55</f>
        <v>20.100000000000001</v>
      </c>
      <c r="M46" s="64">
        <f>VALUE(MID('Bball ref'!G55,FIND("(",'Bball ref'!G55)+1,FIND("/",'Bball ref'!G55)-FIND("(",'Bball ref'!G55)-1))</f>
        <v>6.2</v>
      </c>
      <c r="N46" s="64">
        <f>VALUE(MID('Bball ref'!G55,FIND("/",'Bball ref'!G55)+1,FIND(")",'Bball ref'!G55)-FIND("/",'Bball ref'!G55)-1))</f>
        <v>13.8</v>
      </c>
      <c r="O46" s="64">
        <f>VALUE(MID('Bball ref'!H55,FIND("(",'Bball ref'!H55)+1,FIND("/",'Bball ref'!H55)-FIND("(",'Bball ref'!H55)-1))</f>
        <v>5.6</v>
      </c>
      <c r="P46" s="64">
        <f>VALUE(MID('Bball ref'!H55,FIND("/",'Bball ref'!H55)+1,FIND(")",'Bball ref'!H55)-FIND("/",'Bball ref'!H55)-1))</f>
        <v>6.2</v>
      </c>
      <c r="Q46" s="64">
        <f>(D46-Math!B$14)/Math!B$15</f>
        <v>-0.50556318992096039</v>
      </c>
      <c r="R46" s="64">
        <f>(E46-Math!C$14)/Math!C$15</f>
        <v>1.4516570202781012</v>
      </c>
      <c r="S46" s="64">
        <f>(F46-Math!D$14)/Math!D$15</f>
        <v>0.80269119397797173</v>
      </c>
      <c r="T46" s="64">
        <f>(G46-Math!E$14)/Math!E$15</f>
        <v>0.20717653563989399</v>
      </c>
      <c r="U46" s="64">
        <f>(H46-Math!F$14)/Math!F$15</f>
        <v>-0.49384407369739808</v>
      </c>
      <c r="V46" s="64">
        <f>(I46-Math!G$14)/Math!G$15</f>
        <v>-0.71235717318607394</v>
      </c>
      <c r="W46" s="64">
        <f>(J46-Math!H$14)/Math!H$15</f>
        <v>-0.71969712476896219</v>
      </c>
      <c r="X46" s="64">
        <f>(-1)*(K46-Math!I$14)/Math!I$15</f>
        <v>6.9089040508517302E-2</v>
      </c>
      <c r="Y46" s="64">
        <f>(L46-Math!J$14)/Math!J$15</f>
        <v>0.97182455016820402</v>
      </c>
    </row>
    <row r="47" spans="1:25">
      <c r="A47" s="64" t="str">
        <f>IF((LEN('Bball ref'!B56)-LEN(SUBSTITUTE('Bball ref'!B56," ","")))&lt;2,'Bball ref'!B56,LEFT('Bball ref'!B56,FIND(" ",'Bball ref'!B56,FIND(" ",'Bball ref'!B56)+1)-1))</f>
        <v>Luka Doncic</v>
      </c>
      <c r="B47" s="64">
        <f>'Bball ref'!A56</f>
        <v>46</v>
      </c>
      <c r="C47" s="64">
        <f>'Bball ref'!E56</f>
        <v>74</v>
      </c>
      <c r="D47" s="64">
        <f>VALUE(LEFT('Bball ref'!G56,FIND("(",'Bball ref'!G56)-1))</f>
        <v>0.44</v>
      </c>
      <c r="E47" s="64">
        <f>VALUE(LEFT('Bball ref'!H56,(FIND("(",'Bball ref'!H56)-1)))</f>
        <v>0.74</v>
      </c>
      <c r="F47" s="64">
        <f>'Bball ref'!I56</f>
        <v>2.6</v>
      </c>
      <c r="G47" s="64">
        <f>'Bball ref'!K56</f>
        <v>8.3000000000000007</v>
      </c>
      <c r="H47" s="64">
        <f>'Bball ref'!L56</f>
        <v>6.7</v>
      </c>
      <c r="I47" s="64">
        <f>'Bball ref'!M56</f>
        <v>1.2</v>
      </c>
      <c r="J47" s="64">
        <f>'Bball ref'!N56</f>
        <v>0.3</v>
      </c>
      <c r="K47" s="64">
        <f>'Bball ref'!O56</f>
        <v>3.6</v>
      </c>
      <c r="L47" s="64">
        <f>'Bball ref'!J56</f>
        <v>23.5</v>
      </c>
      <c r="M47" s="64">
        <f>VALUE(MID('Bball ref'!G56,FIND("(",'Bball ref'!G56)+1,FIND("/",'Bball ref'!G56)-FIND("(",'Bball ref'!G56)-1))</f>
        <v>7.8</v>
      </c>
      <c r="N47" s="64">
        <f>VALUE(MID('Bball ref'!G56,FIND("/",'Bball ref'!G56)+1,FIND(")",'Bball ref'!G56)-FIND("/",'Bball ref'!G56)-1))</f>
        <v>17.7</v>
      </c>
      <c r="O47" s="64">
        <f>VALUE(MID('Bball ref'!H56,FIND("(",'Bball ref'!H56)+1,FIND("/",'Bball ref'!H56)-FIND("(",'Bball ref'!H56)-1))</f>
        <v>5.3</v>
      </c>
      <c r="P47" s="64">
        <f>VALUE(MID('Bball ref'!H56,FIND("/",'Bball ref'!H56)+1,FIND(")",'Bball ref'!H56)-FIND("/",'Bball ref'!H56)-1))</f>
        <v>7.2</v>
      </c>
      <c r="Q47" s="64">
        <f>(D47-Math!B$14)/Math!B$15</f>
        <v>-0.69041261950814947</v>
      </c>
      <c r="R47" s="64">
        <f>(E47-Math!C$14)/Math!C$15</f>
        <v>-0.48711696339882865</v>
      </c>
      <c r="S47" s="64">
        <f>(F47-Math!D$14)/Math!D$15</f>
        <v>1.2342455993424724</v>
      </c>
      <c r="T47" s="64">
        <f>(G47-Math!E$14)/Math!E$15</f>
        <v>0.92878133438563104</v>
      </c>
      <c r="U47" s="64">
        <f>(H47-Math!F$14)/Math!F$15</f>
        <v>1.7132802780228147</v>
      </c>
      <c r="V47" s="64">
        <f>(I47-Math!G$14)/Math!G$15</f>
        <v>0.6068227771585063</v>
      </c>
      <c r="W47" s="64">
        <f>(J47-Math!H$14)/Math!H$15</f>
        <v>-0.71969712476896219</v>
      </c>
      <c r="X47" s="64">
        <f>(-1)*(K47-Math!I$14)/Math!I$15</f>
        <v>-2.4798270170872945</v>
      </c>
      <c r="Y47" s="64">
        <f>(L47-Math!J$14)/Math!J$15</f>
        <v>1.6535252868242574</v>
      </c>
    </row>
    <row r="48" spans="1:25">
      <c r="A48" s="64" t="str">
        <f>IF((LEN('Bball ref'!B57)-LEN(SUBSTITUTE('Bball ref'!B57," ","")))&lt;2,'Bball ref'!B57,LEFT('Bball ref'!B57,FIND(" ",'Bball ref'!B57,FIND(" ",'Bball ref'!B57)+1)-1))</f>
        <v>Bam Adebayo</v>
      </c>
      <c r="B48" s="64">
        <f>'Bball ref'!A57</f>
        <v>47</v>
      </c>
      <c r="C48" s="64">
        <f>'Bball ref'!E57</f>
        <v>80</v>
      </c>
      <c r="D48" s="64">
        <f>VALUE(LEFT('Bball ref'!G57,FIND("(",'Bball ref'!G57)-1))</f>
        <v>0.55000000000000004</v>
      </c>
      <c r="E48" s="64">
        <f>VALUE(LEFT('Bball ref'!H57,(FIND("(",'Bball ref'!H57)-1)))</f>
        <v>0.73</v>
      </c>
      <c r="F48" s="64">
        <f>'Bball ref'!I57</f>
        <v>0</v>
      </c>
      <c r="G48" s="64">
        <f>'Bball ref'!K57</f>
        <v>10.1</v>
      </c>
      <c r="H48" s="64">
        <f>'Bball ref'!L57</f>
        <v>3</v>
      </c>
      <c r="I48" s="64">
        <f>'Bball ref'!M57</f>
        <v>1.2</v>
      </c>
      <c r="J48" s="64">
        <f>'Bball ref'!N57</f>
        <v>1.3</v>
      </c>
      <c r="K48" s="64">
        <f>'Bball ref'!O57</f>
        <v>1.9</v>
      </c>
      <c r="L48" s="64">
        <f>'Bball ref'!J57</f>
        <v>14.4</v>
      </c>
      <c r="M48" s="64">
        <f>VALUE(MID('Bball ref'!G57,FIND("(",'Bball ref'!G57)+1,FIND("/",'Bball ref'!G57)-FIND("(",'Bball ref'!G57)-1))</f>
        <v>5.8</v>
      </c>
      <c r="N48" s="64">
        <f>VALUE(MID('Bball ref'!G57,FIND("/",'Bball ref'!G57)+1,FIND(")",'Bball ref'!G57)-FIND("/",'Bball ref'!G57)-1))</f>
        <v>10.6</v>
      </c>
      <c r="O48" s="64">
        <f>VALUE(MID('Bball ref'!H57,FIND("(",'Bball ref'!H57)+1,FIND("/",'Bball ref'!H57)-FIND("(",'Bball ref'!H57)-1))</f>
        <v>2.7</v>
      </c>
      <c r="P48" s="64">
        <f>VALUE(MID('Bball ref'!H57,FIND("/",'Bball ref'!H57)+1,FIND(")",'Bball ref'!H57)-FIND("/",'Bball ref'!H57)-1))</f>
        <v>3.7</v>
      </c>
      <c r="Q48" s="64">
        <f>(D48-Math!B$14)/Math!B$15</f>
        <v>1.3429311059509295</v>
      </c>
      <c r="R48" s="64">
        <f>(E48-Math!C$14)/Math!C$15</f>
        <v>-0.6082903373786368</v>
      </c>
      <c r="S48" s="64">
        <f>(F48-Math!D$14)/Math!D$15</f>
        <v>-1.5708580355267823</v>
      </c>
      <c r="T48" s="64">
        <f>(G48-Math!E$14)/Math!E$15</f>
        <v>1.6124069331973814</v>
      </c>
      <c r="U48" s="64">
        <f>(H48-Math!F$14)/Math!F$15</f>
        <v>-0.14271065410554598</v>
      </c>
      <c r="V48" s="64">
        <f>(I48-Math!G$14)/Math!G$15</f>
        <v>0.6068227771585063</v>
      </c>
      <c r="W48" s="64">
        <f>(J48-Math!H$14)/Math!H$15</f>
        <v>1.1209604833358027</v>
      </c>
      <c r="X48" s="64">
        <f>(-1)*(K48-Math!I$14)/Math!I$15</f>
        <v>-0.19921791292262073</v>
      </c>
      <c r="Y48" s="64">
        <f>(L48-Math!J$14)/Math!J$15</f>
        <v>-0.17102668481400404</v>
      </c>
    </row>
    <row r="49" spans="1:25">
      <c r="A49" s="64" t="str">
        <f>IF((LEN('Bball ref'!B58)-LEN(SUBSTITUTE('Bball ref'!B58," ","")))&lt;2,'Bball ref'!B58,LEFT('Bball ref'!B58,FIND(" ",'Bball ref'!B58,FIND(" ",'Bball ref'!B58)+1)-1))</f>
        <v>De'Aaron Fox</v>
      </c>
      <c r="B49" s="64">
        <f>'Bball ref'!A58</f>
        <v>48</v>
      </c>
      <c r="C49" s="64">
        <f>'Bball ref'!E58</f>
        <v>78</v>
      </c>
      <c r="D49" s="64">
        <f>VALUE(LEFT('Bball ref'!G58,FIND("(",'Bball ref'!G58)-1))</f>
        <v>0.46</v>
      </c>
      <c r="E49" s="64">
        <f>VALUE(LEFT('Bball ref'!H58,(FIND("(",'Bball ref'!H58)-1)))</f>
        <v>0.73</v>
      </c>
      <c r="F49" s="64">
        <f>'Bball ref'!I58</f>
        <v>1.3</v>
      </c>
      <c r="G49" s="64">
        <f>'Bball ref'!K58</f>
        <v>4.2</v>
      </c>
      <c r="H49" s="64">
        <f>'Bball ref'!L58</f>
        <v>7.9</v>
      </c>
      <c r="I49" s="64">
        <f>'Bball ref'!M58</f>
        <v>1.6</v>
      </c>
      <c r="J49" s="64">
        <f>'Bball ref'!N58</f>
        <v>0.7</v>
      </c>
      <c r="K49" s="64">
        <f>'Bball ref'!O58</f>
        <v>2.9</v>
      </c>
      <c r="L49" s="64">
        <f>'Bball ref'!J58</f>
        <v>19</v>
      </c>
      <c r="M49" s="64">
        <f>VALUE(MID('Bball ref'!G58,FIND("(",'Bball ref'!G58)+1,FIND("/",'Bball ref'!G58)-FIND("(",'Bball ref'!G58)-1))</f>
        <v>6.9</v>
      </c>
      <c r="N49" s="64">
        <f>VALUE(MID('Bball ref'!G58,FIND("/",'Bball ref'!G58)+1,FIND(")",'Bball ref'!G58)-FIND("/",'Bball ref'!G58)-1))</f>
        <v>14.9</v>
      </c>
      <c r="O49" s="64">
        <f>VALUE(MID('Bball ref'!H58,FIND("(",'Bball ref'!H58)+1,FIND("/",'Bball ref'!H58)-FIND("(",'Bball ref'!H58)-1))</f>
        <v>4</v>
      </c>
      <c r="P49" s="64">
        <f>VALUE(MID('Bball ref'!H58,FIND("/",'Bball ref'!H58)+1,FIND(")",'Bball ref'!H58)-FIND("/",'Bball ref'!H58)-1))</f>
        <v>5.5</v>
      </c>
      <c r="Q49" s="64">
        <f>(D49-Math!B$14)/Math!B$15</f>
        <v>-0.3207137603337713</v>
      </c>
      <c r="R49" s="64">
        <f>(E49-Math!C$14)/Math!C$15</f>
        <v>-0.6082903373786368</v>
      </c>
      <c r="S49" s="64">
        <f>(F49-Math!D$14)/Math!D$15</f>
        <v>-0.16830621809215493</v>
      </c>
      <c r="T49" s="64">
        <f>(G49-Math!E$14)/Math!E$15</f>
        <v>-0.62836586290780139</v>
      </c>
      <c r="U49" s="64">
        <f>(H49-Math!F$14)/Math!F$15</f>
        <v>2.315223283037418</v>
      </c>
      <c r="V49" s="64">
        <f>(I49-Math!G$14)/Math!G$15</f>
        <v>1.6621667374341709</v>
      </c>
      <c r="W49" s="64">
        <f>(J49-Math!H$14)/Math!H$15</f>
        <v>1.6565918472943714E-2</v>
      </c>
      <c r="X49" s="64">
        <f>(-1)*(K49-Math!I$14)/Math!I$15</f>
        <v>-1.5407526800783111</v>
      </c>
      <c r="Y49" s="64">
        <f>(L49-Math!J$14)/Math!J$15</f>
        <v>0.75127431183830395</v>
      </c>
    </row>
    <row r="50" spans="1:25">
      <c r="A50" s="64" t="str">
        <f>IF((LEN('Bball ref'!B60)-LEN(SUBSTITUTE('Bball ref'!B60," ","")))&lt;2,'Bball ref'!B60,LEFT('Bball ref'!B60,FIND(" ",'Bball ref'!B60,FIND(" ",'Bball ref'!B60)+1)-1))</f>
        <v>Donovan Mitchell</v>
      </c>
      <c r="B50" s="64">
        <f>'Bball ref'!A60</f>
        <v>49</v>
      </c>
      <c r="C50" s="64">
        <f>'Bball ref'!E60</f>
        <v>78</v>
      </c>
      <c r="D50" s="64">
        <f>VALUE(LEFT('Bball ref'!G60,FIND("(",'Bball ref'!G60)-1))</f>
        <v>0.44</v>
      </c>
      <c r="E50" s="64">
        <f>VALUE(LEFT('Bball ref'!H60,(FIND("(",'Bball ref'!H60)-1)))</f>
        <v>0.81</v>
      </c>
      <c r="F50" s="64">
        <f>'Bball ref'!I60</f>
        <v>2.6</v>
      </c>
      <c r="G50" s="64">
        <f>'Bball ref'!K60</f>
        <v>4.3</v>
      </c>
      <c r="H50" s="64">
        <f>'Bball ref'!L60</f>
        <v>3.8</v>
      </c>
      <c r="I50" s="64">
        <f>'Bball ref'!M60</f>
        <v>1.4</v>
      </c>
      <c r="J50" s="64">
        <f>'Bball ref'!N60</f>
        <v>0.4</v>
      </c>
      <c r="K50" s="64">
        <f>'Bball ref'!O60</f>
        <v>2.8</v>
      </c>
      <c r="L50" s="64">
        <f>'Bball ref'!J60</f>
        <v>25.2</v>
      </c>
      <c r="M50" s="64">
        <f>VALUE(MID('Bball ref'!G60,FIND("(",'Bball ref'!G60)+1,FIND("/",'Bball ref'!G60)-FIND("(",'Bball ref'!G60)-1))</f>
        <v>9.1999999999999993</v>
      </c>
      <c r="N50" s="64">
        <f>VALUE(MID('Bball ref'!G60,FIND("/",'Bball ref'!G60)+1,FIND(")",'Bball ref'!G60)-FIND("/",'Bball ref'!G60)-1))</f>
        <v>20.8</v>
      </c>
      <c r="O50" s="64">
        <f>VALUE(MID('Bball ref'!H60,FIND("(",'Bball ref'!H60)+1,FIND("/",'Bball ref'!H60)-FIND("(",'Bball ref'!H60)-1))</f>
        <v>4.4000000000000004</v>
      </c>
      <c r="P50" s="64">
        <f>VALUE(MID('Bball ref'!H60,FIND("/",'Bball ref'!H60)+1,FIND(")",'Bball ref'!H60)-FIND("/",'Bball ref'!H60)-1))</f>
        <v>5.4</v>
      </c>
      <c r="Q50" s="64">
        <f>(D50-Math!B$14)/Math!B$15</f>
        <v>-0.69041261950814947</v>
      </c>
      <c r="R50" s="64">
        <f>(E50-Math!C$14)/Math!C$15</f>
        <v>0.36109665445982869</v>
      </c>
      <c r="S50" s="64">
        <f>(F50-Math!D$14)/Math!D$15</f>
        <v>1.2342455993424724</v>
      </c>
      <c r="T50" s="64">
        <f>(G50-Math!E$14)/Math!E$15</f>
        <v>-0.59038666297381537</v>
      </c>
      <c r="U50" s="64">
        <f>(H50-Math!F$14)/Math!F$15</f>
        <v>0.25858468257085621</v>
      </c>
      <c r="V50" s="64">
        <f>(I50-Math!G$14)/Math!G$15</f>
        <v>1.1344947572963382</v>
      </c>
      <c r="W50" s="64">
        <f>(J50-Math!H$14)/Math!H$15</f>
        <v>-0.53563136395848565</v>
      </c>
      <c r="X50" s="64">
        <f>(-1)*(K50-Math!I$14)/Math!I$15</f>
        <v>-1.4065992033627419</v>
      </c>
      <c r="Y50" s="64">
        <f>(L50-Math!J$14)/Math!J$15</f>
        <v>1.9943756551522842</v>
      </c>
    </row>
    <row r="51" spans="1:25">
      <c r="A51" s="64" t="str">
        <f>IF((LEN('Bball ref'!B61)-LEN(SUBSTITUTE('Bball ref'!B61," ","")))&lt;2,'Bball ref'!B61,LEFT('Bball ref'!B61,FIND(" ",'Bball ref'!B61,FIND(" ",'Bball ref'!B61)+1)-1))</f>
        <v>Victor Oladipo</v>
      </c>
      <c r="B51" s="64">
        <f>'Bball ref'!A61</f>
        <v>50</v>
      </c>
      <c r="C51" s="64">
        <f>'Bball ref'!E61</f>
        <v>50</v>
      </c>
      <c r="D51" s="64">
        <f>VALUE(LEFT('Bball ref'!G61,FIND("(",'Bball ref'!G61)-1))</f>
        <v>0.44</v>
      </c>
      <c r="E51" s="64">
        <f>VALUE(LEFT('Bball ref'!H61,(FIND("(",'Bball ref'!H61)-1)))</f>
        <v>0.78</v>
      </c>
      <c r="F51" s="64">
        <f>'Bball ref'!I61</f>
        <v>2.1</v>
      </c>
      <c r="G51" s="64">
        <f>'Bball ref'!K61</f>
        <v>5.5</v>
      </c>
      <c r="H51" s="64">
        <f>'Bball ref'!L61</f>
        <v>5.0999999999999996</v>
      </c>
      <c r="I51" s="64">
        <f>'Bball ref'!M61</f>
        <v>1.6</v>
      </c>
      <c r="J51" s="64">
        <f>'Bball ref'!N61</f>
        <v>0.3</v>
      </c>
      <c r="K51" s="64">
        <f>'Bball ref'!O61</f>
        <v>2.2000000000000002</v>
      </c>
      <c r="L51" s="64">
        <f>'Bball ref'!J61</f>
        <v>19.399999999999999</v>
      </c>
      <c r="M51" s="64">
        <f>VALUE(MID('Bball ref'!G61,FIND("(",'Bball ref'!G61)+1,FIND("/",'Bball ref'!G61)-FIND("(",'Bball ref'!G61)-1))</f>
        <v>7.2</v>
      </c>
      <c r="N51" s="64">
        <f>VALUE(MID('Bball ref'!G61,FIND("/",'Bball ref'!G61)+1,FIND(")",'Bball ref'!G61)-FIND("/",'Bball ref'!G61)-1))</f>
        <v>16.2</v>
      </c>
      <c r="O51" s="64">
        <f>VALUE(MID('Bball ref'!H61,FIND("(",'Bball ref'!H61)+1,FIND("/",'Bball ref'!H61)-FIND("(",'Bball ref'!H61)-1))</f>
        <v>2.9</v>
      </c>
      <c r="P51" s="64">
        <f>VALUE(MID('Bball ref'!H61,FIND("/",'Bball ref'!H61)+1,FIND(")",'Bball ref'!H61)-FIND("/",'Bball ref'!H61)-1))</f>
        <v>3.7</v>
      </c>
      <c r="Q51" s="64">
        <f>(D51-Math!B$14)/Math!B$15</f>
        <v>-0.69041261950814947</v>
      </c>
      <c r="R51" s="64">
        <f>(E51-Math!C$14)/Math!C$15</f>
        <v>-2.4234674795958946E-3</v>
      </c>
      <c r="S51" s="64">
        <f>(F51-Math!D$14)/Math!D$15</f>
        <v>0.69480259263684652</v>
      </c>
      <c r="T51" s="64">
        <f>(G51-Math!E$14)/Math!E$15</f>
        <v>-0.13463626376598151</v>
      </c>
      <c r="U51" s="64">
        <f>(H51-Math!F$14)/Math!F$15</f>
        <v>0.91068960467000981</v>
      </c>
      <c r="V51" s="64">
        <f>(I51-Math!G$14)/Math!G$15</f>
        <v>1.6621667374341709</v>
      </c>
      <c r="W51" s="64">
        <f>(J51-Math!H$14)/Math!H$15</f>
        <v>-0.71969712476896219</v>
      </c>
      <c r="X51" s="64">
        <f>(-1)*(K51-Math!I$14)/Math!I$15</f>
        <v>-0.60167834306932821</v>
      </c>
      <c r="Y51" s="64">
        <f>(L51-Math!J$14)/Math!J$15</f>
        <v>0.83147439850372173</v>
      </c>
    </row>
    <row r="52" spans="1:25">
      <c r="A52" s="64" t="str">
        <f>IF((LEN('Bball ref'!B62)-LEN(SUBSTITUTE('Bball ref'!B62," ","")))&lt;2,'Bball ref'!B62,LEFT('Bball ref'!B62,FIND(" ",'Bball ref'!B62,FIND(" ",'Bball ref'!B62)+1)-1))</f>
        <v>Eric Bledsoe</v>
      </c>
      <c r="B52" s="64">
        <f>'Bball ref'!A62</f>
        <v>51</v>
      </c>
      <c r="C52" s="64">
        <f>'Bball ref'!E62</f>
        <v>76</v>
      </c>
      <c r="D52" s="64">
        <f>VALUE(LEFT('Bball ref'!G62,FIND("(",'Bball ref'!G62)-1))</f>
        <v>0.48</v>
      </c>
      <c r="E52" s="64">
        <f>VALUE(LEFT('Bball ref'!H62,(FIND("(",'Bball ref'!H62)-1)))</f>
        <v>0.78</v>
      </c>
      <c r="F52" s="64">
        <f>'Bball ref'!I62</f>
        <v>1.7</v>
      </c>
      <c r="G52" s="64">
        <f>'Bball ref'!K62</f>
        <v>5.0999999999999996</v>
      </c>
      <c r="H52" s="64">
        <f>'Bball ref'!L62</f>
        <v>6</v>
      </c>
      <c r="I52" s="64">
        <f>'Bball ref'!M62</f>
        <v>1.5</v>
      </c>
      <c r="J52" s="64">
        <f>'Bball ref'!N62</f>
        <v>0.4</v>
      </c>
      <c r="K52" s="64">
        <f>'Bball ref'!O62</f>
        <v>2.2000000000000002</v>
      </c>
      <c r="L52" s="64">
        <f>'Bball ref'!J62</f>
        <v>15.3</v>
      </c>
      <c r="M52" s="64">
        <f>VALUE(MID('Bball ref'!G62,FIND("(",'Bball ref'!G62)+1,FIND("/",'Bball ref'!G62)-FIND("(",'Bball ref'!G62)-1))</f>
        <v>5.5</v>
      </c>
      <c r="N52" s="64">
        <f>VALUE(MID('Bball ref'!G62,FIND("/",'Bball ref'!G62)+1,FIND(")",'Bball ref'!G62)-FIND("/",'Bball ref'!G62)-1))</f>
        <v>11.5</v>
      </c>
      <c r="O52" s="64">
        <f>VALUE(MID('Bball ref'!H62,FIND("(",'Bball ref'!H62)+1,FIND("/",'Bball ref'!H62)-FIND("(",'Bball ref'!H62)-1))</f>
        <v>2.5</v>
      </c>
      <c r="P52" s="64">
        <f>VALUE(MID('Bball ref'!H62,FIND("/",'Bball ref'!H62)+1,FIND(")",'Bball ref'!H62)-FIND("/",'Bball ref'!H62)-1))</f>
        <v>3.2</v>
      </c>
      <c r="Q52" s="64">
        <f>(D52-Math!B$14)/Math!B$15</f>
        <v>4.8985098840605826E-2</v>
      </c>
      <c r="R52" s="64">
        <f>(E52-Math!C$14)/Math!C$15</f>
        <v>-2.4234674795958946E-3</v>
      </c>
      <c r="S52" s="64">
        <f>(F52-Math!D$14)/Math!D$15</f>
        <v>0.26324818727234567</v>
      </c>
      <c r="T52" s="64">
        <f>(G52-Math!E$14)/Math!E$15</f>
        <v>-0.28655306350192628</v>
      </c>
      <c r="U52" s="64">
        <f>(H52-Math!F$14)/Math!F$15</f>
        <v>1.3621468584309626</v>
      </c>
      <c r="V52" s="64">
        <f>(I52-Math!G$14)/Math!G$15</f>
        <v>1.3983307473652546</v>
      </c>
      <c r="W52" s="64">
        <f>(J52-Math!H$14)/Math!H$15</f>
        <v>-0.53563136395848565</v>
      </c>
      <c r="X52" s="64">
        <f>(-1)*(K52-Math!I$14)/Math!I$15</f>
        <v>-0.60167834306932821</v>
      </c>
      <c r="Y52" s="64">
        <f>(L52-Math!J$14)/Math!J$15</f>
        <v>9.4235101831867448E-3</v>
      </c>
    </row>
    <row r="53" spans="1:25">
      <c r="A53" s="64" t="str">
        <f>IF((LEN('Bball ref'!B63)-LEN(SUBSTITUTE('Bball ref'!B63," ","")))&lt;2,'Bball ref'!B63,LEFT('Bball ref'!B63,FIND(" ",'Bball ref'!B63,FIND(" ",'Bball ref'!B63)+1)-1))</f>
        <v>Thomas Bryant</v>
      </c>
      <c r="B53" s="64">
        <f>'Bball ref'!A63</f>
        <v>52</v>
      </c>
      <c r="C53" s="64">
        <f>'Bball ref'!E63</f>
        <v>76</v>
      </c>
      <c r="D53" s="64">
        <f>VALUE(LEFT('Bball ref'!G63,FIND("(",'Bball ref'!G63)-1))</f>
        <v>0.56000000000000005</v>
      </c>
      <c r="E53" s="64">
        <f>VALUE(LEFT('Bball ref'!H63,(FIND("(",'Bball ref'!H63)-1)))</f>
        <v>0.79</v>
      </c>
      <c r="F53" s="64">
        <f>'Bball ref'!I63</f>
        <v>0.8</v>
      </c>
      <c r="G53" s="64">
        <f>'Bball ref'!K63</f>
        <v>9.5</v>
      </c>
      <c r="H53" s="64">
        <f>'Bball ref'!L63</f>
        <v>2</v>
      </c>
      <c r="I53" s="64">
        <f>'Bball ref'!M63</f>
        <v>0.4</v>
      </c>
      <c r="J53" s="64">
        <f>'Bball ref'!N63</f>
        <v>1.4</v>
      </c>
      <c r="K53" s="64">
        <f>'Bball ref'!O63</f>
        <v>1.2</v>
      </c>
      <c r="L53" s="64">
        <f>'Bball ref'!J63</f>
        <v>15.1</v>
      </c>
      <c r="M53" s="64">
        <f>VALUE(MID('Bball ref'!G63,FIND("(",'Bball ref'!G63)+1,FIND("/",'Bball ref'!G63)-FIND("(",'Bball ref'!G63)-1))</f>
        <v>6</v>
      </c>
      <c r="N53" s="64">
        <f>VALUE(MID('Bball ref'!G63,FIND("/",'Bball ref'!G63)+1,FIND(")",'Bball ref'!G63)-FIND("/",'Bball ref'!G63)-1))</f>
        <v>10.7</v>
      </c>
      <c r="O53" s="64">
        <f>VALUE(MID('Bball ref'!H63,FIND("(",'Bball ref'!H63)+1,FIND("/",'Bball ref'!H63)-FIND("(",'Bball ref'!H63)-1))</f>
        <v>2.2999999999999998</v>
      </c>
      <c r="P53" s="64">
        <f>VALUE(MID('Bball ref'!H63,FIND("/",'Bball ref'!H63)+1,FIND(")",'Bball ref'!H63)-FIND("/",'Bball ref'!H63)-1))</f>
        <v>2.9</v>
      </c>
      <c r="Q53" s="64">
        <f>(D53-Math!B$14)/Math!B$15</f>
        <v>1.5277805355381187</v>
      </c>
      <c r="R53" s="64">
        <f>(E53-Math!C$14)/Math!C$15</f>
        <v>0.11874990650021229</v>
      </c>
      <c r="S53" s="64">
        <f>(F53-Math!D$14)/Math!D$15</f>
        <v>-0.7077492247977808</v>
      </c>
      <c r="T53" s="64">
        <f>(G53-Math!E$14)/Math!E$15</f>
        <v>1.3845317335934646</v>
      </c>
      <c r="U53" s="64">
        <f>(H53-Math!F$14)/Math!F$15</f>
        <v>-0.64432982495104885</v>
      </c>
      <c r="V53" s="64">
        <f>(I53-Math!G$14)/Math!G$15</f>
        <v>-1.5038651433928218</v>
      </c>
      <c r="W53" s="64">
        <f>(J53-Math!H$14)/Math!H$15</f>
        <v>1.305026244146279</v>
      </c>
      <c r="X53" s="64">
        <f>(-1)*(K53-Math!I$14)/Math!I$15</f>
        <v>0.73985642408636254</v>
      </c>
      <c r="Y53" s="64">
        <f>(L53-Math!J$14)/Math!J$15</f>
        <v>-3.0676533149522515E-2</v>
      </c>
    </row>
    <row r="54" spans="1:25">
      <c r="A54" s="64" t="str">
        <f>IF((LEN('Bball ref'!B64)-LEN(SUBSTITUTE('Bball ref'!B64," ","")))&lt;2,'Bball ref'!B64,LEFT('Bball ref'!B64,FIND(" ",'Bball ref'!B64,FIND(" ",'Bball ref'!B64)+1)-1))</f>
        <v>Jaren Jackson</v>
      </c>
      <c r="B54" s="64">
        <f>'Bball ref'!A64</f>
        <v>53</v>
      </c>
      <c r="C54" s="64">
        <f>'Bball ref'!E64</f>
        <v>70</v>
      </c>
      <c r="D54" s="64">
        <f>VALUE(LEFT('Bball ref'!G64,FIND("(",'Bball ref'!G64)-1))</f>
        <v>0.49</v>
      </c>
      <c r="E54" s="64">
        <f>VALUE(LEFT('Bball ref'!H64,(FIND("(",'Bball ref'!H64)-1)))</f>
        <v>0.77</v>
      </c>
      <c r="F54" s="64">
        <f>'Bball ref'!I64</f>
        <v>1.1000000000000001</v>
      </c>
      <c r="G54" s="64">
        <f>'Bball ref'!K64</f>
        <v>7.2</v>
      </c>
      <c r="H54" s="64">
        <f>'Bball ref'!L64</f>
        <v>1.4</v>
      </c>
      <c r="I54" s="64">
        <f>'Bball ref'!M64</f>
        <v>1.1000000000000001</v>
      </c>
      <c r="J54" s="64">
        <f>'Bball ref'!N64</f>
        <v>1.8</v>
      </c>
      <c r="K54" s="64">
        <f>'Bball ref'!O64</f>
        <v>2.1</v>
      </c>
      <c r="L54" s="64">
        <f>'Bball ref'!J64</f>
        <v>17.100000000000001</v>
      </c>
      <c r="M54" s="64">
        <f>VALUE(MID('Bball ref'!G64,FIND("(",'Bball ref'!G64)+1,FIND("/",'Bball ref'!G64)-FIND("(",'Bball ref'!G64)-1))</f>
        <v>6.3</v>
      </c>
      <c r="N54" s="64">
        <f>VALUE(MID('Bball ref'!G64,FIND("/",'Bball ref'!G64)+1,FIND(")",'Bball ref'!G64)-FIND("/",'Bball ref'!G64)-1))</f>
        <v>12.9</v>
      </c>
      <c r="O54" s="64">
        <f>VALUE(MID('Bball ref'!H64,FIND("(",'Bball ref'!H64)+1,FIND("/",'Bball ref'!H64)-FIND("(",'Bball ref'!H64)-1))</f>
        <v>3.4</v>
      </c>
      <c r="P54" s="64">
        <f>VALUE(MID('Bball ref'!H64,FIND("/",'Bball ref'!H64)+1,FIND(")",'Bball ref'!H64)-FIND("/",'Bball ref'!H64)-1))</f>
        <v>4.4000000000000004</v>
      </c>
      <c r="Q54" s="64">
        <f>(D54-Math!B$14)/Math!B$15</f>
        <v>0.23383452842779492</v>
      </c>
      <c r="R54" s="64">
        <f>(E54-Math!C$14)/Math!C$15</f>
        <v>-0.12359684145940408</v>
      </c>
      <c r="S54" s="64">
        <f>(F54-Math!D$14)/Math!D$15</f>
        <v>-0.38408342077440522</v>
      </c>
      <c r="T54" s="64">
        <f>(G54-Math!E$14)/Math!E$15</f>
        <v>0.51101013511178317</v>
      </c>
      <c r="U54" s="64">
        <f>(H54-Math!F$14)/Math!F$15</f>
        <v>-0.9453013274583506</v>
      </c>
      <c r="V54" s="64">
        <f>(I54-Math!G$14)/Math!G$15</f>
        <v>0.34298678708959057</v>
      </c>
      <c r="W54" s="64">
        <f>(J54-Math!H$14)/Math!H$15</f>
        <v>2.0412892873881852</v>
      </c>
      <c r="X54" s="64">
        <f>(-1)*(K54-Math!I$14)/Math!I$15</f>
        <v>-0.46752486635375906</v>
      </c>
      <c r="Y54" s="64">
        <f>(L54-Math!J$14)/Math!J$15</f>
        <v>0.37032390017756828</v>
      </c>
    </row>
    <row r="55" spans="1:25">
      <c r="A55" s="64" t="str">
        <f>IF((LEN('Bball ref'!B65)-LEN(SUBSTITUTE('Bball ref'!B65," ","")))&lt;2,'Bball ref'!B65,LEFT('Bball ref'!B65,FIND(" ",'Bball ref'!B65,FIND(" ",'Bball ref'!B65)+1)-1))</f>
        <v>Jonas Valanciunas</v>
      </c>
      <c r="B55" s="64">
        <f>'Bball ref'!A65</f>
        <v>54</v>
      </c>
      <c r="C55" s="64">
        <f>'Bball ref'!E65</f>
        <v>72</v>
      </c>
      <c r="D55" s="64">
        <f>VALUE(LEFT('Bball ref'!G65,FIND("(",'Bball ref'!G65)-1))</f>
        <v>0.55000000000000004</v>
      </c>
      <c r="E55" s="64">
        <f>VALUE(LEFT('Bball ref'!H65,(FIND("(",'Bball ref'!H65)-1)))</f>
        <v>0.8</v>
      </c>
      <c r="F55" s="64">
        <f>'Bball ref'!I65</f>
        <v>0.4</v>
      </c>
      <c r="G55" s="64">
        <f>'Bball ref'!K65</f>
        <v>9.6999999999999993</v>
      </c>
      <c r="H55" s="64">
        <f>'Bball ref'!L65</f>
        <v>1.8</v>
      </c>
      <c r="I55" s="64">
        <f>'Bball ref'!M65</f>
        <v>0.5</v>
      </c>
      <c r="J55" s="64">
        <f>'Bball ref'!N65</f>
        <v>1.5</v>
      </c>
      <c r="K55" s="64">
        <f>'Bball ref'!O65</f>
        <v>2.4</v>
      </c>
      <c r="L55" s="64">
        <f>'Bball ref'!J65</f>
        <v>16.5</v>
      </c>
      <c r="M55" s="64">
        <f>VALUE(MID('Bball ref'!G65,FIND("(",'Bball ref'!G65)+1,FIND("/",'Bball ref'!G65)-FIND("(",'Bball ref'!G65)-1))</f>
        <v>6.1</v>
      </c>
      <c r="N55" s="64">
        <f>VALUE(MID('Bball ref'!G65,FIND("/",'Bball ref'!G65)+1,FIND(")",'Bball ref'!G65)-FIND("/",'Bball ref'!G65)-1))</f>
        <v>11</v>
      </c>
      <c r="O55" s="64">
        <f>VALUE(MID('Bball ref'!H65,FIND("(",'Bball ref'!H65)+1,FIND("/",'Bball ref'!H65)-FIND("(",'Bball ref'!H65)-1))</f>
        <v>4</v>
      </c>
      <c r="P55" s="64">
        <f>VALUE(MID('Bball ref'!H65,FIND("/",'Bball ref'!H65)+1,FIND(")",'Bball ref'!H65)-FIND("/",'Bball ref'!H65)-1))</f>
        <v>5</v>
      </c>
      <c r="Q55" s="64">
        <f>(D55-Math!B$14)/Math!B$15</f>
        <v>1.3429311059509295</v>
      </c>
      <c r="R55" s="64">
        <f>(E55-Math!C$14)/Math!C$15</f>
        <v>0.23992328048002048</v>
      </c>
      <c r="S55" s="64">
        <f>(F55-Math!D$14)/Math!D$15</f>
        <v>-1.1393036301622814</v>
      </c>
      <c r="T55" s="64">
        <f>(G55-Math!E$14)/Math!E$15</f>
        <v>1.4604901334614366</v>
      </c>
      <c r="U55" s="64">
        <f>(H55-Math!F$14)/Math!F$15</f>
        <v>-0.74465365912014936</v>
      </c>
      <c r="V55" s="64">
        <f>(I55-Math!G$14)/Math!G$15</f>
        <v>-1.2400291533239061</v>
      </c>
      <c r="W55" s="64">
        <f>(J55-Math!H$14)/Math!H$15</f>
        <v>1.4890920049567555</v>
      </c>
      <c r="X55" s="64">
        <f>(-1)*(K55-Math!I$14)/Math!I$15</f>
        <v>-0.86998529650046597</v>
      </c>
      <c r="Y55" s="64">
        <f>(L55-Math!J$14)/Math!J$15</f>
        <v>0.25002377017944089</v>
      </c>
    </row>
    <row r="56" spans="1:25">
      <c r="A56" s="64" t="str">
        <f>IF((LEN('Bball ref'!B66)-LEN(SUBSTITUTE('Bball ref'!B66," ","")))&lt;2,'Bball ref'!B66,LEFT('Bball ref'!B66,FIND(" ",'Bball ref'!B66,FIND(" ",'Bball ref'!B66)+1)-1))</f>
        <v>DeMar DeRozan</v>
      </c>
      <c r="B56" s="64">
        <f>'Bball ref'!A66</f>
        <v>55</v>
      </c>
      <c r="C56" s="64">
        <f>'Bball ref'!E66</f>
        <v>76</v>
      </c>
      <c r="D56" s="64">
        <f>VALUE(LEFT('Bball ref'!G66,FIND("(",'Bball ref'!G66)-1))</f>
        <v>0.47</v>
      </c>
      <c r="E56" s="64">
        <f>VALUE(LEFT('Bball ref'!H66,(FIND("(",'Bball ref'!H66)-1)))</f>
        <v>0.82</v>
      </c>
      <c r="F56" s="64">
        <f>'Bball ref'!I66</f>
        <v>0.4</v>
      </c>
      <c r="G56" s="64">
        <f>'Bball ref'!K66</f>
        <v>6</v>
      </c>
      <c r="H56" s="64">
        <f>'Bball ref'!L66</f>
        <v>5.2</v>
      </c>
      <c r="I56" s="64">
        <f>'Bball ref'!M66</f>
        <v>1.1000000000000001</v>
      </c>
      <c r="J56" s="64">
        <f>'Bball ref'!N66</f>
        <v>0.5</v>
      </c>
      <c r="K56" s="64">
        <f>'Bball ref'!O66</f>
        <v>2.5</v>
      </c>
      <c r="L56" s="64">
        <f>'Bball ref'!J66</f>
        <v>21.4</v>
      </c>
      <c r="M56" s="64">
        <f>VALUE(MID('Bball ref'!G66,FIND("(",'Bball ref'!G66)+1,FIND("/",'Bball ref'!G66)-FIND("(",'Bball ref'!G66)-1))</f>
        <v>8.1999999999999993</v>
      </c>
      <c r="N56" s="64">
        <f>VALUE(MID('Bball ref'!G66,FIND("/",'Bball ref'!G66)+1,FIND(")",'Bball ref'!G66)-FIND("/",'Bball ref'!G66)-1))</f>
        <v>17.3</v>
      </c>
      <c r="O56" s="64">
        <f>VALUE(MID('Bball ref'!H66,FIND("(",'Bball ref'!H66)+1,FIND("/",'Bball ref'!H66)-FIND("(",'Bball ref'!H66)-1))</f>
        <v>4.7</v>
      </c>
      <c r="P56" s="64">
        <f>VALUE(MID('Bball ref'!H66,FIND("/",'Bball ref'!H66)+1,FIND(")",'Bball ref'!H66)-FIND("/",'Bball ref'!H66)-1))</f>
        <v>5.7</v>
      </c>
      <c r="Q56" s="64">
        <f>(D56-Math!B$14)/Math!B$15</f>
        <v>-0.13586433074658327</v>
      </c>
      <c r="R56" s="64">
        <f>(E56-Math!C$14)/Math!C$15</f>
        <v>0.48227002843963551</v>
      </c>
      <c r="S56" s="64">
        <f>(F56-Math!D$14)/Math!D$15</f>
        <v>-1.1393036301622814</v>
      </c>
      <c r="T56" s="64">
        <f>(G56-Math!E$14)/Math!E$15</f>
        <v>5.5259735903949246E-2</v>
      </c>
      <c r="U56" s="64">
        <f>(H56-Math!F$14)/Math!F$15</f>
        <v>0.96085152175456034</v>
      </c>
      <c r="V56" s="64">
        <f>(I56-Math!G$14)/Math!G$15</f>
        <v>0.34298678708959057</v>
      </c>
      <c r="W56" s="64">
        <f>(J56-Math!H$14)/Math!H$15</f>
        <v>-0.35156560314800916</v>
      </c>
      <c r="X56" s="64">
        <f>(-1)*(K56-Math!I$14)/Math!I$15</f>
        <v>-1.0041387732160352</v>
      </c>
      <c r="Y56" s="64">
        <f>(L56-Math!J$14)/Math!J$15</f>
        <v>1.2324748318308123</v>
      </c>
    </row>
    <row r="57" spans="1:25">
      <c r="A57" s="64" t="str">
        <f>IF((LEN('Bball ref'!B67)-LEN(SUBSTITUTE('Bball ref'!B67," ","")))&lt;2,'Bball ref'!B67,LEFT('Bball ref'!B67,FIND(" ",'Bball ref'!B67,FIND(" ",'Bball ref'!B67)+1)-1))</f>
        <v>Al Horford</v>
      </c>
      <c r="B57" s="64">
        <f>'Bball ref'!A67</f>
        <v>56</v>
      </c>
      <c r="C57" s="64">
        <f>'Bball ref'!E67</f>
        <v>70</v>
      </c>
      <c r="D57" s="64">
        <f>VALUE(LEFT('Bball ref'!G67,FIND("(",'Bball ref'!G67)-1))</f>
        <v>0.5</v>
      </c>
      <c r="E57" s="64">
        <f>VALUE(LEFT('Bball ref'!H67,(FIND("(",'Bball ref'!H67)-1)))</f>
        <v>0.86</v>
      </c>
      <c r="F57" s="64">
        <f>'Bball ref'!I67</f>
        <v>1.1000000000000001</v>
      </c>
      <c r="G57" s="64">
        <f>'Bball ref'!K67</f>
        <v>6.9</v>
      </c>
      <c r="H57" s="64">
        <f>'Bball ref'!L67</f>
        <v>3.8</v>
      </c>
      <c r="I57" s="64">
        <f>'Bball ref'!M67</f>
        <v>0.9</v>
      </c>
      <c r="J57" s="64">
        <f>'Bball ref'!N67</f>
        <v>1.3</v>
      </c>
      <c r="K57" s="64">
        <f>'Bball ref'!O67</f>
        <v>1.4</v>
      </c>
      <c r="L57" s="64">
        <f>'Bball ref'!J67</f>
        <v>12.8</v>
      </c>
      <c r="M57" s="64">
        <f>VALUE(MID('Bball ref'!G67,FIND("(",'Bball ref'!G67)+1,FIND("/",'Bball ref'!G67)-FIND("(",'Bball ref'!G67)-1))</f>
        <v>5.2</v>
      </c>
      <c r="N57" s="64">
        <f>VALUE(MID('Bball ref'!G67,FIND("/",'Bball ref'!G67)+1,FIND(")",'Bball ref'!G67)-FIND("/",'Bball ref'!G67)-1))</f>
        <v>10.5</v>
      </c>
      <c r="O57" s="64">
        <f>VALUE(MID('Bball ref'!H67,FIND("(",'Bball ref'!H67)+1,FIND("/",'Bball ref'!H67)-FIND("(",'Bball ref'!H67)-1))</f>
        <v>1.2</v>
      </c>
      <c r="P57" s="64">
        <f>VALUE(MID('Bball ref'!H67,FIND("/",'Bball ref'!H67)+1,FIND(")",'Bball ref'!H67)-FIND("/",'Bball ref'!H67)-1))</f>
        <v>1.4</v>
      </c>
      <c r="Q57" s="64">
        <f>(D57-Math!B$14)/Math!B$15</f>
        <v>0.41868395801498404</v>
      </c>
      <c r="R57" s="64">
        <f>(E57-Math!C$14)/Math!C$15</f>
        <v>0.96696352435886834</v>
      </c>
      <c r="S57" s="64">
        <f>(F57-Math!D$14)/Math!D$15</f>
        <v>-0.38408342077440522</v>
      </c>
      <c r="T57" s="64">
        <f>(G57-Math!E$14)/Math!E$15</f>
        <v>0.39707253530982478</v>
      </c>
      <c r="U57" s="64">
        <f>(H57-Math!F$14)/Math!F$15</f>
        <v>0.25858468257085621</v>
      </c>
      <c r="V57" s="64">
        <f>(I57-Math!G$14)/Math!G$15</f>
        <v>-0.18468519304824169</v>
      </c>
      <c r="W57" s="64">
        <f>(J57-Math!H$14)/Math!H$15</f>
        <v>1.1209604833358027</v>
      </c>
      <c r="X57" s="64">
        <f>(-1)*(K57-Math!I$14)/Math!I$15</f>
        <v>0.47154947065522446</v>
      </c>
      <c r="Y57" s="64">
        <f>(L57-Math!J$14)/Math!J$15</f>
        <v>-0.4918270314756763</v>
      </c>
    </row>
    <row r="58" spans="1:25">
      <c r="A58" s="64" t="str">
        <f>IF((LEN('Bball ref'!B68)-LEN(SUBSTITUTE('Bball ref'!B68," ","")))&lt;2,'Bball ref'!B68,LEFT('Bball ref'!B68,FIND(" ",'Bball ref'!B68,FIND(" ",'Bball ref'!B68)+1)-1))</f>
        <v>Josh Richardson</v>
      </c>
      <c r="B58" s="64">
        <f>'Bball ref'!A68</f>
        <v>57</v>
      </c>
      <c r="C58" s="64">
        <f>'Bball ref'!E68</f>
        <v>75</v>
      </c>
      <c r="D58" s="64">
        <f>VALUE(LEFT('Bball ref'!G68,FIND("(",'Bball ref'!G68)-1))</f>
        <v>0.45</v>
      </c>
      <c r="E58" s="64">
        <f>VALUE(LEFT('Bball ref'!H68,(FIND("(",'Bball ref'!H68)-1)))</f>
        <v>0.84</v>
      </c>
      <c r="F58" s="64">
        <f>'Bball ref'!I68</f>
        <v>2.4</v>
      </c>
      <c r="G58" s="64">
        <f>'Bball ref'!K68</f>
        <v>3.6</v>
      </c>
      <c r="H58" s="64">
        <f>'Bball ref'!L68</f>
        <v>2.8</v>
      </c>
      <c r="I58" s="64">
        <f>'Bball ref'!M68</f>
        <v>1.5</v>
      </c>
      <c r="J58" s="64">
        <f>'Bball ref'!N68</f>
        <v>0.9</v>
      </c>
      <c r="K58" s="64">
        <f>'Bball ref'!O68</f>
        <v>1.4</v>
      </c>
      <c r="L58" s="64">
        <f>'Bball ref'!J68</f>
        <v>15.3</v>
      </c>
      <c r="M58" s="64">
        <f>VALUE(MID('Bball ref'!G68,FIND("(",'Bball ref'!G68)+1,FIND("/",'Bball ref'!G68)-FIND("(",'Bball ref'!G68)-1))</f>
        <v>5.0999999999999996</v>
      </c>
      <c r="N58" s="64">
        <f>VALUE(MID('Bball ref'!G68,FIND("/",'Bball ref'!G68)+1,FIND(")",'Bball ref'!G68)-FIND("/",'Bball ref'!G68)-1))</f>
        <v>11.4</v>
      </c>
      <c r="O58" s="64">
        <f>VALUE(MID('Bball ref'!H68,FIND("(",'Bball ref'!H68)+1,FIND("/",'Bball ref'!H68)-FIND("(",'Bball ref'!H68)-1))</f>
        <v>2.7</v>
      </c>
      <c r="P58" s="64">
        <f>VALUE(MID('Bball ref'!H68,FIND("/",'Bball ref'!H68)+1,FIND(")",'Bball ref'!H68)-FIND("/",'Bball ref'!H68)-1))</f>
        <v>3.2</v>
      </c>
      <c r="Q58" s="64">
        <f>(D58-Math!B$14)/Math!B$15</f>
        <v>-0.50556318992096039</v>
      </c>
      <c r="R58" s="64">
        <f>(E58-Math!C$14)/Math!C$15</f>
        <v>0.72461677639925193</v>
      </c>
      <c r="S58" s="64">
        <f>(F58-Math!D$14)/Math!D$15</f>
        <v>1.0184683966602219</v>
      </c>
      <c r="T58" s="64">
        <f>(G58-Math!E$14)/Math!E$15</f>
        <v>-0.85624106251171839</v>
      </c>
      <c r="U58" s="64">
        <f>(H58-Math!F$14)/Math!F$15</f>
        <v>-0.24303448827464666</v>
      </c>
      <c r="V58" s="64">
        <f>(I58-Math!G$14)/Math!G$15</f>
        <v>1.3983307473652546</v>
      </c>
      <c r="W58" s="64">
        <f>(J58-Math!H$14)/Math!H$15</f>
        <v>0.38469744009389678</v>
      </c>
      <c r="X58" s="64">
        <f>(-1)*(K58-Math!I$14)/Math!I$15</f>
        <v>0.47154947065522446</v>
      </c>
      <c r="Y58" s="64">
        <f>(L58-Math!J$14)/Math!J$15</f>
        <v>9.4235101831867448E-3</v>
      </c>
    </row>
    <row r="59" spans="1:25">
      <c r="A59" s="64" t="str">
        <f>IF((LEN('Bball ref'!B69)-LEN(SUBSTITUTE('Bball ref'!B69," ","")))&lt;2,'Bball ref'!B69,LEFT('Bball ref'!B69,FIND(" ",'Bball ref'!B69,FIND(" ",'Bball ref'!B69)+1)-1))</f>
        <v>Brook Lopez</v>
      </c>
      <c r="B59" s="64">
        <f>'Bball ref'!A69</f>
        <v>58</v>
      </c>
      <c r="C59" s="64">
        <f>'Bball ref'!E69</f>
        <v>76</v>
      </c>
      <c r="D59" s="64">
        <f>VALUE(LEFT('Bball ref'!G69,FIND("(",'Bball ref'!G69)-1))</f>
        <v>0.45</v>
      </c>
      <c r="E59" s="64">
        <f>VALUE(LEFT('Bball ref'!H69,(FIND("(",'Bball ref'!H69)-1)))</f>
        <v>0.88</v>
      </c>
      <c r="F59" s="64">
        <f>'Bball ref'!I69</f>
        <v>2.4</v>
      </c>
      <c r="G59" s="64">
        <f>'Bball ref'!K69</f>
        <v>5</v>
      </c>
      <c r="H59" s="64">
        <f>'Bball ref'!L69</f>
        <v>1.2</v>
      </c>
      <c r="I59" s="64">
        <f>'Bball ref'!M69</f>
        <v>0.6</v>
      </c>
      <c r="J59" s="64">
        <f>'Bball ref'!N69</f>
        <v>2.2999999999999998</v>
      </c>
      <c r="K59" s="64">
        <f>'Bball ref'!O69</f>
        <v>1</v>
      </c>
      <c r="L59" s="64">
        <f>'Bball ref'!J69</f>
        <v>12.9</v>
      </c>
      <c r="M59" s="64">
        <f>VALUE(MID('Bball ref'!G69,FIND("(",'Bball ref'!G69)+1,FIND("/",'Bball ref'!G69)-FIND("(",'Bball ref'!G69)-1))</f>
        <v>4.5</v>
      </c>
      <c r="N59" s="64">
        <f>VALUE(MID('Bball ref'!G69,FIND("/",'Bball ref'!G69)+1,FIND(")",'Bball ref'!G69)-FIND("/",'Bball ref'!G69)-1))</f>
        <v>9.9</v>
      </c>
      <c r="O59" s="64">
        <f>VALUE(MID('Bball ref'!H69,FIND("(",'Bball ref'!H69)+1,FIND("/",'Bball ref'!H69)-FIND("(",'Bball ref'!H69)-1))</f>
        <v>1.4</v>
      </c>
      <c r="P59" s="64">
        <f>VALUE(MID('Bball ref'!H69,FIND("/",'Bball ref'!H69)+1,FIND(")",'Bball ref'!H69)-FIND("/",'Bball ref'!H69)-1))</f>
        <v>1.6</v>
      </c>
      <c r="Q59" s="64">
        <f>(D59-Math!B$14)/Math!B$15</f>
        <v>-0.50556318992096039</v>
      </c>
      <c r="R59" s="64">
        <f>(E59-Math!C$14)/Math!C$15</f>
        <v>1.2093102723184848</v>
      </c>
      <c r="S59" s="64">
        <f>(F59-Math!D$14)/Math!D$15</f>
        <v>1.0184683966602219</v>
      </c>
      <c r="T59" s="64">
        <f>(G59-Math!E$14)/Math!E$15</f>
        <v>-0.32453226343591229</v>
      </c>
      <c r="U59" s="64">
        <f>(H59-Math!F$14)/Math!F$15</f>
        <v>-1.0456251616274512</v>
      </c>
      <c r="V59" s="64">
        <f>(I59-Math!G$14)/Math!G$15</f>
        <v>-0.97619316325498995</v>
      </c>
      <c r="W59" s="64">
        <f>(J59-Math!H$14)/Math!H$15</f>
        <v>2.9616180914405672</v>
      </c>
      <c r="X59" s="64">
        <f>(-1)*(K59-Math!I$14)/Math!I$15</f>
        <v>1.0081633775175005</v>
      </c>
      <c r="Y59" s="64">
        <f>(L59-Math!J$14)/Math!J$15</f>
        <v>-0.47177700980932186</v>
      </c>
    </row>
    <row r="60" spans="1:25">
      <c r="A60" s="64" t="str">
        <f>IF((LEN('Bball ref'!B70)-LEN(SUBSTITUTE('Bball ref'!B70," ","")))&lt;2,'Bball ref'!B70,LEFT('Bball ref'!B70,FIND(" ",'Bball ref'!B70,FIND(" ",'Bball ref'!B70)+1)-1))</f>
        <v>Malcolm Brogdon</v>
      </c>
      <c r="B60" s="64">
        <f>'Bball ref'!A70</f>
        <v>59</v>
      </c>
      <c r="C60" s="64">
        <f>'Bball ref'!E70</f>
        <v>70</v>
      </c>
      <c r="D60" s="64">
        <f>VALUE(LEFT('Bball ref'!G70,FIND("(",'Bball ref'!G70)-1))</f>
        <v>0.49</v>
      </c>
      <c r="E60" s="64">
        <f>VALUE(LEFT('Bball ref'!H70,(FIND("(",'Bball ref'!H70)-1)))</f>
        <v>0.93</v>
      </c>
      <c r="F60" s="64">
        <f>'Bball ref'!I70</f>
        <v>1.9</v>
      </c>
      <c r="G60" s="64">
        <f>'Bball ref'!K70</f>
        <v>4.5999999999999996</v>
      </c>
      <c r="H60" s="64">
        <f>'Bball ref'!L70</f>
        <v>4.9000000000000004</v>
      </c>
      <c r="I60" s="64">
        <f>'Bball ref'!M70</f>
        <v>0.8</v>
      </c>
      <c r="J60" s="64">
        <f>'Bball ref'!N70</f>
        <v>0.2</v>
      </c>
      <c r="K60" s="64">
        <f>'Bball ref'!O70</f>
        <v>1.8</v>
      </c>
      <c r="L60" s="64">
        <f>'Bball ref'!J70</f>
        <v>17.399999999999999</v>
      </c>
      <c r="M60" s="64">
        <f>VALUE(MID('Bball ref'!G70,FIND("(",'Bball ref'!G70)+1,FIND("/",'Bball ref'!G70)-FIND("(",'Bball ref'!G70)-1))</f>
        <v>6.5</v>
      </c>
      <c r="N60" s="64">
        <f>VALUE(MID('Bball ref'!G70,FIND("/",'Bball ref'!G70)+1,FIND(")",'Bball ref'!G70)-FIND("/",'Bball ref'!G70)-1))</f>
        <v>13.2</v>
      </c>
      <c r="O60" s="64">
        <f>VALUE(MID('Bball ref'!H70,FIND("(",'Bball ref'!H70)+1,FIND("/",'Bball ref'!H70)-FIND("(",'Bball ref'!H70)-1))</f>
        <v>2.6</v>
      </c>
      <c r="P60" s="64">
        <f>VALUE(MID('Bball ref'!H70,FIND("/",'Bball ref'!H70)+1,FIND(")",'Bball ref'!H70)-FIND("/",'Bball ref'!H70)-1))</f>
        <v>2.8</v>
      </c>
      <c r="Q60" s="64">
        <f>(D60-Math!B$14)/Math!B$15</f>
        <v>0.23383452842779492</v>
      </c>
      <c r="R60" s="64">
        <f>(E60-Math!C$14)/Math!C$15</f>
        <v>1.8151771422175256</v>
      </c>
      <c r="S60" s="64">
        <f>(F60-Math!D$14)/Math!D$15</f>
        <v>0.47902538995459598</v>
      </c>
      <c r="T60" s="64">
        <f>(G60-Math!E$14)/Math!E$15</f>
        <v>-0.47644906317185703</v>
      </c>
      <c r="U60" s="64">
        <f>(H60-Math!F$14)/Math!F$15</f>
        <v>0.81036577050090963</v>
      </c>
      <c r="V60" s="64">
        <f>(I60-Math!G$14)/Math!G$15</f>
        <v>-0.44852118311715766</v>
      </c>
      <c r="W60" s="64">
        <f>(J60-Math!H$14)/Math!H$15</f>
        <v>-0.90376288557943862</v>
      </c>
      <c r="X60" s="64">
        <f>(-1)*(K60-Math!I$14)/Math!I$15</f>
        <v>-6.5064436207051865E-2</v>
      </c>
      <c r="Y60" s="64">
        <f>(L60-Math!J$14)/Math!J$15</f>
        <v>0.43047396517663128</v>
      </c>
    </row>
    <row r="61" spans="1:25">
      <c r="A61" s="64" t="str">
        <f>IF((LEN('Bball ref'!B71)-LEN(SUBSTITUTE('Bball ref'!B71," ","")))&lt;2,'Bball ref'!B71,LEFT('Bball ref'!B71,FIND(" ",'Bball ref'!B71,FIND(" ",'Bball ref'!B71)+1)-1))</f>
        <v>Lauri Markkanen</v>
      </c>
      <c r="B61" s="64">
        <f>'Bball ref'!A71</f>
        <v>60</v>
      </c>
      <c r="C61" s="64">
        <f>'Bball ref'!E71</f>
        <v>68</v>
      </c>
      <c r="D61" s="64">
        <f>VALUE(LEFT('Bball ref'!G71,FIND("(",'Bball ref'!G71)-1))</f>
        <v>0.43</v>
      </c>
      <c r="E61" s="64">
        <f>VALUE(LEFT('Bball ref'!H71,(FIND("(",'Bball ref'!H71)-1)))</f>
        <v>0.85</v>
      </c>
      <c r="F61" s="64">
        <f>'Bball ref'!I71</f>
        <v>2.4</v>
      </c>
      <c r="G61" s="64">
        <f>'Bball ref'!K71</f>
        <v>9.5</v>
      </c>
      <c r="H61" s="64">
        <f>'Bball ref'!L71</f>
        <v>1.5</v>
      </c>
      <c r="I61" s="64">
        <f>'Bball ref'!M71</f>
        <v>0.7</v>
      </c>
      <c r="J61" s="64">
        <f>'Bball ref'!N71</f>
        <v>0.6</v>
      </c>
      <c r="K61" s="64">
        <f>'Bball ref'!O71</f>
        <v>1.6</v>
      </c>
      <c r="L61" s="64">
        <f>'Bball ref'!J71</f>
        <v>19.600000000000001</v>
      </c>
      <c r="M61" s="64">
        <f>VALUE(MID('Bball ref'!G71,FIND("(",'Bball ref'!G71)+1,FIND("/",'Bball ref'!G71)-FIND("(",'Bball ref'!G71)-1))</f>
        <v>6.9</v>
      </c>
      <c r="N61" s="64">
        <f>VALUE(MID('Bball ref'!G71,FIND("/",'Bball ref'!G71)+1,FIND(")",'Bball ref'!G71)-FIND("/",'Bball ref'!G71)-1))</f>
        <v>15.9</v>
      </c>
      <c r="O61" s="64">
        <f>VALUE(MID('Bball ref'!H71,FIND("(",'Bball ref'!H71)+1,FIND("/",'Bball ref'!H71)-FIND("(",'Bball ref'!H71)-1))</f>
        <v>3.4</v>
      </c>
      <c r="P61" s="64">
        <f>VALUE(MID('Bball ref'!H71,FIND("/",'Bball ref'!H71)+1,FIND(")",'Bball ref'!H71)-FIND("/",'Bball ref'!H71)-1))</f>
        <v>4</v>
      </c>
      <c r="Q61" s="64">
        <f>(D61-Math!B$14)/Math!B$15</f>
        <v>-0.87526204909533856</v>
      </c>
      <c r="R61" s="64">
        <f>(E61-Math!C$14)/Math!C$15</f>
        <v>0.84579015037906013</v>
      </c>
      <c r="S61" s="64">
        <f>(F61-Math!D$14)/Math!D$15</f>
        <v>1.0184683966602219</v>
      </c>
      <c r="T61" s="64">
        <f>(G61-Math!E$14)/Math!E$15</f>
        <v>1.3845317335934646</v>
      </c>
      <c r="U61" s="64">
        <f>(H61-Math!F$14)/Math!F$15</f>
        <v>-0.89513941037380029</v>
      </c>
      <c r="V61" s="64">
        <f>(I61-Math!G$14)/Math!G$15</f>
        <v>-0.71235717318607394</v>
      </c>
      <c r="W61" s="64">
        <f>(J61-Math!H$14)/Math!H$15</f>
        <v>-0.16749984233753273</v>
      </c>
      <c r="X61" s="64">
        <f>(-1)*(K61-Math!I$14)/Math!I$15</f>
        <v>0.20324251722408615</v>
      </c>
      <c r="Y61" s="64">
        <f>(L61-Math!J$14)/Math!J$15</f>
        <v>0.8715744418364314</v>
      </c>
    </row>
    <row r="62" spans="1:25">
      <c r="A62" s="64" t="str">
        <f>IF((LEN('Bball ref'!B73)-LEN(SUBSTITUTE('Bball ref'!B73," ","")))&lt;2,'Bball ref'!B73,LEFT('Bball ref'!B73,FIND(" ",'Bball ref'!B73,FIND(" ",'Bball ref'!B73)+1)-1))</f>
        <v>Lonzo Ball</v>
      </c>
      <c r="B62" s="64">
        <f>'Bball ref'!A73</f>
        <v>61</v>
      </c>
      <c r="C62" s="64">
        <f>'Bball ref'!E73</f>
        <v>66</v>
      </c>
      <c r="D62" s="64">
        <f>VALUE(LEFT('Bball ref'!G73,FIND("(",'Bball ref'!G73)-1))</f>
        <v>0.44</v>
      </c>
      <c r="E62" s="64">
        <f>VALUE(LEFT('Bball ref'!H73,(FIND("(",'Bball ref'!H73)-1)))</f>
        <v>0.56999999999999995</v>
      </c>
      <c r="F62" s="64">
        <f>'Bball ref'!I73</f>
        <v>1.7</v>
      </c>
      <c r="G62" s="64">
        <f>'Bball ref'!K73</f>
        <v>5.7</v>
      </c>
      <c r="H62" s="64">
        <f>'Bball ref'!L73</f>
        <v>8.5</v>
      </c>
      <c r="I62" s="64">
        <f>'Bball ref'!M73</f>
        <v>1.7</v>
      </c>
      <c r="J62" s="64">
        <f>'Bball ref'!N73</f>
        <v>0.4</v>
      </c>
      <c r="K62" s="64">
        <f>'Bball ref'!O73</f>
        <v>2.2999999999999998</v>
      </c>
      <c r="L62" s="64">
        <f>'Bball ref'!J73</f>
        <v>12.1</v>
      </c>
      <c r="M62" s="64">
        <f>VALUE(MID('Bball ref'!G73,FIND("(",'Bball ref'!G73)+1,FIND("/",'Bball ref'!G73)-FIND("(",'Bball ref'!G73)-1))</f>
        <v>4.8</v>
      </c>
      <c r="N62" s="64">
        <f>VALUE(MID('Bball ref'!G73,FIND("/",'Bball ref'!G73)+1,FIND(")",'Bball ref'!G73)-FIND("/",'Bball ref'!G73)-1))</f>
        <v>10.8</v>
      </c>
      <c r="O62" s="64">
        <f>VALUE(MID('Bball ref'!H73,FIND("(",'Bball ref'!H73)+1,FIND("/",'Bball ref'!H73)-FIND("(",'Bball ref'!H73)-1))</f>
        <v>0.8</v>
      </c>
      <c r="P62" s="64">
        <f>VALUE(MID('Bball ref'!H73,FIND("/",'Bball ref'!H73)+1,FIND(")",'Bball ref'!H73)-FIND("/",'Bball ref'!H73)-1))</f>
        <v>1.4</v>
      </c>
      <c r="Q62" s="64">
        <f>(D62-Math!B$14)/Math!B$15</f>
        <v>-0.69041261950814947</v>
      </c>
      <c r="R62" s="64">
        <f>(E62-Math!C$14)/Math!C$15</f>
        <v>-2.5470643210555668</v>
      </c>
      <c r="S62" s="64">
        <f>(F62-Math!D$14)/Math!D$15</f>
        <v>0.26324818727234567</v>
      </c>
      <c r="T62" s="64">
        <f>(G62-Math!E$14)/Math!E$15</f>
        <v>-5.8677863898009143E-2</v>
      </c>
      <c r="U62" s="64">
        <f>(H62-Math!F$14)/Math!F$15</f>
        <v>2.6161947855447196</v>
      </c>
      <c r="V62" s="64">
        <f>(I62-Math!G$14)/Math!G$15</f>
        <v>1.9260027275030867</v>
      </c>
      <c r="W62" s="64">
        <f>(J62-Math!H$14)/Math!H$15</f>
        <v>-0.53563136395848565</v>
      </c>
      <c r="X62" s="64">
        <f>(-1)*(K62-Math!I$14)/Math!I$15</f>
        <v>-0.73583181978489676</v>
      </c>
      <c r="Y62" s="64">
        <f>(L62-Math!J$14)/Math!J$15</f>
        <v>-0.63217718314015814</v>
      </c>
    </row>
    <row r="63" spans="1:25">
      <c r="A63" s="64" t="str">
        <f>IF((LEN('Bball ref'!B74)-LEN(SUBSTITUTE('Bball ref'!B74," ","")))&lt;2,'Bball ref'!B74,LEFT('Bball ref'!B74,FIND(" ",'Bball ref'!B74,FIND(" ",'Bball ref'!B74)+1)-1))</f>
        <v>CJ McCollum</v>
      </c>
      <c r="B63" s="64">
        <f>'Bball ref'!A74</f>
        <v>62</v>
      </c>
      <c r="C63" s="64">
        <f>'Bball ref'!E74</f>
        <v>76</v>
      </c>
      <c r="D63" s="64">
        <f>VALUE(LEFT('Bball ref'!G74,FIND("(",'Bball ref'!G74)-1))</f>
        <v>0.47</v>
      </c>
      <c r="E63" s="64">
        <f>VALUE(LEFT('Bball ref'!H74,(FIND("(",'Bball ref'!H74)-1)))</f>
        <v>0.86</v>
      </c>
      <c r="F63" s="64">
        <f>'Bball ref'!I74</f>
        <v>2.5</v>
      </c>
      <c r="G63" s="64">
        <f>'Bball ref'!K74</f>
        <v>4.3</v>
      </c>
      <c r="H63" s="64">
        <f>'Bball ref'!L74</f>
        <v>3.2</v>
      </c>
      <c r="I63" s="64">
        <f>'Bball ref'!M74</f>
        <v>0.8</v>
      </c>
      <c r="J63" s="64">
        <f>'Bball ref'!N74</f>
        <v>0.4</v>
      </c>
      <c r="K63" s="64">
        <f>'Bball ref'!O74</f>
        <v>1.5</v>
      </c>
      <c r="L63" s="64">
        <f>'Bball ref'!J74</f>
        <v>22.3</v>
      </c>
      <c r="M63" s="64">
        <f>VALUE(MID('Bball ref'!G74,FIND("(",'Bball ref'!G74)+1,FIND("/",'Bball ref'!G74)-FIND("(",'Bball ref'!G74)-1))</f>
        <v>8.6999999999999993</v>
      </c>
      <c r="N63" s="64">
        <f>VALUE(MID('Bball ref'!G74,FIND("/",'Bball ref'!G74)+1,FIND(")",'Bball ref'!G74)-FIND("/",'Bball ref'!G74)-1))</f>
        <v>18.7</v>
      </c>
      <c r="O63" s="64">
        <f>VALUE(MID('Bball ref'!H74,FIND("(",'Bball ref'!H74)+1,FIND("/",'Bball ref'!H74)-FIND("(",'Bball ref'!H74)-1))</f>
        <v>2.4</v>
      </c>
      <c r="P63" s="64">
        <f>VALUE(MID('Bball ref'!H74,FIND("/",'Bball ref'!H74)+1,FIND(")",'Bball ref'!H74)-FIND("/",'Bball ref'!H74)-1))</f>
        <v>2.8</v>
      </c>
      <c r="Q63" s="64">
        <f>(D63-Math!B$14)/Math!B$15</f>
        <v>-0.13586433074658327</v>
      </c>
      <c r="R63" s="64">
        <f>(E63-Math!C$14)/Math!C$15</f>
        <v>0.96696352435886834</v>
      </c>
      <c r="S63" s="64">
        <f>(F63-Math!D$14)/Math!D$15</f>
        <v>1.126356998001347</v>
      </c>
      <c r="T63" s="64">
        <f>(G63-Math!E$14)/Math!E$15</f>
        <v>-0.59038666297381537</v>
      </c>
      <c r="U63" s="64">
        <f>(H63-Math!F$14)/Math!F$15</f>
        <v>-4.2386819936445337E-2</v>
      </c>
      <c r="V63" s="64">
        <f>(I63-Math!G$14)/Math!G$15</f>
        <v>-0.44852118311715766</v>
      </c>
      <c r="W63" s="64">
        <f>(J63-Math!H$14)/Math!H$15</f>
        <v>-0.53563136395848565</v>
      </c>
      <c r="X63" s="64">
        <f>(-1)*(K63-Math!I$14)/Math!I$15</f>
        <v>0.3373959939396553</v>
      </c>
      <c r="Y63" s="64">
        <f>(L63-Math!J$14)/Math!J$15</f>
        <v>1.4129250268280034</v>
      </c>
    </row>
    <row r="64" spans="1:25">
      <c r="A64" s="64" t="str">
        <f>IF((LEN('Bball ref'!B75)-LEN(SUBSTITUTE('Bball ref'!B75," ","")))&lt;2,'Bball ref'!B75,LEFT('Bball ref'!B75,FIND(" ",'Bball ref'!B75,FIND(" ",'Bball ref'!B75)+1)-1))</f>
        <v>Blake Griffin</v>
      </c>
      <c r="B64" s="64">
        <f>'Bball ref'!A75</f>
        <v>63</v>
      </c>
      <c r="C64" s="64">
        <f>'Bball ref'!E75</f>
        <v>70</v>
      </c>
      <c r="D64" s="64">
        <f>VALUE(LEFT('Bball ref'!G75,FIND("(",'Bball ref'!G75)-1))</f>
        <v>0.45</v>
      </c>
      <c r="E64" s="64">
        <f>VALUE(LEFT('Bball ref'!H75,(FIND("(",'Bball ref'!H75)-1)))</f>
        <v>0.76</v>
      </c>
      <c r="F64" s="64">
        <f>'Bball ref'!I75</f>
        <v>2.4</v>
      </c>
      <c r="G64" s="64">
        <f>'Bball ref'!K75</f>
        <v>7.7</v>
      </c>
      <c r="H64" s="64">
        <f>'Bball ref'!L75</f>
        <v>5.5</v>
      </c>
      <c r="I64" s="64">
        <f>'Bball ref'!M75</f>
        <v>0.7</v>
      </c>
      <c r="J64" s="64">
        <f>'Bball ref'!N75</f>
        <v>0.4</v>
      </c>
      <c r="K64" s="64">
        <f>'Bball ref'!O75</f>
        <v>3.3</v>
      </c>
      <c r="L64" s="64">
        <f>'Bball ref'!J75</f>
        <v>24.4</v>
      </c>
      <c r="M64" s="64">
        <f>VALUE(MID('Bball ref'!G75,FIND("(",'Bball ref'!G75)+1,FIND("/",'Bball ref'!G75)-FIND("(",'Bball ref'!G75)-1))</f>
        <v>8.1999999999999993</v>
      </c>
      <c r="N64" s="64">
        <f>VALUE(MID('Bball ref'!G75,FIND("/",'Bball ref'!G75)+1,FIND(")",'Bball ref'!G75)-FIND("/",'Bball ref'!G75)-1))</f>
        <v>18.2</v>
      </c>
      <c r="O64" s="64">
        <f>VALUE(MID('Bball ref'!H75,FIND("(",'Bball ref'!H75)+1,FIND("/",'Bball ref'!H75)-FIND("(",'Bball ref'!H75)-1))</f>
        <v>5.6</v>
      </c>
      <c r="P64" s="64">
        <f>VALUE(MID('Bball ref'!H75,FIND("/",'Bball ref'!H75)+1,FIND(")",'Bball ref'!H75)-FIND("/",'Bball ref'!H75)-1))</f>
        <v>7.4</v>
      </c>
      <c r="Q64" s="64">
        <f>(D64-Math!B$14)/Math!B$15</f>
        <v>-0.50556318992096039</v>
      </c>
      <c r="R64" s="64">
        <f>(E64-Math!C$14)/Math!C$15</f>
        <v>-0.24477021543921229</v>
      </c>
      <c r="S64" s="64">
        <f>(F64-Math!D$14)/Math!D$15</f>
        <v>1.0184683966602219</v>
      </c>
      <c r="T64" s="64">
        <f>(G64-Math!E$14)/Math!E$15</f>
        <v>0.70090613478171393</v>
      </c>
      <c r="U64" s="64">
        <f>(H64-Math!F$14)/Math!F$15</f>
        <v>1.1113372730082112</v>
      </c>
      <c r="V64" s="64">
        <f>(I64-Math!G$14)/Math!G$15</f>
        <v>-0.71235717318607394</v>
      </c>
      <c r="W64" s="64">
        <f>(J64-Math!H$14)/Math!H$15</f>
        <v>-0.53563136395848565</v>
      </c>
      <c r="X64" s="64">
        <f>(-1)*(K64-Math!I$14)/Math!I$15</f>
        <v>-2.0773665869405873</v>
      </c>
      <c r="Y64" s="64">
        <f>(L64-Math!J$14)/Math!J$15</f>
        <v>1.833975481821448</v>
      </c>
    </row>
    <row r="65" spans="1:25">
      <c r="A65" s="64" t="str">
        <f>IF((LEN('Bball ref'!B76)-LEN(SUBSTITUTE('Bball ref'!B76," ","")))&lt;2,'Bball ref'!B76,LEFT('Bball ref'!B76,FIND(" ",'Bball ref'!B76,FIND(" ",'Bball ref'!B76)+1)-1))</f>
        <v>Hassan Whiteside</v>
      </c>
      <c r="B65" s="64">
        <f>'Bball ref'!A76</f>
        <v>64</v>
      </c>
      <c r="C65" s="64">
        <f>'Bball ref'!E76</f>
        <v>69</v>
      </c>
      <c r="D65" s="64">
        <f>VALUE(LEFT('Bball ref'!G76,FIND("(",'Bball ref'!G76)-1))</f>
        <v>0.54</v>
      </c>
      <c r="E65" s="64">
        <f>VALUE(LEFT('Bball ref'!H76,(FIND("(",'Bball ref'!H76)-1)))</f>
        <v>0.61</v>
      </c>
      <c r="F65" s="64">
        <f>'Bball ref'!I76</f>
        <v>0</v>
      </c>
      <c r="G65" s="64">
        <f>'Bball ref'!K76</f>
        <v>11.6</v>
      </c>
      <c r="H65" s="64">
        <f>'Bball ref'!L76</f>
        <v>1</v>
      </c>
      <c r="I65" s="64">
        <f>'Bball ref'!M76</f>
        <v>0.7</v>
      </c>
      <c r="J65" s="64">
        <f>'Bball ref'!N76</f>
        <v>2.2999999999999998</v>
      </c>
      <c r="K65" s="64">
        <f>'Bball ref'!O76</f>
        <v>1.6</v>
      </c>
      <c r="L65" s="64">
        <f>'Bball ref'!J76</f>
        <v>14</v>
      </c>
      <c r="M65" s="64">
        <f>VALUE(MID('Bball ref'!G76,FIND("(",'Bball ref'!G76)+1,FIND("/",'Bball ref'!G76)-FIND("(",'Bball ref'!G76)-1))</f>
        <v>6</v>
      </c>
      <c r="N65" s="64">
        <f>VALUE(MID('Bball ref'!G76,FIND("/",'Bball ref'!G76)+1,FIND(")",'Bball ref'!G76)-FIND("/",'Bball ref'!G76)-1))</f>
        <v>11.1</v>
      </c>
      <c r="O65" s="64">
        <f>VALUE(MID('Bball ref'!H76,FIND("(",'Bball ref'!H76)+1,FIND("/",'Bball ref'!H76)-FIND("(",'Bball ref'!H76)-1))</f>
        <v>1.9</v>
      </c>
      <c r="P65" s="64">
        <f>VALUE(MID('Bball ref'!H76,FIND("/",'Bball ref'!H76)+1,FIND(")",'Bball ref'!H76)-FIND("/",'Bball ref'!H76)-1))</f>
        <v>3.1</v>
      </c>
      <c r="Q65" s="64">
        <f>(D65-Math!B$14)/Math!B$15</f>
        <v>1.1580816763637403</v>
      </c>
      <c r="R65" s="64">
        <f>(E65-Math!C$14)/Math!C$15</f>
        <v>-2.062370825136334</v>
      </c>
      <c r="S65" s="64">
        <f>(F65-Math!D$14)/Math!D$15</f>
        <v>-1.5708580355267823</v>
      </c>
      <c r="T65" s="64">
        <f>(G65-Math!E$14)/Math!E$15</f>
        <v>2.1820949322071739</v>
      </c>
      <c r="U65" s="64">
        <f>(H65-Math!F$14)/Math!F$15</f>
        <v>-1.1459489957965516</v>
      </c>
      <c r="V65" s="64">
        <f>(I65-Math!G$14)/Math!G$15</f>
        <v>-0.71235717318607394</v>
      </c>
      <c r="W65" s="64">
        <f>(J65-Math!H$14)/Math!H$15</f>
        <v>2.9616180914405672</v>
      </c>
      <c r="X65" s="64">
        <f>(-1)*(K65-Math!I$14)/Math!I$15</f>
        <v>0.20324251722408615</v>
      </c>
      <c r="Y65" s="64">
        <f>(L65-Math!J$14)/Math!J$15</f>
        <v>-0.25122677147942218</v>
      </c>
    </row>
    <row r="66" spans="1:25">
      <c r="A66" s="64" t="str">
        <f>IF((LEN('Bball ref'!B77)-LEN(SUBSTITUTE('Bball ref'!B77," ","")))&lt;2,'Bball ref'!B77,LEFT('Bball ref'!B77,FIND(" ",'Bball ref'!B77,FIND(" ",'Bball ref'!B77)+1)-1))</f>
        <v>Jayson Tatum</v>
      </c>
      <c r="B66" s="64">
        <f>'Bball ref'!A77</f>
        <v>65</v>
      </c>
      <c r="C66" s="64">
        <f>'Bball ref'!E77</f>
        <v>78</v>
      </c>
      <c r="D66" s="64">
        <f>VALUE(LEFT('Bball ref'!G77,FIND("(",'Bball ref'!G77)-1))</f>
        <v>0.46</v>
      </c>
      <c r="E66" s="64">
        <f>VALUE(LEFT('Bball ref'!H77,(FIND("(",'Bball ref'!H77)-1)))</f>
        <v>0.84</v>
      </c>
      <c r="F66" s="64">
        <f>'Bball ref'!I77</f>
        <v>1.6</v>
      </c>
      <c r="G66" s="64">
        <f>'Bball ref'!K77</f>
        <v>6.5</v>
      </c>
      <c r="H66" s="64">
        <f>'Bball ref'!L77</f>
        <v>2.2999999999999998</v>
      </c>
      <c r="I66" s="64">
        <f>'Bball ref'!M77</f>
        <v>1.1000000000000001</v>
      </c>
      <c r="J66" s="64">
        <f>'Bball ref'!N77</f>
        <v>0.8</v>
      </c>
      <c r="K66" s="64">
        <f>'Bball ref'!O77</f>
        <v>1.5</v>
      </c>
      <c r="L66" s="64">
        <f>'Bball ref'!J77</f>
        <v>17</v>
      </c>
      <c r="M66" s="64">
        <f>VALUE(MID('Bball ref'!G77,FIND("(",'Bball ref'!G77)+1,FIND("/",'Bball ref'!G77)-FIND("(",'Bball ref'!G77)-1))</f>
        <v>6.4</v>
      </c>
      <c r="N66" s="64">
        <f>VALUE(MID('Bball ref'!G77,FIND("/",'Bball ref'!G77)+1,FIND(")",'Bball ref'!G77)-FIND("/",'Bball ref'!G77)-1))</f>
        <v>13.8</v>
      </c>
      <c r="O66" s="64">
        <f>VALUE(MID('Bball ref'!H77,FIND("(",'Bball ref'!H77)+1,FIND("/",'Bball ref'!H77)-FIND("(",'Bball ref'!H77)-1))</f>
        <v>2.6</v>
      </c>
      <c r="P66" s="64">
        <f>VALUE(MID('Bball ref'!H77,FIND("/",'Bball ref'!H77)+1,FIND(")",'Bball ref'!H77)-FIND("/",'Bball ref'!H77)-1))</f>
        <v>3.1</v>
      </c>
      <c r="Q66" s="64">
        <f>(D66-Math!B$14)/Math!B$15</f>
        <v>-0.3207137603337713</v>
      </c>
      <c r="R66" s="64">
        <f>(E66-Math!C$14)/Math!C$15</f>
        <v>0.72461677639925193</v>
      </c>
      <c r="S66" s="64">
        <f>(F66-Math!D$14)/Math!D$15</f>
        <v>0.15535958593122062</v>
      </c>
      <c r="T66" s="64">
        <f>(G66-Math!E$14)/Math!E$15</f>
        <v>0.24515573557388001</v>
      </c>
      <c r="U66" s="64">
        <f>(H66-Math!F$14)/Math!F$15</f>
        <v>-0.49384407369739808</v>
      </c>
      <c r="V66" s="64">
        <f>(I66-Math!G$14)/Math!G$15</f>
        <v>0.34298678708959057</v>
      </c>
      <c r="W66" s="64">
        <f>(J66-Math!H$14)/Math!H$15</f>
        <v>0.20063167928342035</v>
      </c>
      <c r="X66" s="64">
        <f>(-1)*(K66-Math!I$14)/Math!I$15</f>
        <v>0.3373959939396553</v>
      </c>
      <c r="Y66" s="64">
        <f>(L66-Math!J$14)/Math!J$15</f>
        <v>0.3502738785112135</v>
      </c>
    </row>
    <row r="67" spans="1:25">
      <c r="A67" s="64" t="str">
        <f>IF((LEN('Bball ref'!B78)-LEN(SUBSTITUTE('Bball ref'!B78," ","")))&lt;2,'Bball ref'!B78,LEFT('Bball ref'!B78,FIND(" ",'Bball ref'!B78,FIND(" ",'Bball ref'!B78)+1)-1))</f>
        <v>Terry Rozier</v>
      </c>
      <c r="B67" s="64">
        <f>'Bball ref'!A78</f>
        <v>66</v>
      </c>
      <c r="C67" s="64">
        <f>'Bball ref'!E78</f>
        <v>78</v>
      </c>
      <c r="D67" s="64">
        <f>VALUE(LEFT('Bball ref'!G78,FIND("(",'Bball ref'!G78)-1))</f>
        <v>0.42</v>
      </c>
      <c r="E67" s="64">
        <f>VALUE(LEFT('Bball ref'!H78,(FIND("(",'Bball ref'!H78)-1)))</f>
        <v>0.74</v>
      </c>
      <c r="F67" s="64">
        <f>'Bball ref'!I78</f>
        <v>2.4</v>
      </c>
      <c r="G67" s="64">
        <f>'Bball ref'!K78</f>
        <v>6.1</v>
      </c>
      <c r="H67" s="64">
        <f>'Bball ref'!L78</f>
        <v>5.4</v>
      </c>
      <c r="I67" s="64">
        <f>'Bball ref'!M78</f>
        <v>1.3</v>
      </c>
      <c r="J67" s="64">
        <f>'Bball ref'!N78</f>
        <v>0.5</v>
      </c>
      <c r="K67" s="64">
        <f>'Bball ref'!O78</f>
        <v>1.9</v>
      </c>
      <c r="L67" s="64">
        <f>'Bball ref'!J78</f>
        <v>17.899999999999999</v>
      </c>
      <c r="M67" s="64">
        <f>VALUE(MID('Bball ref'!G78,FIND("(",'Bball ref'!G78)+1,FIND("/",'Bball ref'!G78)-FIND("(",'Bball ref'!G78)-1))</f>
        <v>7</v>
      </c>
      <c r="N67" s="64">
        <f>VALUE(MID('Bball ref'!G78,FIND("/",'Bball ref'!G78)+1,FIND(")",'Bball ref'!G78)-FIND("/",'Bball ref'!G78)-1))</f>
        <v>16.7</v>
      </c>
      <c r="O67" s="64">
        <f>VALUE(MID('Bball ref'!H78,FIND("(",'Bball ref'!H78)+1,FIND("/",'Bball ref'!H78)-FIND("(",'Bball ref'!H78)-1))</f>
        <v>1.4</v>
      </c>
      <c r="P67" s="64">
        <f>VALUE(MID('Bball ref'!H78,FIND("/",'Bball ref'!H78)+1,FIND(")",'Bball ref'!H78)-FIND("/",'Bball ref'!H78)-1))</f>
        <v>1.9</v>
      </c>
      <c r="Q67" s="64">
        <f>(D67-Math!B$14)/Math!B$15</f>
        <v>-1.0601114786825276</v>
      </c>
      <c r="R67" s="64">
        <f>(E67-Math!C$14)/Math!C$15</f>
        <v>-0.48711696339882865</v>
      </c>
      <c r="S67" s="64">
        <f>(F67-Math!D$14)/Math!D$15</f>
        <v>1.0184683966602219</v>
      </c>
      <c r="T67" s="64">
        <f>(G67-Math!E$14)/Math!E$15</f>
        <v>9.3238935837935272E-2</v>
      </c>
      <c r="U67" s="64">
        <f>(H67-Math!F$14)/Math!F$15</f>
        <v>1.061175355923661</v>
      </c>
      <c r="V67" s="64">
        <f>(I67-Math!G$14)/Math!G$15</f>
        <v>0.87065876722742253</v>
      </c>
      <c r="W67" s="64">
        <f>(J67-Math!H$14)/Math!H$15</f>
        <v>-0.35156560314800916</v>
      </c>
      <c r="X67" s="64">
        <f>(-1)*(K67-Math!I$14)/Math!I$15</f>
        <v>-0.19921791292262073</v>
      </c>
      <c r="Y67" s="64">
        <f>(L67-Math!J$14)/Math!J$15</f>
        <v>0.53072407350840389</v>
      </c>
    </row>
    <row r="68" spans="1:25">
      <c r="A68" s="64" t="str">
        <f>IF((LEN('Bball ref'!B79)-LEN(SUBSTITUTE('Bball ref'!B79," ","")))&lt;2,'Bball ref'!B79,LEFT('Bball ref'!B79,FIND(" ",'Bball ref'!B79,FIND(" ",'Bball ref'!B79)+1)-1))</f>
        <v>Shai Gilgeous-Alexander</v>
      </c>
      <c r="B68" s="64">
        <f>'Bball ref'!A79</f>
        <v>67</v>
      </c>
      <c r="C68" s="64">
        <f>'Bball ref'!E79</f>
        <v>78</v>
      </c>
      <c r="D68" s="64">
        <f>VALUE(LEFT('Bball ref'!G79,FIND("(",'Bball ref'!G79)-1))</f>
        <v>0.48</v>
      </c>
      <c r="E68" s="64">
        <f>VALUE(LEFT('Bball ref'!H79,(FIND("(",'Bball ref'!H79)-1)))</f>
        <v>0.81</v>
      </c>
      <c r="F68" s="64">
        <f>'Bball ref'!I79</f>
        <v>1.1000000000000001</v>
      </c>
      <c r="G68" s="64">
        <f>'Bball ref'!K79</f>
        <v>3.6</v>
      </c>
      <c r="H68" s="64">
        <f>'Bball ref'!L79</f>
        <v>4.7</v>
      </c>
      <c r="I68" s="64">
        <f>'Bball ref'!M79</f>
        <v>1.5</v>
      </c>
      <c r="J68" s="64">
        <f>'Bball ref'!N79</f>
        <v>0.6</v>
      </c>
      <c r="K68" s="64">
        <f>'Bball ref'!O79</f>
        <v>2.1</v>
      </c>
      <c r="L68" s="64">
        <f>'Bball ref'!J79</f>
        <v>15.8</v>
      </c>
      <c r="M68" s="64">
        <f>VALUE(MID('Bball ref'!G79,FIND("(",'Bball ref'!G79)+1,FIND("/",'Bball ref'!G79)-FIND("(",'Bball ref'!G79)-1))</f>
        <v>6.1</v>
      </c>
      <c r="N68" s="64">
        <f>VALUE(MID('Bball ref'!G79,FIND("/",'Bball ref'!G79)+1,FIND(")",'Bball ref'!G79)-FIND("/",'Bball ref'!G79)-1))</f>
        <v>12.8</v>
      </c>
      <c r="O68" s="64">
        <f>VALUE(MID('Bball ref'!H79,FIND("(",'Bball ref'!H79)+1,FIND("/",'Bball ref'!H79)-FIND("(",'Bball ref'!H79)-1))</f>
        <v>2.5</v>
      </c>
      <c r="P68" s="64">
        <f>VALUE(MID('Bball ref'!H79,FIND("/",'Bball ref'!H79)+1,FIND(")",'Bball ref'!H79)-FIND("/",'Bball ref'!H79)-1))</f>
        <v>3.1</v>
      </c>
      <c r="Q68" s="64">
        <f>(D68-Math!B$14)/Math!B$15</f>
        <v>4.8985098840605826E-2</v>
      </c>
      <c r="R68" s="64">
        <f>(E68-Math!C$14)/Math!C$15</f>
        <v>0.36109665445982869</v>
      </c>
      <c r="S68" s="64">
        <f>(F68-Math!D$14)/Math!D$15</f>
        <v>-0.38408342077440522</v>
      </c>
      <c r="T68" s="64">
        <f>(G68-Math!E$14)/Math!E$15</f>
        <v>-0.85624106251171839</v>
      </c>
      <c r="U68" s="64">
        <f>(H68-Math!F$14)/Math!F$15</f>
        <v>0.7100419363318089</v>
      </c>
      <c r="V68" s="64">
        <f>(I68-Math!G$14)/Math!G$15</f>
        <v>1.3983307473652546</v>
      </c>
      <c r="W68" s="64">
        <f>(J68-Math!H$14)/Math!H$15</f>
        <v>-0.16749984233753273</v>
      </c>
      <c r="X68" s="64">
        <f>(-1)*(K68-Math!I$14)/Math!I$15</f>
        <v>-0.46752486635375906</v>
      </c>
      <c r="Y68" s="64">
        <f>(L68-Math!J$14)/Math!J$15</f>
        <v>0.10967361851495935</v>
      </c>
    </row>
    <row r="69" spans="1:25">
      <c r="A69" s="64" t="str">
        <f>IF((LEN('Bball ref'!B80)-LEN(SUBSTITUTE('Bball ref'!B80," ","")))&lt;2,'Bball ref'!B80,LEFT('Bball ref'!B80,FIND(" ",'Bball ref'!B80,FIND(" ",'Bball ref'!B80)+1)-1))</f>
        <v>Marvin Bagley</v>
      </c>
      <c r="B69" s="64">
        <f>'Bball ref'!A80</f>
        <v>68</v>
      </c>
      <c r="C69" s="64">
        <f>'Bball ref'!E80</f>
        <v>73</v>
      </c>
      <c r="D69" s="64">
        <f>VALUE(LEFT('Bball ref'!G80,FIND("(",'Bball ref'!G80)-1))</f>
        <v>0.51</v>
      </c>
      <c r="E69" s="64">
        <f>VALUE(LEFT('Bball ref'!H80,(FIND("(",'Bball ref'!H80)-1)))</f>
        <v>0.73</v>
      </c>
      <c r="F69" s="64">
        <f>'Bball ref'!I80</f>
        <v>0.6</v>
      </c>
      <c r="G69" s="64">
        <f>'Bball ref'!K80</f>
        <v>10.3</v>
      </c>
      <c r="H69" s="64">
        <f>'Bball ref'!L80</f>
        <v>1.5</v>
      </c>
      <c r="I69" s="64">
        <f>'Bball ref'!M80</f>
        <v>0.6</v>
      </c>
      <c r="J69" s="64">
        <f>'Bball ref'!N80</f>
        <v>1.3</v>
      </c>
      <c r="K69" s="64">
        <f>'Bball ref'!O80</f>
        <v>2</v>
      </c>
      <c r="L69" s="64">
        <f>'Bball ref'!J80</f>
        <v>20.2</v>
      </c>
      <c r="M69" s="64">
        <f>VALUE(MID('Bball ref'!G80,FIND("(",'Bball ref'!G80)+1,FIND("/",'Bball ref'!G80)-FIND("(",'Bball ref'!G80)-1))</f>
        <v>7.8</v>
      </c>
      <c r="N69" s="64">
        <f>VALUE(MID('Bball ref'!G80,FIND("/",'Bball ref'!G80)+1,FIND(")",'Bball ref'!G80)-FIND("/",'Bball ref'!G80)-1))</f>
        <v>15.3</v>
      </c>
      <c r="O69" s="64">
        <f>VALUE(MID('Bball ref'!H80,FIND("(",'Bball ref'!H80)+1,FIND("/",'Bball ref'!H80)-FIND("(",'Bball ref'!H80)-1))</f>
        <v>4</v>
      </c>
      <c r="P69" s="64">
        <f>VALUE(MID('Bball ref'!H80,FIND("/",'Bball ref'!H80)+1,FIND(")",'Bball ref'!H80)-FIND("/",'Bball ref'!H80)-1))</f>
        <v>5.5</v>
      </c>
      <c r="Q69" s="64">
        <f>(D69-Math!B$14)/Math!B$15</f>
        <v>0.60353338760217312</v>
      </c>
      <c r="R69" s="64">
        <f>(E69-Math!C$14)/Math!C$15</f>
        <v>-0.6082903373786368</v>
      </c>
      <c r="S69" s="64">
        <f>(F69-Math!D$14)/Math!D$15</f>
        <v>-0.92352642748003122</v>
      </c>
      <c r="T69" s="64">
        <f>(G69-Math!E$14)/Math!E$15</f>
        <v>1.6883653330653541</v>
      </c>
      <c r="U69" s="64">
        <f>(H69-Math!F$14)/Math!F$15</f>
        <v>-0.89513941037380029</v>
      </c>
      <c r="V69" s="64">
        <f>(I69-Math!G$14)/Math!G$15</f>
        <v>-0.97619316325498995</v>
      </c>
      <c r="W69" s="64">
        <f>(J69-Math!H$14)/Math!H$15</f>
        <v>1.1209604833358027</v>
      </c>
      <c r="X69" s="64">
        <f>(-1)*(K69-Math!I$14)/Math!I$15</f>
        <v>-0.33337138963818985</v>
      </c>
      <c r="Y69" s="64">
        <f>(L69-Math!J$14)/Math!J$15</f>
        <v>0.99187457183455807</v>
      </c>
    </row>
    <row r="70" spans="1:25">
      <c r="A70" s="64" t="str">
        <f>IF((LEN('Bball ref'!B81)-LEN(SUBSTITUTE('Bball ref'!B81," ","")))&lt;2,'Bball ref'!B81,LEFT('Bball ref'!B81,FIND(" ",'Bball ref'!B81,FIND(" ",'Bball ref'!B81)+1)-1))</f>
        <v>Larry Nance</v>
      </c>
      <c r="B70" s="64">
        <f>'Bball ref'!A81</f>
        <v>69</v>
      </c>
      <c r="C70" s="64">
        <f>'Bball ref'!E81</f>
        <v>68</v>
      </c>
      <c r="D70" s="64">
        <f>VALUE(LEFT('Bball ref'!G81,FIND("(",'Bball ref'!G81)-1))</f>
        <v>0.53</v>
      </c>
      <c r="E70" s="64">
        <f>VALUE(LEFT('Bball ref'!H81,(FIND("(",'Bball ref'!H81)-1)))</f>
        <v>0.68</v>
      </c>
      <c r="F70" s="64">
        <f>'Bball ref'!I81</f>
        <v>0.6</v>
      </c>
      <c r="G70" s="64">
        <f>'Bball ref'!K81</f>
        <v>9</v>
      </c>
      <c r="H70" s="64">
        <f>'Bball ref'!L81</f>
        <v>3.5</v>
      </c>
      <c r="I70" s="64">
        <f>'Bball ref'!M81</f>
        <v>1.6</v>
      </c>
      <c r="J70" s="64">
        <f>'Bball ref'!N81</f>
        <v>0.7</v>
      </c>
      <c r="K70" s="64">
        <f>'Bball ref'!O81</f>
        <v>1.5</v>
      </c>
      <c r="L70" s="64">
        <f>'Bball ref'!J81</f>
        <v>10.3</v>
      </c>
      <c r="M70" s="64">
        <f>VALUE(MID('Bball ref'!G81,FIND("(",'Bball ref'!G81)+1,FIND("/",'Bball ref'!G81)-FIND("(",'Bball ref'!G81)-1))</f>
        <v>4.0999999999999996</v>
      </c>
      <c r="N70" s="64">
        <f>VALUE(MID('Bball ref'!G81,FIND("/",'Bball ref'!G81)+1,FIND(")",'Bball ref'!G81)-FIND("/",'Bball ref'!G81)-1))</f>
        <v>7.8</v>
      </c>
      <c r="O70" s="64">
        <f>VALUE(MID('Bball ref'!H81,FIND("(",'Bball ref'!H81)+1,FIND("/",'Bball ref'!H81)-FIND("(",'Bball ref'!H81)-1))</f>
        <v>1.5</v>
      </c>
      <c r="P70" s="64">
        <f>VALUE(MID('Bball ref'!H81,FIND("/",'Bball ref'!H81)+1,FIND(")",'Bball ref'!H81)-FIND("/",'Bball ref'!H81)-1))</f>
        <v>2.2000000000000002</v>
      </c>
      <c r="Q70" s="64">
        <f>(D70-Math!B$14)/Math!B$15</f>
        <v>0.97323224677655129</v>
      </c>
      <c r="R70" s="64">
        <f>(E70-Math!C$14)/Math!C$15</f>
        <v>-1.2141572072776765</v>
      </c>
      <c r="S70" s="64">
        <f>(F70-Math!D$14)/Math!D$15</f>
        <v>-0.92352642748003122</v>
      </c>
      <c r="T70" s="64">
        <f>(G70-Math!E$14)/Math!E$15</f>
        <v>1.1946357339235338</v>
      </c>
      <c r="U70" s="64">
        <f>(H70-Math!F$14)/Math!F$15</f>
        <v>0.10809893131720544</v>
      </c>
      <c r="V70" s="64">
        <f>(I70-Math!G$14)/Math!G$15</f>
        <v>1.6621667374341709</v>
      </c>
      <c r="W70" s="64">
        <f>(J70-Math!H$14)/Math!H$15</f>
        <v>1.6565918472943714E-2</v>
      </c>
      <c r="X70" s="64">
        <f>(-1)*(K70-Math!I$14)/Math!I$15</f>
        <v>0.3373959939396553</v>
      </c>
      <c r="Y70" s="64">
        <f>(L70-Math!J$14)/Math!J$15</f>
        <v>-0.99307757313453937</v>
      </c>
    </row>
    <row r="71" spans="1:25">
      <c r="A71" s="64" t="str">
        <f>IF((LEN('Bball ref'!B82)-LEN(SUBSTITUTE('Bball ref'!B82," ","")))&lt;2,'Bball ref'!B82,LEFT('Bball ref'!B82,FIND(" ",'Bball ref'!B82,FIND(" ",'Bball ref'!B82)+1)-1))</f>
        <v>Jonathan Isaac</v>
      </c>
      <c r="B71" s="64">
        <f>'Bball ref'!A82</f>
        <v>70</v>
      </c>
      <c r="C71" s="64">
        <f>'Bball ref'!E82</f>
        <v>76</v>
      </c>
      <c r="D71" s="64">
        <f>VALUE(LEFT('Bball ref'!G82,FIND("(",'Bball ref'!G82)-1))</f>
        <v>0.44</v>
      </c>
      <c r="E71" s="64">
        <f>VALUE(LEFT('Bball ref'!H82,(FIND("(",'Bball ref'!H82)-1)))</f>
        <v>0.83</v>
      </c>
      <c r="F71" s="64">
        <f>'Bball ref'!I82</f>
        <v>1.4</v>
      </c>
      <c r="G71" s="64">
        <f>'Bball ref'!K82</f>
        <v>6.7</v>
      </c>
      <c r="H71" s="64">
        <f>'Bball ref'!L82</f>
        <v>1.4</v>
      </c>
      <c r="I71" s="64">
        <f>'Bball ref'!M82</f>
        <v>1.2</v>
      </c>
      <c r="J71" s="64">
        <f>'Bball ref'!N82</f>
        <v>1.5</v>
      </c>
      <c r="K71" s="64">
        <f>'Bball ref'!O82</f>
        <v>1.2</v>
      </c>
      <c r="L71" s="64">
        <f>'Bball ref'!J82</f>
        <v>12.5</v>
      </c>
      <c r="M71" s="64">
        <f>VALUE(MID('Bball ref'!G82,FIND("(",'Bball ref'!G82)+1,FIND("/",'Bball ref'!G82)-FIND("(",'Bball ref'!G82)-1))</f>
        <v>4.5999999999999996</v>
      </c>
      <c r="N71" s="64">
        <f>VALUE(MID('Bball ref'!G82,FIND("/",'Bball ref'!G82)+1,FIND(")",'Bball ref'!G82)-FIND("/",'Bball ref'!G82)-1))</f>
        <v>10.4</v>
      </c>
      <c r="O71" s="64">
        <f>VALUE(MID('Bball ref'!H82,FIND("(",'Bball ref'!H82)+1,FIND("/",'Bball ref'!H82)-FIND("(",'Bball ref'!H82)-1))</f>
        <v>1.9</v>
      </c>
      <c r="P71" s="64">
        <f>VALUE(MID('Bball ref'!H82,FIND("/",'Bball ref'!H82)+1,FIND(")",'Bball ref'!H82)-FIND("/",'Bball ref'!H82)-1))</f>
        <v>2.2999999999999998</v>
      </c>
      <c r="Q71" s="64">
        <f>(D71-Math!B$14)/Math!B$15</f>
        <v>-0.69041261950814947</v>
      </c>
      <c r="R71" s="64">
        <f>(E71-Math!C$14)/Math!C$15</f>
        <v>0.60344340241944372</v>
      </c>
      <c r="S71" s="64">
        <f>(F71-Math!D$14)/Math!D$15</f>
        <v>-6.0417616751029912E-2</v>
      </c>
      <c r="T71" s="64">
        <f>(G71-Math!E$14)/Math!E$15</f>
        <v>0.32111413544185241</v>
      </c>
      <c r="U71" s="64">
        <f>(H71-Math!F$14)/Math!F$15</f>
        <v>-0.9453013274583506</v>
      </c>
      <c r="V71" s="64">
        <f>(I71-Math!G$14)/Math!G$15</f>
        <v>0.6068227771585063</v>
      </c>
      <c r="W71" s="64">
        <f>(J71-Math!H$14)/Math!H$15</f>
        <v>1.4890920049567555</v>
      </c>
      <c r="X71" s="64">
        <f>(-1)*(K71-Math!I$14)/Math!I$15</f>
        <v>0.73985642408636254</v>
      </c>
      <c r="Y71" s="64">
        <f>(L71-Math!J$14)/Math!J$15</f>
        <v>-0.55197709647474003</v>
      </c>
    </row>
    <row r="72" spans="1:25">
      <c r="A72" s="64" t="str">
        <f>IF((LEN('Bball ref'!B83)-LEN(SUBSTITUTE('Bball ref'!B83," ","")))&lt;2,'Bball ref'!B83,LEFT('Bball ref'!B83,FIND(" ",'Bball ref'!B83,FIND(" ",'Bball ref'!B83)+1)-1))</f>
        <v>Ricky Rubio</v>
      </c>
      <c r="B72" s="64">
        <f>'Bball ref'!A83</f>
        <v>71</v>
      </c>
      <c r="C72" s="64">
        <f>'Bball ref'!E83</f>
        <v>70</v>
      </c>
      <c r="D72" s="64">
        <f>VALUE(LEFT('Bball ref'!G83,FIND("(",'Bball ref'!G83)-1))</f>
        <v>0.42</v>
      </c>
      <c r="E72" s="64">
        <f>VALUE(LEFT('Bball ref'!H83,(FIND("(",'Bball ref'!H83)-1)))</f>
        <v>0.86</v>
      </c>
      <c r="F72" s="64">
        <f>'Bball ref'!I83</f>
        <v>1.3</v>
      </c>
      <c r="G72" s="64">
        <f>'Bball ref'!K83</f>
        <v>3.8</v>
      </c>
      <c r="H72" s="64">
        <f>'Bball ref'!L83</f>
        <v>8.4</v>
      </c>
      <c r="I72" s="64">
        <f>'Bball ref'!M83</f>
        <v>1.4</v>
      </c>
      <c r="J72" s="64">
        <f>'Bball ref'!N83</f>
        <v>0.1</v>
      </c>
      <c r="K72" s="64">
        <f>'Bball ref'!O83</f>
        <v>2.6</v>
      </c>
      <c r="L72" s="64">
        <f>'Bball ref'!J83</f>
        <v>12.4</v>
      </c>
      <c r="M72" s="64">
        <f>VALUE(MID('Bball ref'!G83,FIND("(",'Bball ref'!G83)+1,FIND("/",'Bball ref'!G83)-FIND("(",'Bball ref'!G83)-1))</f>
        <v>4.0999999999999996</v>
      </c>
      <c r="N72" s="64">
        <f>VALUE(MID('Bball ref'!G83,FIND("/",'Bball ref'!G83)+1,FIND(")",'Bball ref'!G83)-FIND("/",'Bball ref'!G83)-1))</f>
        <v>9.6999999999999993</v>
      </c>
      <c r="O72" s="64">
        <f>VALUE(MID('Bball ref'!H83,FIND("(",'Bball ref'!H83)+1,FIND("/",'Bball ref'!H83)-FIND("(",'Bball ref'!H83)-1))</f>
        <v>3.1</v>
      </c>
      <c r="P72" s="64">
        <f>VALUE(MID('Bball ref'!H83,FIND("/",'Bball ref'!H83)+1,FIND(")",'Bball ref'!H83)-FIND("/",'Bball ref'!H83)-1))</f>
        <v>3.6</v>
      </c>
      <c r="Q72" s="64">
        <f>(D72-Math!B$14)/Math!B$15</f>
        <v>-1.0601114786825276</v>
      </c>
      <c r="R72" s="64">
        <f>(E72-Math!C$14)/Math!C$15</f>
        <v>0.96696352435886834</v>
      </c>
      <c r="S72" s="64">
        <f>(F72-Math!D$14)/Math!D$15</f>
        <v>-0.16830621809215493</v>
      </c>
      <c r="T72" s="64">
        <f>(G72-Math!E$14)/Math!E$15</f>
        <v>-0.78028266264374613</v>
      </c>
      <c r="U72" s="64">
        <f>(H72-Math!F$14)/Math!F$15</f>
        <v>2.5660328684601694</v>
      </c>
      <c r="V72" s="64">
        <f>(I72-Math!G$14)/Math!G$15</f>
        <v>1.1344947572963382</v>
      </c>
      <c r="W72" s="64">
        <f>(J72-Math!H$14)/Math!H$15</f>
        <v>-1.0878286463899152</v>
      </c>
      <c r="X72" s="64">
        <f>(-1)*(K72-Math!I$14)/Math!I$15</f>
        <v>-1.1382922499316042</v>
      </c>
      <c r="Y72" s="64">
        <f>(L72-Math!J$14)/Math!J$15</f>
        <v>-0.57202711814109453</v>
      </c>
    </row>
    <row r="73" spans="1:25">
      <c r="A73" s="64" t="str">
        <f>IF((LEN('Bball ref'!B84)-LEN(SUBSTITUTE('Bball ref'!B84," ","")))&lt;2,'Bball ref'!B84,LEFT('Bball ref'!B84,FIND(" ",'Bball ref'!B84,FIND(" ",'Bball ref'!B84)+1)-1))</f>
        <v>Ja Morant</v>
      </c>
      <c r="B73" s="64">
        <f>'Bball ref'!A84</f>
        <v>72</v>
      </c>
      <c r="C73" s="64">
        <f>'Bball ref'!E84</f>
        <v>74</v>
      </c>
      <c r="D73" s="64">
        <f>VALUE(LEFT('Bball ref'!G84,FIND("(",'Bball ref'!G84)-1))</f>
        <v>0.45</v>
      </c>
      <c r="E73" s="64">
        <f>VALUE(LEFT('Bball ref'!H84,(FIND("(",'Bball ref'!H84)-1)))</f>
        <v>0.79</v>
      </c>
      <c r="F73" s="64">
        <f>'Bball ref'!I84</f>
        <v>1.5</v>
      </c>
      <c r="G73" s="64">
        <f>'Bball ref'!K84</f>
        <v>4</v>
      </c>
      <c r="H73" s="64">
        <f>'Bball ref'!L84</f>
        <v>7.9</v>
      </c>
      <c r="I73" s="64">
        <f>'Bball ref'!M84</f>
        <v>1.2</v>
      </c>
      <c r="J73" s="64">
        <f>'Bball ref'!N84</f>
        <v>0.4</v>
      </c>
      <c r="K73" s="64">
        <f>'Bball ref'!O84</f>
        <v>3.1</v>
      </c>
      <c r="L73" s="64">
        <f>'Bball ref'!J84</f>
        <v>16.399999999999999</v>
      </c>
      <c r="M73" s="64">
        <f>VALUE(MID('Bball ref'!G84,FIND("(",'Bball ref'!G84)+1,FIND("/",'Bball ref'!G84)-FIND("(",'Bball ref'!G84)-1))</f>
        <v>5.8</v>
      </c>
      <c r="N73" s="64">
        <f>VALUE(MID('Bball ref'!G84,FIND("/",'Bball ref'!G84)+1,FIND(")",'Bball ref'!G84)-FIND("/",'Bball ref'!G84)-1))</f>
        <v>13</v>
      </c>
      <c r="O73" s="64">
        <f>VALUE(MID('Bball ref'!H84,FIND("(",'Bball ref'!H84)+1,FIND("/",'Bball ref'!H84)-FIND("(",'Bball ref'!H84)-1))</f>
        <v>3.3</v>
      </c>
      <c r="P73" s="64">
        <f>VALUE(MID('Bball ref'!H84,FIND("/",'Bball ref'!H84)+1,FIND(")",'Bball ref'!H84)-FIND("/",'Bball ref'!H84)-1))</f>
        <v>4.2</v>
      </c>
      <c r="Q73" s="64">
        <f>(D73-Math!B$14)/Math!B$15</f>
        <v>-0.50556318992096039</v>
      </c>
      <c r="R73" s="64">
        <f>(E73-Math!C$14)/Math!C$15</f>
        <v>0.11874990650021229</v>
      </c>
      <c r="S73" s="64">
        <f>(F73-Math!D$14)/Math!D$15</f>
        <v>4.7470984590095355E-2</v>
      </c>
      <c r="T73" s="64">
        <f>(G73-Math!E$14)/Math!E$15</f>
        <v>-0.70432426277577376</v>
      </c>
      <c r="U73" s="64">
        <f>(H73-Math!F$14)/Math!F$15</f>
        <v>2.315223283037418</v>
      </c>
      <c r="V73" s="64">
        <f>(I73-Math!G$14)/Math!G$15</f>
        <v>0.6068227771585063</v>
      </c>
      <c r="W73" s="64">
        <f>(J73-Math!H$14)/Math!H$15</f>
        <v>-0.53563136395848565</v>
      </c>
      <c r="X73" s="64">
        <f>(-1)*(K73-Math!I$14)/Math!I$15</f>
        <v>-1.8090596335094493</v>
      </c>
      <c r="Y73" s="64">
        <f>(L73-Math!J$14)/Math!J$15</f>
        <v>0.22997374851308608</v>
      </c>
    </row>
    <row r="74" spans="1:25">
      <c r="A74" s="64" t="str">
        <f>IF((LEN('Bball ref'!B86)-LEN(SUBSTITUTE('Bball ref'!B86," ","")))&lt;2,'Bball ref'!B86,LEFT('Bball ref'!B86,FIND(" ",'Bball ref'!B86,FIND(" ",'Bball ref'!B86)+1)-1))</f>
        <v>Jamal Murray</v>
      </c>
      <c r="B74" s="64">
        <f>'Bball ref'!A86</f>
        <v>73</v>
      </c>
      <c r="C74" s="64">
        <f>'Bball ref'!E86</f>
        <v>76</v>
      </c>
      <c r="D74" s="64">
        <f>VALUE(LEFT('Bball ref'!G86,FIND("(",'Bball ref'!G86)-1))</f>
        <v>0.44</v>
      </c>
      <c r="E74" s="64">
        <f>VALUE(LEFT('Bball ref'!H86,(FIND("(",'Bball ref'!H86)-1)))</f>
        <v>0.84</v>
      </c>
      <c r="F74" s="64">
        <f>'Bball ref'!I86</f>
        <v>2.1</v>
      </c>
      <c r="G74" s="64">
        <f>'Bball ref'!K86</f>
        <v>4.5999999999999996</v>
      </c>
      <c r="H74" s="64">
        <f>'Bball ref'!L86</f>
        <v>5.0999999999999996</v>
      </c>
      <c r="I74" s="64">
        <f>'Bball ref'!M86</f>
        <v>0.9</v>
      </c>
      <c r="J74" s="64">
        <f>'Bball ref'!N86</f>
        <v>0.4</v>
      </c>
      <c r="K74" s="64">
        <f>'Bball ref'!O86</f>
        <v>2.1</v>
      </c>
      <c r="L74" s="64">
        <f>'Bball ref'!J86</f>
        <v>19.3</v>
      </c>
      <c r="M74" s="64">
        <f>VALUE(MID('Bball ref'!G86,FIND("(",'Bball ref'!G86)+1,FIND("/",'Bball ref'!G86)-FIND("(",'Bball ref'!G86)-1))</f>
        <v>7.3</v>
      </c>
      <c r="N74" s="64">
        <f>VALUE(MID('Bball ref'!G86,FIND("/",'Bball ref'!G86)+1,FIND(")",'Bball ref'!G86)-FIND("/",'Bball ref'!G86)-1))</f>
        <v>16.600000000000001</v>
      </c>
      <c r="O74" s="64">
        <f>VALUE(MID('Bball ref'!H86,FIND("(",'Bball ref'!H86)+1,FIND("/",'Bball ref'!H86)-FIND("(",'Bball ref'!H86)-1))</f>
        <v>2.7</v>
      </c>
      <c r="P74" s="64">
        <f>VALUE(MID('Bball ref'!H86,FIND("/",'Bball ref'!H86)+1,FIND(")",'Bball ref'!H86)-FIND("/",'Bball ref'!H86)-1))</f>
        <v>3.2</v>
      </c>
      <c r="Q74" s="64">
        <f>(D74-Math!B$14)/Math!B$15</f>
        <v>-0.69041261950814947</v>
      </c>
      <c r="R74" s="64">
        <f>(E74-Math!C$14)/Math!C$15</f>
        <v>0.72461677639925193</v>
      </c>
      <c r="S74" s="64">
        <f>(F74-Math!D$14)/Math!D$15</f>
        <v>0.69480259263684652</v>
      </c>
      <c r="T74" s="64">
        <f>(G74-Math!E$14)/Math!E$15</f>
        <v>-0.47644906317185703</v>
      </c>
      <c r="U74" s="64">
        <f>(H74-Math!F$14)/Math!F$15</f>
        <v>0.91068960467000981</v>
      </c>
      <c r="V74" s="64">
        <f>(I74-Math!G$14)/Math!G$15</f>
        <v>-0.18468519304824169</v>
      </c>
      <c r="W74" s="64">
        <f>(J74-Math!H$14)/Math!H$15</f>
        <v>-0.53563136395848565</v>
      </c>
      <c r="X74" s="64">
        <f>(-1)*(K74-Math!I$14)/Math!I$15</f>
        <v>-0.46752486635375906</v>
      </c>
      <c r="Y74" s="64">
        <f>(L74-Math!J$14)/Math!J$15</f>
        <v>0.81142437683736768</v>
      </c>
    </row>
    <row r="75" spans="1:25">
      <c r="A75" s="64" t="str">
        <f>IF((LEN('Bball ref'!B87)-LEN(SUBSTITUTE('Bball ref'!B87," ","")))&lt;2,'Bball ref'!B87,LEFT('Bball ref'!B87,FIND(" ",'Bball ref'!B87,FIND(" ",'Bball ref'!B87)+1)-1))</f>
        <v>Julius Randle</v>
      </c>
      <c r="B75" s="64">
        <f>'Bball ref'!A87</f>
        <v>74</v>
      </c>
      <c r="C75" s="64">
        <f>'Bball ref'!E87</f>
        <v>76</v>
      </c>
      <c r="D75" s="64">
        <f>VALUE(LEFT('Bball ref'!G87,FIND("(",'Bball ref'!G87)-1))</f>
        <v>0.5</v>
      </c>
      <c r="E75" s="64">
        <f>VALUE(LEFT('Bball ref'!H87,(FIND("(",'Bball ref'!H87)-1)))</f>
        <v>0.73</v>
      </c>
      <c r="F75" s="64">
        <f>'Bball ref'!I87</f>
        <v>1</v>
      </c>
      <c r="G75" s="64">
        <f>'Bball ref'!K87</f>
        <v>9</v>
      </c>
      <c r="H75" s="64">
        <f>'Bball ref'!L87</f>
        <v>3.8</v>
      </c>
      <c r="I75" s="64">
        <f>'Bball ref'!M87</f>
        <v>0.7</v>
      </c>
      <c r="J75" s="64">
        <f>'Bball ref'!N87</f>
        <v>0.7</v>
      </c>
      <c r="K75" s="64">
        <f>'Bball ref'!O87</f>
        <v>2.9</v>
      </c>
      <c r="L75" s="64">
        <f>'Bball ref'!J87</f>
        <v>21</v>
      </c>
      <c r="M75" s="64">
        <f>VALUE(MID('Bball ref'!G87,FIND("(",'Bball ref'!G87)+1,FIND("/",'Bball ref'!G87)-FIND("(",'Bball ref'!G87)-1))</f>
        <v>7.3</v>
      </c>
      <c r="N75" s="64">
        <f>VALUE(MID('Bball ref'!G87,FIND("/",'Bball ref'!G87)+1,FIND(")",'Bball ref'!G87)-FIND("/",'Bball ref'!G87)-1))</f>
        <v>14.7</v>
      </c>
      <c r="O75" s="64">
        <f>VALUE(MID('Bball ref'!H87,FIND("(",'Bball ref'!H87)+1,FIND("/",'Bball ref'!H87)-FIND("(",'Bball ref'!H87)-1))</f>
        <v>5.4</v>
      </c>
      <c r="P75" s="64">
        <f>VALUE(MID('Bball ref'!H87,FIND("/",'Bball ref'!H87)+1,FIND(")",'Bball ref'!H87)-FIND("/",'Bball ref'!H87)-1))</f>
        <v>7.4</v>
      </c>
      <c r="Q75" s="64">
        <f>(D75-Math!B$14)/Math!B$15</f>
        <v>0.41868395801498404</v>
      </c>
      <c r="R75" s="64">
        <f>(E75-Math!C$14)/Math!C$15</f>
        <v>-0.6082903373786368</v>
      </c>
      <c r="S75" s="64">
        <f>(F75-Math!D$14)/Math!D$15</f>
        <v>-0.49197202211553048</v>
      </c>
      <c r="T75" s="64">
        <f>(G75-Math!E$14)/Math!E$15</f>
        <v>1.1946357339235338</v>
      </c>
      <c r="U75" s="64">
        <f>(H75-Math!F$14)/Math!F$15</f>
        <v>0.25858468257085621</v>
      </c>
      <c r="V75" s="64">
        <f>(I75-Math!G$14)/Math!G$15</f>
        <v>-0.71235717318607394</v>
      </c>
      <c r="W75" s="64">
        <f>(J75-Math!H$14)/Math!H$15</f>
        <v>1.6565918472943714E-2</v>
      </c>
      <c r="X75" s="64">
        <f>(-1)*(K75-Math!I$14)/Math!I$15</f>
        <v>-1.5407526800783111</v>
      </c>
      <c r="Y75" s="64">
        <f>(L75-Math!J$14)/Math!J$15</f>
        <v>1.1522747451653943</v>
      </c>
    </row>
    <row r="76" spans="1:25">
      <c r="A76" s="64" t="str">
        <f>IF((LEN('Bball ref'!B88)-LEN(SUBSTITUTE('Bball ref'!B88," ","")))&lt;2,'Bball ref'!B88,LEFT('Bball ref'!B88,FIND(" ",'Bball ref'!B88,FIND(" ",'Bball ref'!B88)+1)-1))</f>
        <v>Marcus Smart</v>
      </c>
      <c r="B76" s="64">
        <f>'Bball ref'!A88</f>
        <v>75</v>
      </c>
      <c r="C76" s="64">
        <f>'Bball ref'!E88</f>
        <v>76</v>
      </c>
      <c r="D76" s="64">
        <f>VALUE(LEFT('Bball ref'!G88,FIND("(",'Bball ref'!G88)-1))</f>
        <v>0.43</v>
      </c>
      <c r="E76" s="64">
        <f>VALUE(LEFT('Bball ref'!H88,(FIND("(",'Bball ref'!H88)-1)))</f>
        <v>0.83</v>
      </c>
      <c r="F76" s="64">
        <f>'Bball ref'!I88</f>
        <v>1.8</v>
      </c>
      <c r="G76" s="64">
        <f>'Bball ref'!K88</f>
        <v>3.3</v>
      </c>
      <c r="H76" s="64">
        <f>'Bball ref'!L88</f>
        <v>4.5999999999999996</v>
      </c>
      <c r="I76" s="64">
        <f>'Bball ref'!M88</f>
        <v>2</v>
      </c>
      <c r="J76" s="64">
        <f>'Bball ref'!N88</f>
        <v>0.5</v>
      </c>
      <c r="K76" s="64">
        <f>'Bball ref'!O88</f>
        <v>1.6</v>
      </c>
      <c r="L76" s="64">
        <f>'Bball ref'!J88</f>
        <v>10.199999999999999</v>
      </c>
      <c r="M76" s="64">
        <f>VALUE(MID('Bball ref'!G88,FIND("(",'Bball ref'!G88)+1,FIND("/",'Bball ref'!G88)-FIND("(",'Bball ref'!G88)-1))</f>
        <v>3.5</v>
      </c>
      <c r="N76" s="64">
        <f>VALUE(MID('Bball ref'!G88,FIND("/",'Bball ref'!G88)+1,FIND(")",'Bball ref'!G88)-FIND("/",'Bball ref'!G88)-1))</f>
        <v>8.1</v>
      </c>
      <c r="O76" s="64">
        <f>VALUE(MID('Bball ref'!H88,FIND("(",'Bball ref'!H88)+1,FIND("/",'Bball ref'!H88)-FIND("(",'Bball ref'!H88)-1))</f>
        <v>1.5</v>
      </c>
      <c r="P76" s="64">
        <f>VALUE(MID('Bball ref'!H88,FIND("/",'Bball ref'!H88)+1,FIND(")",'Bball ref'!H88)-FIND("/",'Bball ref'!H88)-1))</f>
        <v>1.8</v>
      </c>
      <c r="Q76" s="64">
        <f>(D76-Math!B$14)/Math!B$15</f>
        <v>-0.87526204909533856</v>
      </c>
      <c r="R76" s="64">
        <f>(E76-Math!C$14)/Math!C$15</f>
        <v>0.60344340241944372</v>
      </c>
      <c r="S76" s="64">
        <f>(F76-Math!D$14)/Math!D$15</f>
        <v>0.37113678861347094</v>
      </c>
      <c r="T76" s="64">
        <f>(G76-Math!E$14)/Math!E$15</f>
        <v>-0.97017866231367689</v>
      </c>
      <c r="U76" s="64">
        <f>(H76-Math!F$14)/Math!F$15</f>
        <v>0.65988001924725836</v>
      </c>
      <c r="V76" s="64">
        <f>(I76-Math!G$14)/Math!G$15</f>
        <v>2.7175106977098347</v>
      </c>
      <c r="W76" s="64">
        <f>(J76-Math!H$14)/Math!H$15</f>
        <v>-0.35156560314800916</v>
      </c>
      <c r="X76" s="64">
        <f>(-1)*(K76-Math!I$14)/Math!I$15</f>
        <v>0.20324251722408615</v>
      </c>
      <c r="Y76" s="64">
        <f>(L76-Math!J$14)/Math!J$15</f>
        <v>-1.0131275948008942</v>
      </c>
    </row>
    <row r="77" spans="1:25">
      <c r="A77" s="64" t="str">
        <f>IF((LEN('Bball ref'!B89)-LEN(SUBSTITUTE('Bball ref'!B89," ","")))&lt;2,'Bball ref'!B89,LEFT('Bball ref'!B89,FIND(" ",'Bball ref'!B89,FIND(" ",'Bball ref'!B89)+1)-1))</f>
        <v>Derrick Favors</v>
      </c>
      <c r="B77" s="64">
        <f>'Bball ref'!A89</f>
        <v>76</v>
      </c>
      <c r="C77" s="64">
        <f>'Bball ref'!E89</f>
        <v>76</v>
      </c>
      <c r="D77" s="64">
        <f>VALUE(LEFT('Bball ref'!G89,FIND("(",'Bball ref'!G89)-1))</f>
        <v>0.53</v>
      </c>
      <c r="E77" s="64">
        <f>VALUE(LEFT('Bball ref'!H89,(FIND("(",'Bball ref'!H89)-1)))</f>
        <v>0.69</v>
      </c>
      <c r="F77" s="64">
        <f>'Bball ref'!I89</f>
        <v>0.3</v>
      </c>
      <c r="G77" s="64">
        <f>'Bball ref'!K89</f>
        <v>9</v>
      </c>
      <c r="H77" s="64">
        <f>'Bball ref'!L89</f>
        <v>1.5</v>
      </c>
      <c r="I77" s="64">
        <f>'Bball ref'!M89</f>
        <v>0.9</v>
      </c>
      <c r="J77" s="64">
        <f>'Bball ref'!N89</f>
        <v>1.6</v>
      </c>
      <c r="K77" s="64">
        <f>'Bball ref'!O89</f>
        <v>1.6</v>
      </c>
      <c r="L77" s="64">
        <f>'Bball ref'!J89</f>
        <v>14.6</v>
      </c>
      <c r="M77" s="64">
        <f>VALUE(MID('Bball ref'!G89,FIND("(",'Bball ref'!G89)+1,FIND("/",'Bball ref'!G89)-FIND("(",'Bball ref'!G89)-1))</f>
        <v>5.9</v>
      </c>
      <c r="N77" s="64">
        <f>VALUE(MID('Bball ref'!G89,FIND("/",'Bball ref'!G89)+1,FIND(")",'Bball ref'!G89)-FIND("/",'Bball ref'!G89)-1))</f>
        <v>11.1</v>
      </c>
      <c r="O77" s="64">
        <f>VALUE(MID('Bball ref'!H89,FIND("(",'Bball ref'!H89)+1,FIND("/",'Bball ref'!H89)-FIND("(",'Bball ref'!H89)-1))</f>
        <v>2.5</v>
      </c>
      <c r="P77" s="64">
        <f>VALUE(MID('Bball ref'!H89,FIND("/",'Bball ref'!H89)+1,FIND(")",'Bball ref'!H89)-FIND("/",'Bball ref'!H89)-1))</f>
        <v>3.6</v>
      </c>
      <c r="Q77" s="64">
        <f>(D77-Math!B$14)/Math!B$15</f>
        <v>0.97323224677655129</v>
      </c>
      <c r="R77" s="64">
        <f>(E77-Math!C$14)/Math!C$15</f>
        <v>-1.0929838332978696</v>
      </c>
      <c r="S77" s="64">
        <f>(F77-Math!D$14)/Math!D$15</f>
        <v>-1.2471922315034067</v>
      </c>
      <c r="T77" s="64">
        <f>(G77-Math!E$14)/Math!E$15</f>
        <v>1.1946357339235338</v>
      </c>
      <c r="U77" s="64">
        <f>(H77-Math!F$14)/Math!F$15</f>
        <v>-0.89513941037380029</v>
      </c>
      <c r="V77" s="64">
        <f>(I77-Math!G$14)/Math!G$15</f>
        <v>-0.18468519304824169</v>
      </c>
      <c r="W77" s="64">
        <f>(J77-Math!H$14)/Math!H$15</f>
        <v>1.6731577657672323</v>
      </c>
      <c r="X77" s="64">
        <f>(-1)*(K77-Math!I$14)/Math!I$15</f>
        <v>0.20324251722408615</v>
      </c>
      <c r="Y77" s="64">
        <f>(L77-Math!J$14)/Math!J$15</f>
        <v>-0.13092664148129513</v>
      </c>
    </row>
    <row r="78" spans="1:25">
      <c r="A78" s="64" t="str">
        <f>IF((LEN('Bball ref'!B90)-LEN(SUBSTITUTE('Bball ref'!B90," ","")))&lt;2,'Bball ref'!B90,LEFT('Bball ref'!B90,FIND(" ",'Bball ref'!B90,FIND(" ",'Bball ref'!B90)+1)-1))</f>
        <v>Dewayne Dedmon</v>
      </c>
      <c r="B78" s="64">
        <f>'Bball ref'!A90</f>
        <v>77</v>
      </c>
      <c r="C78" s="64">
        <f>'Bball ref'!E90</f>
        <v>66</v>
      </c>
      <c r="D78" s="64">
        <f>VALUE(LEFT('Bball ref'!G90,FIND("(",'Bball ref'!G90)-1))</f>
        <v>0.49</v>
      </c>
      <c r="E78" s="64">
        <f>VALUE(LEFT('Bball ref'!H90,(FIND("(",'Bball ref'!H90)-1)))</f>
        <v>0.79</v>
      </c>
      <c r="F78" s="64">
        <f>'Bball ref'!I90</f>
        <v>1.4</v>
      </c>
      <c r="G78" s="64">
        <f>'Bball ref'!K90</f>
        <v>7.6</v>
      </c>
      <c r="H78" s="64">
        <f>'Bball ref'!L90</f>
        <v>1.5</v>
      </c>
      <c r="I78" s="64">
        <f>'Bball ref'!M90</f>
        <v>1.1000000000000001</v>
      </c>
      <c r="J78" s="64">
        <f>'Bball ref'!N90</f>
        <v>1.2</v>
      </c>
      <c r="K78" s="64">
        <f>'Bball ref'!O90</f>
        <v>1.3</v>
      </c>
      <c r="L78" s="64">
        <f>'Bball ref'!J90</f>
        <v>10.8</v>
      </c>
      <c r="M78" s="64">
        <f>VALUE(MID('Bball ref'!G90,FIND("(",'Bball ref'!G90)+1,FIND("/",'Bball ref'!G90)-FIND("(",'Bball ref'!G90)-1))</f>
        <v>4</v>
      </c>
      <c r="N78" s="64">
        <f>VALUE(MID('Bball ref'!G90,FIND("/",'Bball ref'!G90)+1,FIND(")",'Bball ref'!G90)-FIND("/",'Bball ref'!G90)-1))</f>
        <v>8.1</v>
      </c>
      <c r="O78" s="64">
        <f>VALUE(MID('Bball ref'!H90,FIND("(",'Bball ref'!H90)+1,FIND("/",'Bball ref'!H90)-FIND("(",'Bball ref'!H90)-1))</f>
        <v>1.5</v>
      </c>
      <c r="P78" s="64">
        <f>VALUE(MID('Bball ref'!H90,FIND("/",'Bball ref'!H90)+1,FIND(")",'Bball ref'!H90)-FIND("/",'Bball ref'!H90)-1))</f>
        <v>1.9</v>
      </c>
      <c r="Q78" s="64">
        <f>(D78-Math!B$14)/Math!B$15</f>
        <v>0.23383452842779492</v>
      </c>
      <c r="R78" s="64">
        <f>(E78-Math!C$14)/Math!C$15</f>
        <v>0.11874990650021229</v>
      </c>
      <c r="S78" s="64">
        <f>(F78-Math!D$14)/Math!D$15</f>
        <v>-6.0417616751029912E-2</v>
      </c>
      <c r="T78" s="64">
        <f>(G78-Math!E$14)/Math!E$15</f>
        <v>0.66292693484772758</v>
      </c>
      <c r="U78" s="64">
        <f>(H78-Math!F$14)/Math!F$15</f>
        <v>-0.89513941037380029</v>
      </c>
      <c r="V78" s="64">
        <f>(I78-Math!G$14)/Math!G$15</f>
        <v>0.34298678708959057</v>
      </c>
      <c r="W78" s="64">
        <f>(J78-Math!H$14)/Math!H$15</f>
        <v>0.93689472252532613</v>
      </c>
      <c r="X78" s="64">
        <f>(-1)*(K78-Math!I$14)/Math!I$15</f>
        <v>0.60570294737079333</v>
      </c>
      <c r="Y78" s="64">
        <f>(L78-Math!J$14)/Math!J$15</f>
        <v>-0.89282746480276676</v>
      </c>
    </row>
    <row r="79" spans="1:25">
      <c r="A79" s="64" t="str">
        <f>IF((LEN('Bball ref'!B91)-LEN(SUBSTITUTE('Bball ref'!B91," ","")))&lt;2,'Bball ref'!B91,LEFT('Bball ref'!B91,FIND(" ",'Bball ref'!B91,FIND(" ",'Bball ref'!B91)+1)-1))</f>
        <v>Domantas Sabonis</v>
      </c>
      <c r="B79" s="64">
        <f>'Bball ref'!A91</f>
        <v>78</v>
      </c>
      <c r="C79" s="64">
        <f>'Bball ref'!E91</f>
        <v>76</v>
      </c>
      <c r="D79" s="64">
        <f>VALUE(LEFT('Bball ref'!G91,FIND("(",'Bball ref'!G91)-1))</f>
        <v>0.55000000000000004</v>
      </c>
      <c r="E79" s="64">
        <f>VALUE(LEFT('Bball ref'!H91,(FIND("(",'Bball ref'!H91)-1)))</f>
        <v>0.72</v>
      </c>
      <c r="F79" s="64">
        <f>'Bball ref'!I91</f>
        <v>0.1</v>
      </c>
      <c r="G79" s="64">
        <f>'Bball ref'!K91</f>
        <v>10.8</v>
      </c>
      <c r="H79" s="64">
        <f>'Bball ref'!L91</f>
        <v>3.7</v>
      </c>
      <c r="I79" s="64">
        <f>'Bball ref'!M91</f>
        <v>0.8</v>
      </c>
      <c r="J79" s="64">
        <f>'Bball ref'!N91</f>
        <v>0.5</v>
      </c>
      <c r="K79" s="64">
        <f>'Bball ref'!O91</f>
        <v>2.7</v>
      </c>
      <c r="L79" s="64">
        <f>'Bball ref'!J91</f>
        <v>16</v>
      </c>
      <c r="M79" s="64">
        <f>VALUE(MID('Bball ref'!G91,FIND("(",'Bball ref'!G91)+1,FIND("/",'Bball ref'!G91)-FIND("(",'Bball ref'!G91)-1))</f>
        <v>6.1</v>
      </c>
      <c r="N79" s="64">
        <f>VALUE(MID('Bball ref'!G91,FIND("/",'Bball ref'!G91)+1,FIND(")",'Bball ref'!G91)-FIND("/",'Bball ref'!G91)-1))</f>
        <v>11.1</v>
      </c>
      <c r="O79" s="64">
        <f>VALUE(MID('Bball ref'!H91,FIND("(",'Bball ref'!H91)+1,FIND("/",'Bball ref'!H91)-FIND("(",'Bball ref'!H91)-1))</f>
        <v>3.6</v>
      </c>
      <c r="P79" s="64">
        <f>VALUE(MID('Bball ref'!H91,FIND("/",'Bball ref'!H91)+1,FIND(")",'Bball ref'!H91)-FIND("/",'Bball ref'!H91)-1))</f>
        <v>5</v>
      </c>
      <c r="Q79" s="64">
        <f>(D79-Math!B$14)/Math!B$15</f>
        <v>1.3429311059509295</v>
      </c>
      <c r="R79" s="64">
        <f>(E79-Math!C$14)/Math!C$15</f>
        <v>-0.72946371135844501</v>
      </c>
      <c r="S79" s="64">
        <f>(F79-Math!D$14)/Math!D$15</f>
        <v>-1.4629694341856569</v>
      </c>
      <c r="T79" s="64">
        <f>(G79-Math!E$14)/Math!E$15</f>
        <v>1.8782613327352848</v>
      </c>
      <c r="U79" s="64">
        <f>(H79-Math!F$14)/Math!F$15</f>
        <v>0.20842276548630609</v>
      </c>
      <c r="V79" s="64">
        <f>(I79-Math!G$14)/Math!G$15</f>
        <v>-0.44852118311715766</v>
      </c>
      <c r="W79" s="64">
        <f>(J79-Math!H$14)/Math!H$15</f>
        <v>-0.35156560314800916</v>
      </c>
      <c r="X79" s="64">
        <f>(-1)*(K79-Math!I$14)/Math!I$15</f>
        <v>-1.2724457266471734</v>
      </c>
      <c r="Y79" s="64">
        <f>(L79-Math!J$14)/Math!J$15</f>
        <v>0.14977366184766827</v>
      </c>
    </row>
    <row r="80" spans="1:25">
      <c r="A80" s="64" t="str">
        <f>IF((LEN('Bball ref'!B92)-LEN(SUBSTITUTE('Bball ref'!B92," ","")))&lt;2,'Bball ref'!B92,LEFT('Bball ref'!B92,FIND(" ",'Bball ref'!B92,FIND(" ",'Bball ref'!B92)+1)-1))</f>
        <v>Klay Thompson</v>
      </c>
      <c r="B80" s="64">
        <f>'Bball ref'!A92</f>
        <v>79</v>
      </c>
      <c r="C80" s="64">
        <f>'Bball ref'!E92</f>
        <v>30</v>
      </c>
      <c r="D80" s="64">
        <f>VALUE(LEFT('Bball ref'!G92,FIND("(",'Bball ref'!G92)-1))</f>
        <v>0.47</v>
      </c>
      <c r="E80" s="64">
        <f>VALUE(LEFT('Bball ref'!H92,(FIND("(",'Bball ref'!H92)-1)))</f>
        <v>0.88</v>
      </c>
      <c r="F80" s="64">
        <f>'Bball ref'!I92</f>
        <v>2.7</v>
      </c>
      <c r="G80" s="64">
        <f>'Bball ref'!K92</f>
        <v>3.4</v>
      </c>
      <c r="H80" s="64">
        <f>'Bball ref'!L92</f>
        <v>2.1</v>
      </c>
      <c r="I80" s="64">
        <f>'Bball ref'!M92</f>
        <v>0.9</v>
      </c>
      <c r="J80" s="64">
        <f>'Bball ref'!N92</f>
        <v>0.5</v>
      </c>
      <c r="K80" s="64">
        <f>'Bball ref'!O92</f>
        <v>1.2</v>
      </c>
      <c r="L80" s="64">
        <f>'Bball ref'!J92</f>
        <v>18.8</v>
      </c>
      <c r="M80" s="64">
        <f>VALUE(MID('Bball ref'!G92,FIND("(",'Bball ref'!G92)+1,FIND("/",'Bball ref'!G92)-FIND("(",'Bball ref'!G92)-1))</f>
        <v>7.3</v>
      </c>
      <c r="N80" s="64">
        <f>VALUE(MID('Bball ref'!G92,FIND("/",'Bball ref'!G92)+1,FIND(")",'Bball ref'!G92)-FIND("/",'Bball ref'!G92)-1))</f>
        <v>15.6</v>
      </c>
      <c r="O80" s="64">
        <f>VALUE(MID('Bball ref'!H92,FIND("(",'Bball ref'!H92)+1,FIND("/",'Bball ref'!H92)-FIND("(",'Bball ref'!H92)-1))</f>
        <v>1.5</v>
      </c>
      <c r="P80" s="64">
        <f>VALUE(MID('Bball ref'!H92,FIND("/",'Bball ref'!H92)+1,FIND(")",'Bball ref'!H92)-FIND("/",'Bball ref'!H92)-1))</f>
        <v>1.7</v>
      </c>
      <c r="Q80" s="64">
        <f>(D80-Math!B$14)/Math!B$15</f>
        <v>-0.13586433074658327</v>
      </c>
      <c r="R80" s="64">
        <f>(E80-Math!C$14)/Math!C$15</f>
        <v>1.2093102723184848</v>
      </c>
      <c r="S80" s="64">
        <f>(F80-Math!D$14)/Math!D$15</f>
        <v>1.3421342006835977</v>
      </c>
      <c r="T80" s="64">
        <f>(G80-Math!E$14)/Math!E$15</f>
        <v>-0.93219946237969076</v>
      </c>
      <c r="U80" s="64">
        <f>(H80-Math!F$14)/Math!F$15</f>
        <v>-0.59416790786649853</v>
      </c>
      <c r="V80" s="64">
        <f>(I80-Math!G$14)/Math!G$15</f>
        <v>-0.18468519304824169</v>
      </c>
      <c r="W80" s="64">
        <f>(J80-Math!H$14)/Math!H$15</f>
        <v>-0.35156560314800916</v>
      </c>
      <c r="X80" s="64">
        <f>(-1)*(K80-Math!I$14)/Math!I$15</f>
        <v>0.73985642408636254</v>
      </c>
      <c r="Y80" s="64">
        <f>(L80-Math!J$14)/Math!J$15</f>
        <v>0.71117426850559506</v>
      </c>
    </row>
    <row r="81" spans="1:25">
      <c r="A81" s="64" t="str">
        <f>IF((LEN('Bball ref'!B93)-LEN(SUBSTITUTE('Bball ref'!B93," ","")))&lt;2,'Bball ref'!B93,LEFT('Bball ref'!B93,FIND(" ",'Bball ref'!B93,FIND(" ",'Bball ref'!B93)+1)-1))</f>
        <v>Gordon Hayward</v>
      </c>
      <c r="B81" s="64">
        <f>'Bball ref'!A93</f>
        <v>80</v>
      </c>
      <c r="C81" s="64">
        <f>'Bball ref'!E93</f>
        <v>72</v>
      </c>
      <c r="D81" s="64">
        <f>VALUE(LEFT('Bball ref'!G93,FIND("(",'Bball ref'!G93)-1))</f>
        <v>0.47</v>
      </c>
      <c r="E81" s="64">
        <f>VALUE(LEFT('Bball ref'!H93,(FIND("(",'Bball ref'!H93)-1)))</f>
        <v>0.84</v>
      </c>
      <c r="F81" s="64">
        <f>'Bball ref'!I93</f>
        <v>1.3</v>
      </c>
      <c r="G81" s="64">
        <f>'Bball ref'!K93</f>
        <v>5.5</v>
      </c>
      <c r="H81" s="64">
        <f>'Bball ref'!L93</f>
        <v>4.4000000000000004</v>
      </c>
      <c r="I81" s="64">
        <f>'Bball ref'!M93</f>
        <v>0.9</v>
      </c>
      <c r="J81" s="64">
        <f>'Bball ref'!N93</f>
        <v>0.4</v>
      </c>
      <c r="K81" s="64">
        <f>'Bball ref'!O93</f>
        <v>1.7</v>
      </c>
      <c r="L81" s="64">
        <f>'Bball ref'!J93</f>
        <v>15.1</v>
      </c>
      <c r="M81" s="64">
        <f>VALUE(MID('Bball ref'!G93,FIND("(",'Bball ref'!G93)+1,FIND("/",'Bball ref'!G93)-FIND("(",'Bball ref'!G93)-1))</f>
        <v>5.5</v>
      </c>
      <c r="N81" s="64">
        <f>VALUE(MID('Bball ref'!G93,FIND("/",'Bball ref'!G93)+1,FIND(")",'Bball ref'!G93)-FIND("/",'Bball ref'!G93)-1))</f>
        <v>11.6</v>
      </c>
      <c r="O81" s="64">
        <f>VALUE(MID('Bball ref'!H93,FIND("(",'Bball ref'!H93)+1,FIND("/",'Bball ref'!H93)-FIND("(",'Bball ref'!H93)-1))</f>
        <v>2.7</v>
      </c>
      <c r="P81" s="64">
        <f>VALUE(MID('Bball ref'!H93,FIND("/",'Bball ref'!H93)+1,FIND(")",'Bball ref'!H93)-FIND("/",'Bball ref'!H93)-1))</f>
        <v>3.2</v>
      </c>
      <c r="Q81" s="64">
        <f>(D81-Math!B$14)/Math!B$15</f>
        <v>-0.13586433074658327</v>
      </c>
      <c r="R81" s="64">
        <f>(E81-Math!C$14)/Math!C$15</f>
        <v>0.72461677639925193</v>
      </c>
      <c r="S81" s="64">
        <f>(F81-Math!D$14)/Math!D$15</f>
        <v>-0.16830621809215493</v>
      </c>
      <c r="T81" s="64">
        <f>(G81-Math!E$14)/Math!E$15</f>
        <v>-0.13463626376598151</v>
      </c>
      <c r="U81" s="64">
        <f>(H81-Math!F$14)/Math!F$15</f>
        <v>0.55955618507815819</v>
      </c>
      <c r="V81" s="64">
        <f>(I81-Math!G$14)/Math!G$15</f>
        <v>-0.18468519304824169</v>
      </c>
      <c r="W81" s="64">
        <f>(J81-Math!H$14)/Math!H$15</f>
        <v>-0.53563136395848565</v>
      </c>
      <c r="X81" s="64">
        <f>(-1)*(K81-Math!I$14)/Math!I$15</f>
        <v>6.9089040508517302E-2</v>
      </c>
      <c r="Y81" s="64">
        <f>(L81-Math!J$14)/Math!J$15</f>
        <v>-3.0676533149522515E-2</v>
      </c>
    </row>
    <row r="82" spans="1:25">
      <c r="A82" s="64" t="str">
        <f>IF((LEN('Bball ref'!B94)-LEN(SUBSTITUTE('Bball ref'!B94," ","")))&lt;2,'Bball ref'!B94,LEFT('Bball ref'!B94,FIND(" ",'Bball ref'!B94,FIND(" ",'Bball ref'!B94)+1)-1))</f>
        <v>Miles Bridges</v>
      </c>
      <c r="B82" s="64">
        <f>'Bball ref'!A94</f>
        <v>81</v>
      </c>
      <c r="C82" s="64">
        <f>'Bball ref'!E94</f>
        <v>79</v>
      </c>
      <c r="D82" s="64">
        <f>VALUE(LEFT('Bball ref'!G94,FIND("(",'Bball ref'!G94)-1))</f>
        <v>0.48</v>
      </c>
      <c r="E82" s="64">
        <f>VALUE(LEFT('Bball ref'!H94,(FIND("(",'Bball ref'!H94)-1)))</f>
        <v>0.74</v>
      </c>
      <c r="F82" s="64">
        <f>'Bball ref'!I94</f>
        <v>1.3</v>
      </c>
      <c r="G82" s="64">
        <f>'Bball ref'!K94</f>
        <v>6.3</v>
      </c>
      <c r="H82" s="64">
        <f>'Bball ref'!L94</f>
        <v>1.9</v>
      </c>
      <c r="I82" s="64">
        <f>'Bball ref'!M94</f>
        <v>1.1000000000000001</v>
      </c>
      <c r="J82" s="64">
        <f>'Bball ref'!N94</f>
        <v>1</v>
      </c>
      <c r="K82" s="64">
        <f>'Bball ref'!O94</f>
        <v>0.9</v>
      </c>
      <c r="L82" s="64">
        <f>'Bball ref'!J94</f>
        <v>16.399999999999999</v>
      </c>
      <c r="M82" s="64">
        <f>VALUE(MID('Bball ref'!G94,FIND("(",'Bball ref'!G94)+1,FIND("/",'Bball ref'!G94)-FIND("(",'Bball ref'!G94)-1))</f>
        <v>6.8</v>
      </c>
      <c r="N82" s="64">
        <f>VALUE(MID('Bball ref'!G94,FIND("/",'Bball ref'!G94)+1,FIND(")",'Bball ref'!G94)-FIND("/",'Bball ref'!G94)-1))</f>
        <v>14.3</v>
      </c>
      <c r="O82" s="64">
        <f>VALUE(MID('Bball ref'!H94,FIND("(",'Bball ref'!H94)+1,FIND("/",'Bball ref'!H94)-FIND("(",'Bball ref'!H94)-1))</f>
        <v>1.4</v>
      </c>
      <c r="P82" s="64">
        <f>VALUE(MID('Bball ref'!H94,FIND("/",'Bball ref'!H94)+1,FIND(")",'Bball ref'!H94)-FIND("/",'Bball ref'!H94)-1))</f>
        <v>1.9</v>
      </c>
      <c r="Q82" s="64">
        <f>(D82-Math!B$14)/Math!B$15</f>
        <v>4.8985098840605826E-2</v>
      </c>
      <c r="R82" s="64">
        <f>(E82-Math!C$14)/Math!C$15</f>
        <v>-0.48711696339882865</v>
      </c>
      <c r="S82" s="64">
        <f>(F82-Math!D$14)/Math!D$15</f>
        <v>-0.16830621809215493</v>
      </c>
      <c r="T82" s="64">
        <f>(G82-Math!E$14)/Math!E$15</f>
        <v>0.16919733570590764</v>
      </c>
      <c r="U82" s="64">
        <f>(H82-Math!F$14)/Math!F$15</f>
        <v>-0.69449174203559916</v>
      </c>
      <c r="V82" s="64">
        <f>(I82-Math!G$14)/Math!G$15</f>
        <v>0.34298678708959057</v>
      </c>
      <c r="W82" s="64">
        <f>(J82-Math!H$14)/Math!H$15</f>
        <v>0.56876320090437327</v>
      </c>
      <c r="X82" s="64">
        <f>(-1)*(K82-Math!I$14)/Math!I$15</f>
        <v>1.1423168542330695</v>
      </c>
      <c r="Y82" s="64">
        <f>(L82-Math!J$14)/Math!J$15</f>
        <v>0.22997374851308608</v>
      </c>
    </row>
    <row r="83" spans="1:25">
      <c r="A83" s="64" t="str">
        <f>IF((LEN('Bball ref'!B95)-LEN(SUBSTITUTE('Bball ref'!B95," ","")))&lt;2,'Bball ref'!B95,LEFT('Bball ref'!B95,FIND(" ",'Bball ref'!B95,FIND(" ",'Bball ref'!B95)+1)-1))</f>
        <v>Kelly Oubre</v>
      </c>
      <c r="B83" s="64">
        <f>'Bball ref'!A95</f>
        <v>82</v>
      </c>
      <c r="C83" s="64">
        <f>'Bball ref'!E95</f>
        <v>72</v>
      </c>
      <c r="D83" s="64">
        <f>VALUE(LEFT('Bball ref'!G95,FIND("(",'Bball ref'!G95)-1))</f>
        <v>0.44</v>
      </c>
      <c r="E83" s="64">
        <f>VALUE(LEFT('Bball ref'!H95,(FIND("(",'Bball ref'!H95)-1)))</f>
        <v>0.76</v>
      </c>
      <c r="F83" s="64">
        <f>'Bball ref'!I95</f>
        <v>1.9</v>
      </c>
      <c r="G83" s="64">
        <f>'Bball ref'!K95</f>
        <v>4.9000000000000004</v>
      </c>
      <c r="H83" s="64">
        <f>'Bball ref'!L95</f>
        <v>1.5</v>
      </c>
      <c r="I83" s="64">
        <f>'Bball ref'!M95</f>
        <v>1.5</v>
      </c>
      <c r="J83" s="64">
        <f>'Bball ref'!N95</f>
        <v>0.9</v>
      </c>
      <c r="K83" s="64">
        <f>'Bball ref'!O95</f>
        <v>1.5</v>
      </c>
      <c r="L83" s="64">
        <f>'Bball ref'!J95</f>
        <v>16.899999999999999</v>
      </c>
      <c r="M83" s="64">
        <f>VALUE(MID('Bball ref'!G95,FIND("(",'Bball ref'!G95)+1,FIND("/",'Bball ref'!G95)-FIND("(",'Bball ref'!G95)-1))</f>
        <v>6.1</v>
      </c>
      <c r="N83" s="64">
        <f>VALUE(MID('Bball ref'!G95,FIND("/",'Bball ref'!G95)+1,FIND(")",'Bball ref'!G95)-FIND("/",'Bball ref'!G95)-1))</f>
        <v>13.8</v>
      </c>
      <c r="O83" s="64">
        <f>VALUE(MID('Bball ref'!H95,FIND("(",'Bball ref'!H95)+1,FIND("/",'Bball ref'!H95)-FIND("(",'Bball ref'!H95)-1))</f>
        <v>2.8</v>
      </c>
      <c r="P83" s="64">
        <f>VALUE(MID('Bball ref'!H95,FIND("/",'Bball ref'!H95)+1,FIND(")",'Bball ref'!H95)-FIND("/",'Bball ref'!H95)-1))</f>
        <v>3.7</v>
      </c>
      <c r="Q83" s="64">
        <f>(D83-Math!B$14)/Math!B$15</f>
        <v>-0.69041261950814947</v>
      </c>
      <c r="R83" s="64">
        <f>(E83-Math!C$14)/Math!C$15</f>
        <v>-0.24477021543921229</v>
      </c>
      <c r="S83" s="64">
        <f>(F83-Math!D$14)/Math!D$15</f>
        <v>0.47902538995459598</v>
      </c>
      <c r="T83" s="64">
        <f>(G83-Math!E$14)/Math!E$15</f>
        <v>-0.36251146336989831</v>
      </c>
      <c r="U83" s="64">
        <f>(H83-Math!F$14)/Math!F$15</f>
        <v>-0.89513941037380029</v>
      </c>
      <c r="V83" s="64">
        <f>(I83-Math!G$14)/Math!G$15</f>
        <v>1.3983307473652546</v>
      </c>
      <c r="W83" s="64">
        <f>(J83-Math!H$14)/Math!H$15</f>
        <v>0.38469744009389678</v>
      </c>
      <c r="X83" s="64">
        <f>(-1)*(K83-Math!I$14)/Math!I$15</f>
        <v>0.3373959939396553</v>
      </c>
      <c r="Y83" s="64">
        <f>(L83-Math!J$14)/Math!J$15</f>
        <v>0.33022385684485867</v>
      </c>
    </row>
    <row r="84" spans="1:25">
      <c r="A84" s="64" t="str">
        <f>IF((LEN('Bball ref'!B96)-LEN(SUBSTITUTE('Bball ref'!B96," ","")))&lt;2,'Bball ref'!B96,LEFT('Bball ref'!B96,FIND(" ",'Bball ref'!B96,FIND(" ",'Bball ref'!B96)+1)-1))</f>
        <v>Jeremy Lamb</v>
      </c>
      <c r="B84" s="64">
        <f>'Bball ref'!A96</f>
        <v>83</v>
      </c>
      <c r="C84" s="64">
        <f>'Bball ref'!E96</f>
        <v>77</v>
      </c>
      <c r="D84" s="64">
        <f>VALUE(LEFT('Bball ref'!G96,FIND("(",'Bball ref'!G96)-1))</f>
        <v>0.44</v>
      </c>
      <c r="E84" s="64">
        <f>VALUE(LEFT('Bball ref'!H96,(FIND("(",'Bball ref'!H96)-1)))</f>
        <v>0.89</v>
      </c>
      <c r="F84" s="64">
        <f>'Bball ref'!I96</f>
        <v>1.6</v>
      </c>
      <c r="G84" s="64">
        <f>'Bball ref'!K96</f>
        <v>5.0999999999999996</v>
      </c>
      <c r="H84" s="64">
        <f>'Bball ref'!L96</f>
        <v>2.4</v>
      </c>
      <c r="I84" s="64">
        <f>'Bball ref'!M96</f>
        <v>1.1000000000000001</v>
      </c>
      <c r="J84" s="64">
        <f>'Bball ref'!N96</f>
        <v>0.4</v>
      </c>
      <c r="K84" s="64">
        <f>'Bball ref'!O96</f>
        <v>1</v>
      </c>
      <c r="L84" s="64">
        <f>'Bball ref'!J96</f>
        <v>15</v>
      </c>
      <c r="M84" s="64">
        <f>VALUE(MID('Bball ref'!G96,FIND("(",'Bball ref'!G96)+1,FIND("/",'Bball ref'!G96)-FIND("(",'Bball ref'!G96)-1))</f>
        <v>5.0999999999999996</v>
      </c>
      <c r="N84" s="64">
        <f>VALUE(MID('Bball ref'!G96,FIND("/",'Bball ref'!G96)+1,FIND(")",'Bball ref'!G96)-FIND("/",'Bball ref'!G96)-1))</f>
        <v>11.5</v>
      </c>
      <c r="O84" s="64">
        <f>VALUE(MID('Bball ref'!H96,FIND("(",'Bball ref'!H96)+1,FIND("/",'Bball ref'!H96)-FIND("(",'Bball ref'!H96)-1))</f>
        <v>3.1</v>
      </c>
      <c r="P84" s="64">
        <f>VALUE(MID('Bball ref'!H96,FIND("/",'Bball ref'!H96)+1,FIND(")",'Bball ref'!H96)-FIND("/",'Bball ref'!H96)-1))</f>
        <v>3.5</v>
      </c>
      <c r="Q84" s="64">
        <f>(D84-Math!B$14)/Math!B$15</f>
        <v>-0.69041261950814947</v>
      </c>
      <c r="R84" s="64">
        <f>(E84-Math!C$14)/Math!C$15</f>
        <v>1.330483646298293</v>
      </c>
      <c r="S84" s="64">
        <f>(F84-Math!D$14)/Math!D$15</f>
        <v>0.15535958593122062</v>
      </c>
      <c r="T84" s="64">
        <f>(G84-Math!E$14)/Math!E$15</f>
        <v>-0.28655306350192628</v>
      </c>
      <c r="U84" s="64">
        <f>(H84-Math!F$14)/Math!F$15</f>
        <v>-0.44368215661284777</v>
      </c>
      <c r="V84" s="64">
        <f>(I84-Math!G$14)/Math!G$15</f>
        <v>0.34298678708959057</v>
      </c>
      <c r="W84" s="64">
        <f>(J84-Math!H$14)/Math!H$15</f>
        <v>-0.53563136395848565</v>
      </c>
      <c r="X84" s="64">
        <f>(-1)*(K84-Math!I$14)/Math!I$15</f>
        <v>1.0081633775175005</v>
      </c>
      <c r="Y84" s="64">
        <f>(L84-Math!J$14)/Math!J$15</f>
        <v>-5.0726554815876963E-2</v>
      </c>
    </row>
    <row r="85" spans="1:25">
      <c r="A85" s="64" t="str">
        <f>IF((LEN('Bball ref'!B97)-LEN(SUBSTITUTE('Bball ref'!B97," ","")))&lt;2,'Bball ref'!B97,LEFT('Bball ref'!B97,FIND(" ",'Bball ref'!B97,FIND(" ",'Bball ref'!B97)+1)-1))</f>
        <v>Kevon Looney</v>
      </c>
      <c r="B85" s="64">
        <f>'Bball ref'!A97</f>
        <v>84</v>
      </c>
      <c r="C85" s="64">
        <f>'Bball ref'!E97</f>
        <v>74</v>
      </c>
      <c r="D85" s="64">
        <f>VALUE(LEFT('Bball ref'!G97,FIND("(",'Bball ref'!G97)-1))</f>
        <v>0.63</v>
      </c>
      <c r="E85" s="64">
        <f>VALUE(LEFT('Bball ref'!H97,(FIND("(",'Bball ref'!H97)-1)))</f>
        <v>0.62</v>
      </c>
      <c r="F85" s="64">
        <f>'Bball ref'!I97</f>
        <v>0</v>
      </c>
      <c r="G85" s="64">
        <f>'Bball ref'!K97</f>
        <v>8.6999999999999993</v>
      </c>
      <c r="H85" s="64">
        <f>'Bball ref'!L97</f>
        <v>2.5</v>
      </c>
      <c r="I85" s="64">
        <f>'Bball ref'!M97</f>
        <v>0.9</v>
      </c>
      <c r="J85" s="64">
        <f>'Bball ref'!N97</f>
        <v>1.2</v>
      </c>
      <c r="K85" s="64">
        <f>'Bball ref'!O97</f>
        <v>0.9</v>
      </c>
      <c r="L85" s="64">
        <f>'Bball ref'!J97</f>
        <v>10.7</v>
      </c>
      <c r="M85" s="64">
        <f>VALUE(MID('Bball ref'!G97,FIND("(",'Bball ref'!G97)+1,FIND("/",'Bball ref'!G97)-FIND("(",'Bball ref'!G97)-1))</f>
        <v>4.7</v>
      </c>
      <c r="N85" s="64">
        <f>VALUE(MID('Bball ref'!G97,FIND("/",'Bball ref'!G97)+1,FIND(")",'Bball ref'!G97)-FIND("/",'Bball ref'!G97)-1))</f>
        <v>7.5</v>
      </c>
      <c r="O85" s="64">
        <f>VALUE(MID('Bball ref'!H97,FIND("(",'Bball ref'!H97)+1,FIND("/",'Bball ref'!H97)-FIND("(",'Bball ref'!H97)-1))</f>
        <v>1.3</v>
      </c>
      <c r="P85" s="64">
        <f>VALUE(MID('Bball ref'!H97,FIND("/",'Bball ref'!H97)+1,FIND(")",'Bball ref'!H97)-FIND("/",'Bball ref'!H97)-1))</f>
        <v>2.1</v>
      </c>
      <c r="Q85" s="64">
        <f>(D85-Math!B$14)/Math!B$15</f>
        <v>2.8217265426484399</v>
      </c>
      <c r="R85" s="64">
        <f>(E85-Math!C$14)/Math!C$15</f>
        <v>-1.9411974511565255</v>
      </c>
      <c r="S85" s="64">
        <f>(F85-Math!D$14)/Math!D$15</f>
        <v>-1.5708580355267823</v>
      </c>
      <c r="T85" s="64">
        <f>(G85-Math!E$14)/Math!E$15</f>
        <v>1.0806981341215751</v>
      </c>
      <c r="U85" s="64">
        <f>(H85-Math!F$14)/Math!F$15</f>
        <v>-0.3935202395282974</v>
      </c>
      <c r="V85" s="64">
        <f>(I85-Math!G$14)/Math!G$15</f>
        <v>-0.18468519304824169</v>
      </c>
      <c r="W85" s="64">
        <f>(J85-Math!H$14)/Math!H$15</f>
        <v>0.93689472252532613</v>
      </c>
      <c r="X85" s="64">
        <f>(-1)*(K85-Math!I$14)/Math!I$15</f>
        <v>1.1423168542330695</v>
      </c>
      <c r="Y85" s="64">
        <f>(L85-Math!J$14)/Math!J$15</f>
        <v>-0.91287748646912159</v>
      </c>
    </row>
    <row r="86" spans="1:25">
      <c r="A86" s="64" t="str">
        <f>IF((LEN('Bball ref'!B99)-LEN(SUBSTITUTE('Bball ref'!B99," ","")))&lt;2,'Bball ref'!B99,LEFT('Bball ref'!B99,FIND(" ",'Bball ref'!B99,FIND(" ",'Bball ref'!B99)+1)-1))</f>
        <v>Dwight Powell</v>
      </c>
      <c r="B86" s="64">
        <f>'Bball ref'!A99</f>
        <v>85</v>
      </c>
      <c r="C86" s="64">
        <f>'Bball ref'!E99</f>
        <v>76</v>
      </c>
      <c r="D86" s="64">
        <f>VALUE(LEFT('Bball ref'!G99,FIND("(",'Bball ref'!G99)-1))</f>
        <v>0.6</v>
      </c>
      <c r="E86" s="64">
        <f>VALUE(LEFT('Bball ref'!H99,(FIND("(",'Bball ref'!H99)-1)))</f>
        <v>0.76</v>
      </c>
      <c r="F86" s="64">
        <f>'Bball ref'!I99</f>
        <v>0.6</v>
      </c>
      <c r="G86" s="64">
        <f>'Bball ref'!K99</f>
        <v>6.7</v>
      </c>
      <c r="H86" s="64">
        <f>'Bball ref'!L99</f>
        <v>1.9</v>
      </c>
      <c r="I86" s="64">
        <f>'Bball ref'!M99</f>
        <v>0.7</v>
      </c>
      <c r="J86" s="64">
        <f>'Bball ref'!N99</f>
        <v>0.9</v>
      </c>
      <c r="K86" s="64">
        <f>'Bball ref'!O99</f>
        <v>1.1000000000000001</v>
      </c>
      <c r="L86" s="64">
        <f>'Bball ref'!J99</f>
        <v>13.5</v>
      </c>
      <c r="M86" s="64">
        <f>VALUE(MID('Bball ref'!G99,FIND("(",'Bball ref'!G99)+1,FIND("/",'Bball ref'!G99)-FIND("(",'Bball ref'!G99)-1))</f>
        <v>4.8</v>
      </c>
      <c r="N86" s="64">
        <f>VALUE(MID('Bball ref'!G99,FIND("/",'Bball ref'!G99)+1,FIND(")",'Bball ref'!G99)-FIND("/",'Bball ref'!G99)-1))</f>
        <v>8</v>
      </c>
      <c r="O86" s="64">
        <f>VALUE(MID('Bball ref'!H99,FIND("(",'Bball ref'!H99)+1,FIND("/",'Bball ref'!H99)-FIND("(",'Bball ref'!H99)-1))</f>
        <v>3.2</v>
      </c>
      <c r="P86" s="64">
        <f>VALUE(MID('Bball ref'!H99,FIND("/",'Bball ref'!H99)+1,FIND(")",'Bball ref'!H99)-FIND("/",'Bball ref'!H99)-1))</f>
        <v>4.2</v>
      </c>
      <c r="Q86" s="64">
        <f>(D86-Math!B$14)/Math!B$15</f>
        <v>2.2671782538868728</v>
      </c>
      <c r="R86" s="64">
        <f>(E86-Math!C$14)/Math!C$15</f>
        <v>-0.24477021543921229</v>
      </c>
      <c r="S86" s="64">
        <f>(F86-Math!D$14)/Math!D$15</f>
        <v>-0.92352642748003122</v>
      </c>
      <c r="T86" s="64">
        <f>(G86-Math!E$14)/Math!E$15</f>
        <v>0.32111413544185241</v>
      </c>
      <c r="U86" s="64">
        <f>(H86-Math!F$14)/Math!F$15</f>
        <v>-0.69449174203559916</v>
      </c>
      <c r="V86" s="64">
        <f>(I86-Math!G$14)/Math!G$15</f>
        <v>-0.71235717318607394</v>
      </c>
      <c r="W86" s="64">
        <f>(J86-Math!H$14)/Math!H$15</f>
        <v>0.38469744009389678</v>
      </c>
      <c r="X86" s="64">
        <f>(-1)*(K86-Math!I$14)/Math!I$15</f>
        <v>0.87400990080193131</v>
      </c>
      <c r="Y86" s="64">
        <f>(L86-Math!J$14)/Math!J$15</f>
        <v>-0.3514768798111948</v>
      </c>
    </row>
    <row r="87" spans="1:25">
      <c r="A87" s="64" t="str">
        <f>IF((LEN('Bball ref'!B100)-LEN(SUBSTITUTE('Bball ref'!B100," ","")))&lt;2,'Bball ref'!B100,LEFT('Bball ref'!B100,FIND(" ",'Bball ref'!B100,FIND(" ",'Bball ref'!B100)+1)-1))</f>
        <v>Wendell Carter</v>
      </c>
      <c r="B87" s="64">
        <f>'Bball ref'!A100</f>
        <v>86</v>
      </c>
      <c r="C87" s="64">
        <f>'Bball ref'!E100</f>
        <v>70</v>
      </c>
      <c r="D87" s="64">
        <f>VALUE(LEFT('Bball ref'!G100,FIND("(",'Bball ref'!G100)-1))</f>
        <v>0.49</v>
      </c>
      <c r="E87" s="64">
        <f>VALUE(LEFT('Bball ref'!H100,(FIND("(",'Bball ref'!H100)-1)))</f>
        <v>0.8</v>
      </c>
      <c r="F87" s="64">
        <f>'Bball ref'!I100</f>
        <v>0.1</v>
      </c>
      <c r="G87" s="64">
        <f>'Bball ref'!K100</f>
        <v>8.5</v>
      </c>
      <c r="H87" s="64">
        <f>'Bball ref'!L100</f>
        <v>2.2000000000000002</v>
      </c>
      <c r="I87" s="64">
        <f>'Bball ref'!M100</f>
        <v>0.7</v>
      </c>
      <c r="J87" s="64">
        <f>'Bball ref'!N100</f>
        <v>1.6</v>
      </c>
      <c r="K87" s="64">
        <f>'Bball ref'!O100</f>
        <v>1.7</v>
      </c>
      <c r="L87" s="64">
        <f>'Bball ref'!J100</f>
        <v>12.5</v>
      </c>
      <c r="M87" s="64">
        <f>VALUE(MID('Bball ref'!G100,FIND("(",'Bball ref'!G100)+1,FIND("/",'Bball ref'!G100)-FIND("(",'Bball ref'!G100)-1))</f>
        <v>5</v>
      </c>
      <c r="N87" s="64">
        <f>VALUE(MID('Bball ref'!G100,FIND("/",'Bball ref'!G100)+1,FIND(")",'Bball ref'!G100)-FIND("/",'Bball ref'!G100)-1))</f>
        <v>10.199999999999999</v>
      </c>
      <c r="O87" s="64">
        <f>VALUE(MID('Bball ref'!H100,FIND("(",'Bball ref'!H100)+1,FIND("/",'Bball ref'!H100)-FIND("(",'Bball ref'!H100)-1))</f>
        <v>2.4</v>
      </c>
      <c r="P87" s="64">
        <f>VALUE(MID('Bball ref'!H100,FIND("/",'Bball ref'!H100)+1,FIND(")",'Bball ref'!H100)-FIND("/",'Bball ref'!H100)-1))</f>
        <v>3</v>
      </c>
      <c r="Q87" s="64">
        <f>(D87-Math!B$14)/Math!B$15</f>
        <v>0.23383452842779492</v>
      </c>
      <c r="R87" s="64">
        <f>(E87-Math!C$14)/Math!C$15</f>
        <v>0.23992328048002048</v>
      </c>
      <c r="S87" s="64">
        <f>(F87-Math!D$14)/Math!D$15</f>
        <v>-1.4629694341856569</v>
      </c>
      <c r="T87" s="64">
        <f>(G87-Math!E$14)/Math!E$15</f>
        <v>1.0047397342536031</v>
      </c>
      <c r="U87" s="64">
        <f>(H87-Math!F$14)/Math!F$15</f>
        <v>-0.54400599078194822</v>
      </c>
      <c r="V87" s="64">
        <f>(I87-Math!G$14)/Math!G$15</f>
        <v>-0.71235717318607394</v>
      </c>
      <c r="W87" s="64">
        <f>(J87-Math!H$14)/Math!H$15</f>
        <v>1.6731577657672323</v>
      </c>
      <c r="X87" s="64">
        <f>(-1)*(K87-Math!I$14)/Math!I$15</f>
        <v>6.9089040508517302E-2</v>
      </c>
      <c r="Y87" s="64">
        <f>(L87-Math!J$14)/Math!J$15</f>
        <v>-0.55197709647474003</v>
      </c>
    </row>
    <row r="88" spans="1:25">
      <c r="A88" s="64" t="str">
        <f>IF((LEN('Bball ref'!B101)-LEN(SUBSTITUTE('Bball ref'!B101," ","")))&lt;2,'Bball ref'!B101,LEFT('Bball ref'!B101,FIND(" ",'Bball ref'!B101,FIND(" ",'Bball ref'!B101)+1)-1))</f>
        <v>Montrezl Harrell</v>
      </c>
      <c r="B88" s="64">
        <f>'Bball ref'!A101</f>
        <v>87</v>
      </c>
      <c r="C88" s="64">
        <f>'Bball ref'!E101</f>
        <v>78</v>
      </c>
      <c r="D88" s="64">
        <f>VALUE(LEFT('Bball ref'!G101,FIND("(",'Bball ref'!G101)-1))</f>
        <v>0.62</v>
      </c>
      <c r="E88" s="64">
        <f>VALUE(LEFT('Bball ref'!H101,(FIND("(",'Bball ref'!H101)-1)))</f>
        <v>0.64</v>
      </c>
      <c r="F88" s="64">
        <f>'Bball ref'!I101</f>
        <v>0</v>
      </c>
      <c r="G88" s="64">
        <f>'Bball ref'!K101</f>
        <v>6.9</v>
      </c>
      <c r="H88" s="64">
        <f>'Bball ref'!L101</f>
        <v>2.2000000000000002</v>
      </c>
      <c r="I88" s="64">
        <f>'Bball ref'!M101</f>
        <v>1</v>
      </c>
      <c r="J88" s="64">
        <f>'Bball ref'!N101</f>
        <v>1.5</v>
      </c>
      <c r="K88" s="64">
        <f>'Bball ref'!O101</f>
        <v>1.7</v>
      </c>
      <c r="L88" s="64">
        <f>'Bball ref'!J101</f>
        <v>16.399999999999999</v>
      </c>
      <c r="M88" s="64">
        <f>VALUE(MID('Bball ref'!G101,FIND("(",'Bball ref'!G101)+1,FIND("/",'Bball ref'!G101)-FIND("(",'Bball ref'!G101)-1))</f>
        <v>6.4</v>
      </c>
      <c r="N88" s="64">
        <f>VALUE(MID('Bball ref'!G101,FIND("/",'Bball ref'!G101)+1,FIND(")",'Bball ref'!G101)-FIND("/",'Bball ref'!G101)-1))</f>
        <v>10.3</v>
      </c>
      <c r="O88" s="64">
        <f>VALUE(MID('Bball ref'!H101,FIND("(",'Bball ref'!H101)+1,FIND("/",'Bball ref'!H101)-FIND("(",'Bball ref'!H101)-1))</f>
        <v>3.6</v>
      </c>
      <c r="P88" s="64">
        <f>VALUE(MID('Bball ref'!H101,FIND("/",'Bball ref'!H101)+1,FIND(")",'Bball ref'!H101)-FIND("/",'Bball ref'!H101)-1))</f>
        <v>5.6</v>
      </c>
      <c r="Q88" s="64">
        <f>(D88-Math!B$14)/Math!B$15</f>
        <v>2.6368771130612512</v>
      </c>
      <c r="R88" s="64">
        <f>(E88-Math!C$14)/Math!C$15</f>
        <v>-1.6988507031969093</v>
      </c>
      <c r="S88" s="64">
        <f>(F88-Math!D$14)/Math!D$15</f>
        <v>-1.5708580355267823</v>
      </c>
      <c r="T88" s="64">
        <f>(G88-Math!E$14)/Math!E$15</f>
        <v>0.39707253530982478</v>
      </c>
      <c r="U88" s="64">
        <f>(H88-Math!F$14)/Math!F$15</f>
        <v>-0.54400599078194822</v>
      </c>
      <c r="V88" s="64">
        <f>(I88-Math!G$14)/Math!G$15</f>
        <v>7.9150797020674304E-2</v>
      </c>
      <c r="W88" s="64">
        <f>(J88-Math!H$14)/Math!H$15</f>
        <v>1.4890920049567555</v>
      </c>
      <c r="X88" s="64">
        <f>(-1)*(K88-Math!I$14)/Math!I$15</f>
        <v>6.9089040508517302E-2</v>
      </c>
      <c r="Y88" s="64">
        <f>(L88-Math!J$14)/Math!J$15</f>
        <v>0.22997374851308608</v>
      </c>
    </row>
    <row r="89" spans="1:25">
      <c r="A89" s="64" t="str">
        <f>IF((LEN('Bball ref'!B102)-LEN(SUBSTITUTE('Bball ref'!B102," ","")))&lt;2,'Bball ref'!B102,LEFT('Bball ref'!B102,FIND(" ",'Bball ref'!B102,FIND(" ",'Bball ref'!B102)+1)-1))</f>
        <v>TJ Warren</v>
      </c>
      <c r="B89" s="64">
        <f>'Bball ref'!A102</f>
        <v>88</v>
      </c>
      <c r="C89" s="64">
        <f>'Bball ref'!E102</f>
        <v>66</v>
      </c>
      <c r="D89" s="64">
        <f>VALUE(LEFT('Bball ref'!G102,FIND("(",'Bball ref'!G102)-1))</f>
        <v>0.49</v>
      </c>
      <c r="E89" s="64">
        <f>VALUE(LEFT('Bball ref'!H102,(FIND("(",'Bball ref'!H102)-1)))</f>
        <v>0.79</v>
      </c>
      <c r="F89" s="64">
        <f>'Bball ref'!I102</f>
        <v>1.6</v>
      </c>
      <c r="G89" s="64">
        <f>'Bball ref'!K102</f>
        <v>4</v>
      </c>
      <c r="H89" s="64">
        <f>'Bball ref'!L102</f>
        <v>1.5</v>
      </c>
      <c r="I89" s="64">
        <f>'Bball ref'!M102</f>
        <v>1.1000000000000001</v>
      </c>
      <c r="J89" s="64">
        <f>'Bball ref'!N102</f>
        <v>0.7</v>
      </c>
      <c r="K89" s="64">
        <f>'Bball ref'!O102</f>
        <v>1.1000000000000001</v>
      </c>
      <c r="L89" s="64">
        <f>'Bball ref'!J102</f>
        <v>16.100000000000001</v>
      </c>
      <c r="M89" s="64">
        <f>VALUE(MID('Bball ref'!G102,FIND("(",'Bball ref'!G102)+1,FIND("/",'Bball ref'!G102)-FIND("(",'Bball ref'!G102)-1))</f>
        <v>6.1</v>
      </c>
      <c r="N89" s="64">
        <f>VALUE(MID('Bball ref'!G102,FIND("/",'Bball ref'!G102)+1,FIND(")",'Bball ref'!G102)-FIND("/",'Bball ref'!G102)-1))</f>
        <v>12.4</v>
      </c>
      <c r="O89" s="64">
        <f>VALUE(MID('Bball ref'!H102,FIND("(",'Bball ref'!H102)+1,FIND("/",'Bball ref'!H102)-FIND("(",'Bball ref'!H102)-1))</f>
        <v>2.2999999999999998</v>
      </c>
      <c r="P89" s="64">
        <f>VALUE(MID('Bball ref'!H102,FIND("/",'Bball ref'!H102)+1,FIND(")",'Bball ref'!H102)-FIND("/",'Bball ref'!H102)-1))</f>
        <v>2.9</v>
      </c>
      <c r="Q89" s="64">
        <f>(D89-Math!B$14)/Math!B$15</f>
        <v>0.23383452842779492</v>
      </c>
      <c r="R89" s="64">
        <f>(E89-Math!C$14)/Math!C$15</f>
        <v>0.11874990650021229</v>
      </c>
      <c r="S89" s="64">
        <f>(F89-Math!D$14)/Math!D$15</f>
        <v>0.15535958593122062</v>
      </c>
      <c r="T89" s="64">
        <f>(G89-Math!E$14)/Math!E$15</f>
        <v>-0.70432426277577376</v>
      </c>
      <c r="U89" s="64">
        <f>(H89-Math!F$14)/Math!F$15</f>
        <v>-0.89513941037380029</v>
      </c>
      <c r="V89" s="64">
        <f>(I89-Math!G$14)/Math!G$15</f>
        <v>0.34298678708959057</v>
      </c>
      <c r="W89" s="64">
        <f>(J89-Math!H$14)/Math!H$15</f>
        <v>1.6565918472943714E-2</v>
      </c>
      <c r="X89" s="64">
        <f>(-1)*(K89-Math!I$14)/Math!I$15</f>
        <v>0.87400990080193131</v>
      </c>
      <c r="Y89" s="64">
        <f>(L89-Math!J$14)/Math!J$15</f>
        <v>0.16982368351402308</v>
      </c>
    </row>
    <row r="90" spans="1:25">
      <c r="A90" s="64" t="str">
        <f>IF((LEN('Bball ref'!B103)-LEN(SUBSTITUTE('Bball ref'!B103," ","")))&lt;2,'Bball ref'!B103,LEFT('Bball ref'!B103,FIND(" ",'Bball ref'!B103,FIND(" ",'Bball ref'!B103)+1)-1))</f>
        <v>Delon Wright</v>
      </c>
      <c r="B90" s="64">
        <f>'Bball ref'!A103</f>
        <v>89</v>
      </c>
      <c r="C90" s="64">
        <f>'Bball ref'!E103</f>
        <v>72</v>
      </c>
      <c r="D90" s="64">
        <f>VALUE(LEFT('Bball ref'!G103,FIND("(",'Bball ref'!G103)-1))</f>
        <v>0.44</v>
      </c>
      <c r="E90" s="64">
        <f>VALUE(LEFT('Bball ref'!H103,(FIND("(",'Bball ref'!H103)-1)))</f>
        <v>0.81</v>
      </c>
      <c r="F90" s="64">
        <f>'Bball ref'!I103</f>
        <v>0.9</v>
      </c>
      <c r="G90" s="64">
        <f>'Bball ref'!K103</f>
        <v>4.7</v>
      </c>
      <c r="H90" s="64">
        <f>'Bball ref'!L103</f>
        <v>4.4000000000000004</v>
      </c>
      <c r="I90" s="64">
        <f>'Bball ref'!M103</f>
        <v>1.5</v>
      </c>
      <c r="J90" s="64">
        <f>'Bball ref'!N103</f>
        <v>0.5</v>
      </c>
      <c r="K90" s="64">
        <f>'Bball ref'!O103</f>
        <v>1.3</v>
      </c>
      <c r="L90" s="64">
        <f>'Bball ref'!J103</f>
        <v>12.6</v>
      </c>
      <c r="M90" s="64">
        <f>VALUE(MID('Bball ref'!G103,FIND("(",'Bball ref'!G103)+1,FIND("/",'Bball ref'!G103)-FIND("(",'Bball ref'!G103)-1))</f>
        <v>4.7</v>
      </c>
      <c r="N90" s="64">
        <f>VALUE(MID('Bball ref'!G103,FIND("/",'Bball ref'!G103)+1,FIND(")",'Bball ref'!G103)-FIND("/",'Bball ref'!G103)-1))</f>
        <v>10.7</v>
      </c>
      <c r="O90" s="64">
        <f>VALUE(MID('Bball ref'!H103,FIND("(",'Bball ref'!H103)+1,FIND("/",'Bball ref'!H103)-FIND("(",'Bball ref'!H103)-1))</f>
        <v>2.2000000000000002</v>
      </c>
      <c r="P90" s="64">
        <f>VALUE(MID('Bball ref'!H103,FIND("/",'Bball ref'!H103)+1,FIND(")",'Bball ref'!H103)-FIND("/",'Bball ref'!H103)-1))</f>
        <v>2.7</v>
      </c>
      <c r="Q90" s="64">
        <f>(D90-Math!B$14)/Math!B$15</f>
        <v>-0.69041261950814947</v>
      </c>
      <c r="R90" s="64">
        <f>(E90-Math!C$14)/Math!C$15</f>
        <v>0.36109665445982869</v>
      </c>
      <c r="S90" s="64">
        <f>(F90-Math!D$14)/Math!D$15</f>
        <v>-0.59986062345665569</v>
      </c>
      <c r="T90" s="64">
        <f>(G90-Math!E$14)/Math!E$15</f>
        <v>-0.43846986323787068</v>
      </c>
      <c r="U90" s="64">
        <f>(H90-Math!F$14)/Math!F$15</f>
        <v>0.55955618507815819</v>
      </c>
      <c r="V90" s="64">
        <f>(I90-Math!G$14)/Math!G$15</f>
        <v>1.3983307473652546</v>
      </c>
      <c r="W90" s="64">
        <f>(J90-Math!H$14)/Math!H$15</f>
        <v>-0.35156560314800916</v>
      </c>
      <c r="X90" s="64">
        <f>(-1)*(K90-Math!I$14)/Math!I$15</f>
        <v>0.60570294737079333</v>
      </c>
      <c r="Y90" s="64">
        <f>(L90-Math!J$14)/Math!J$15</f>
        <v>-0.53192707480838564</v>
      </c>
    </row>
    <row r="91" spans="1:25">
      <c r="A91" s="64" t="str">
        <f>IF((LEN('Bball ref'!B104)-LEN(SUBSTITUTE('Bball ref'!B104," ","")))&lt;2,'Bball ref'!B104,LEFT('Bball ref'!B104,FIND(" ",'Bball ref'!B104,FIND(" ",'Bball ref'!B104)+1)-1))</f>
        <v>Gary Harris</v>
      </c>
      <c r="B91" s="64">
        <f>'Bball ref'!A104</f>
        <v>90</v>
      </c>
      <c r="C91" s="64">
        <f>'Bball ref'!E104</f>
        <v>66</v>
      </c>
      <c r="D91" s="64">
        <f>VALUE(LEFT('Bball ref'!G104,FIND("(",'Bball ref'!G104)-1))</f>
        <v>0.47</v>
      </c>
      <c r="E91" s="64">
        <f>VALUE(LEFT('Bball ref'!H104,(FIND("(",'Bball ref'!H104)-1)))</f>
        <v>0.81</v>
      </c>
      <c r="F91" s="64">
        <f>'Bball ref'!I104</f>
        <v>2</v>
      </c>
      <c r="G91" s="64">
        <f>'Bball ref'!K104</f>
        <v>3.1</v>
      </c>
      <c r="H91" s="64">
        <f>'Bball ref'!L104</f>
        <v>2.4</v>
      </c>
      <c r="I91" s="64">
        <f>'Bball ref'!M104</f>
        <v>1.4</v>
      </c>
      <c r="J91" s="64">
        <f>'Bball ref'!N104</f>
        <v>0.3</v>
      </c>
      <c r="K91" s="64">
        <f>'Bball ref'!O104</f>
        <v>1.3</v>
      </c>
      <c r="L91" s="64">
        <f>'Bball ref'!J104</f>
        <v>16.600000000000001</v>
      </c>
      <c r="M91" s="64">
        <f>VALUE(MID('Bball ref'!G104,FIND("(",'Bball ref'!G104)+1,FIND("/",'Bball ref'!G104)-FIND("(",'Bball ref'!G104)-1))</f>
        <v>6.2</v>
      </c>
      <c r="N91" s="64">
        <f>VALUE(MID('Bball ref'!G104,FIND("/",'Bball ref'!G104)+1,FIND(")",'Bball ref'!G104)-FIND("/",'Bball ref'!G104)-1))</f>
        <v>13.3</v>
      </c>
      <c r="O91" s="64">
        <f>VALUE(MID('Bball ref'!H104,FIND("(",'Bball ref'!H104)+1,FIND("/",'Bball ref'!H104)-FIND("(",'Bball ref'!H104)-1))</f>
        <v>2.2000000000000002</v>
      </c>
      <c r="P91" s="64">
        <f>VALUE(MID('Bball ref'!H104,FIND("/",'Bball ref'!H104)+1,FIND(")",'Bball ref'!H104)-FIND("/",'Bball ref'!H104)-1))</f>
        <v>2.7</v>
      </c>
      <c r="Q91" s="64">
        <f>(D91-Math!B$14)/Math!B$15</f>
        <v>-0.13586433074658327</v>
      </c>
      <c r="R91" s="64">
        <f>(E91-Math!C$14)/Math!C$15</f>
        <v>0.36109665445982869</v>
      </c>
      <c r="S91" s="64">
        <f>(F91-Math!D$14)/Math!D$15</f>
        <v>0.58691399129572119</v>
      </c>
      <c r="T91" s="64">
        <f>(G91-Math!E$14)/Math!E$15</f>
        <v>-1.046137062181649</v>
      </c>
      <c r="U91" s="64">
        <f>(H91-Math!F$14)/Math!F$15</f>
        <v>-0.44368215661284777</v>
      </c>
      <c r="V91" s="64">
        <f>(I91-Math!G$14)/Math!G$15</f>
        <v>1.1344947572963382</v>
      </c>
      <c r="W91" s="64">
        <f>(J91-Math!H$14)/Math!H$15</f>
        <v>-0.71969712476896219</v>
      </c>
      <c r="X91" s="64">
        <f>(-1)*(K91-Math!I$14)/Math!I$15</f>
        <v>0.60570294737079333</v>
      </c>
      <c r="Y91" s="64">
        <f>(L91-Math!J$14)/Math!J$15</f>
        <v>0.27007379184579566</v>
      </c>
    </row>
    <row r="92" spans="1:25">
      <c r="A92" s="64" t="str">
        <f>IF((LEN('Bball ref'!B105)-LEN(SUBSTITUTE('Bball ref'!B105," ","")))&lt;2,'Bball ref'!B105,LEFT('Bball ref'!B105,FIND(" ",'Bball ref'!B105,FIND(" ",'Bball ref'!B105)+1)-1))</f>
        <v>Fred VanVleet</v>
      </c>
      <c r="B92" s="64">
        <f>'Bball ref'!A105</f>
        <v>91</v>
      </c>
      <c r="C92" s="64">
        <f>'Bball ref'!E105</f>
        <v>70</v>
      </c>
      <c r="D92" s="64">
        <f>VALUE(LEFT('Bball ref'!G105,FIND("(",'Bball ref'!G105)-1))</f>
        <v>0.43</v>
      </c>
      <c r="E92" s="64">
        <f>VALUE(LEFT('Bball ref'!H105,(FIND("(",'Bball ref'!H105)-1)))</f>
        <v>0.85</v>
      </c>
      <c r="F92" s="64">
        <f>'Bball ref'!I105</f>
        <v>2.5</v>
      </c>
      <c r="G92" s="64">
        <f>'Bball ref'!K105</f>
        <v>2.9</v>
      </c>
      <c r="H92" s="64">
        <f>'Bball ref'!L105</f>
        <v>5.3</v>
      </c>
      <c r="I92" s="64">
        <f>'Bball ref'!M105</f>
        <v>0.9</v>
      </c>
      <c r="J92" s="64">
        <f>'Bball ref'!N105</f>
        <v>0.3</v>
      </c>
      <c r="K92" s="64">
        <f>'Bball ref'!O105</f>
        <v>1.4</v>
      </c>
      <c r="L92" s="64">
        <f>'Bball ref'!J105</f>
        <v>15.4</v>
      </c>
      <c r="M92" s="64">
        <f>VALUE(MID('Bball ref'!G105,FIND("(",'Bball ref'!G105)+1,FIND("/",'Bball ref'!G105)-FIND("(",'Bball ref'!G105)-1))</f>
        <v>5.6</v>
      </c>
      <c r="N92" s="64">
        <f>VALUE(MID('Bball ref'!G105,FIND("/",'Bball ref'!G105)+1,FIND(")",'Bball ref'!G105)-FIND("/",'Bball ref'!G105)-1))</f>
        <v>13</v>
      </c>
      <c r="O92" s="64">
        <f>VALUE(MID('Bball ref'!H105,FIND("(",'Bball ref'!H105)+1,FIND("/",'Bball ref'!H105)-FIND("(",'Bball ref'!H105)-1))</f>
        <v>1.7</v>
      </c>
      <c r="P92" s="64">
        <f>VALUE(MID('Bball ref'!H105,FIND("/",'Bball ref'!H105)+1,FIND(")",'Bball ref'!H105)-FIND("/",'Bball ref'!H105)-1))</f>
        <v>2</v>
      </c>
      <c r="Q92" s="64">
        <f>(D92-Math!B$14)/Math!B$15</f>
        <v>-0.87526204909533856</v>
      </c>
      <c r="R92" s="64">
        <f>(E92-Math!C$14)/Math!C$15</f>
        <v>0.84579015037906013</v>
      </c>
      <c r="S92" s="64">
        <f>(F92-Math!D$14)/Math!D$15</f>
        <v>1.126356998001347</v>
      </c>
      <c r="T92" s="64">
        <f>(G92-Math!E$14)/Math!E$15</f>
        <v>-1.1220954620496215</v>
      </c>
      <c r="U92" s="64">
        <f>(H92-Math!F$14)/Math!F$15</f>
        <v>1.0110134388391105</v>
      </c>
      <c r="V92" s="64">
        <f>(I92-Math!G$14)/Math!G$15</f>
        <v>-0.18468519304824169</v>
      </c>
      <c r="W92" s="64">
        <f>(J92-Math!H$14)/Math!H$15</f>
        <v>-0.71969712476896219</v>
      </c>
      <c r="X92" s="64">
        <f>(-1)*(K92-Math!I$14)/Math!I$15</f>
        <v>0.47154947065522446</v>
      </c>
      <c r="Y92" s="64">
        <f>(L92-Math!J$14)/Math!J$15</f>
        <v>2.9473531849541195E-2</v>
      </c>
    </row>
    <row r="93" spans="1:25">
      <c r="A93" s="64" t="str">
        <f>IF((LEN('Bball ref'!B106)-LEN(SUBSTITUTE('Bball ref'!B106," ","")))&lt;2,'Bball ref'!B106,LEFT('Bball ref'!B106,FIND(" ",'Bball ref'!B106,FIND(" ",'Bball ref'!B106)+1)-1))</f>
        <v>JaVale McGee</v>
      </c>
      <c r="B93" s="64">
        <f>'Bball ref'!A106</f>
        <v>92</v>
      </c>
      <c r="C93" s="64">
        <f>'Bball ref'!E106</f>
        <v>76</v>
      </c>
      <c r="D93" s="64">
        <f>VALUE(LEFT('Bball ref'!G106,FIND("(",'Bball ref'!G106)-1))</f>
        <v>0.62</v>
      </c>
      <c r="E93" s="64">
        <f>VALUE(LEFT('Bball ref'!H106,(FIND("(",'Bball ref'!H106)-1)))</f>
        <v>0.65</v>
      </c>
      <c r="F93" s="64">
        <f>'Bball ref'!I106</f>
        <v>0</v>
      </c>
      <c r="G93" s="64">
        <f>'Bball ref'!K106</f>
        <v>7.4</v>
      </c>
      <c r="H93" s="64">
        <f>'Bball ref'!L106</f>
        <v>0.8</v>
      </c>
      <c r="I93" s="64">
        <f>'Bball ref'!M106</f>
        <v>0.6</v>
      </c>
      <c r="J93" s="64">
        <f>'Bball ref'!N106</f>
        <v>1.9</v>
      </c>
      <c r="K93" s="64">
        <f>'Bball ref'!O106</f>
        <v>1.5</v>
      </c>
      <c r="L93" s="64">
        <f>'Bball ref'!J106</f>
        <v>11.3</v>
      </c>
      <c r="M93" s="64">
        <f>VALUE(MID('Bball ref'!G106,FIND("(",'Bball ref'!G106)+1,FIND("/",'Bball ref'!G106)-FIND("(",'Bball ref'!G106)-1))</f>
        <v>4.9000000000000004</v>
      </c>
      <c r="N93" s="64">
        <f>VALUE(MID('Bball ref'!G106,FIND("/",'Bball ref'!G106)+1,FIND(")",'Bball ref'!G106)-FIND("/",'Bball ref'!G106)-1))</f>
        <v>7.9</v>
      </c>
      <c r="O93" s="64">
        <f>VALUE(MID('Bball ref'!H106,FIND("(",'Bball ref'!H106)+1,FIND("/",'Bball ref'!H106)-FIND("(",'Bball ref'!H106)-1))</f>
        <v>1.5</v>
      </c>
      <c r="P93" s="64">
        <f>VALUE(MID('Bball ref'!H106,FIND("/",'Bball ref'!H106)+1,FIND(")",'Bball ref'!H106)-FIND("/",'Bball ref'!H106)-1))</f>
        <v>2.2999999999999998</v>
      </c>
      <c r="Q93" s="64">
        <f>(D93-Math!B$14)/Math!B$15</f>
        <v>2.6368771130612512</v>
      </c>
      <c r="R93" s="64">
        <f>(E93-Math!C$14)/Math!C$15</f>
        <v>-1.5776773292171011</v>
      </c>
      <c r="S93" s="64">
        <f>(F93-Math!D$14)/Math!D$15</f>
        <v>-1.5708580355267823</v>
      </c>
      <c r="T93" s="64">
        <f>(G93-Math!E$14)/Math!E$15</f>
        <v>0.58696853497975554</v>
      </c>
      <c r="U93" s="64">
        <f>(H93-Math!F$14)/Math!F$15</f>
        <v>-1.246272829965652</v>
      </c>
      <c r="V93" s="64">
        <f>(I93-Math!G$14)/Math!G$15</f>
        <v>-0.97619316325498995</v>
      </c>
      <c r="W93" s="64">
        <f>(J93-Math!H$14)/Math!H$15</f>
        <v>2.2253550481986615</v>
      </c>
      <c r="X93" s="64">
        <f>(-1)*(K93-Math!I$14)/Math!I$15</f>
        <v>0.3373959939396553</v>
      </c>
      <c r="Y93" s="64">
        <f>(L93-Math!J$14)/Math!J$15</f>
        <v>-0.79257735647099414</v>
      </c>
    </row>
    <row r="94" spans="1:25">
      <c r="A94" s="64" t="str">
        <f>IF((LEN('Bball ref'!B107)-LEN(SUBSTITUTE('Bball ref'!B107," ","")))&lt;2,'Bball ref'!B107,LEFT('Bball ref'!B107,FIND(" ",'Bball ref'!B107,FIND(" ",'Bball ref'!B107)+1)-1))</f>
        <v>Aaron Gordon</v>
      </c>
      <c r="B94" s="64">
        <f>'Bball ref'!A107</f>
        <v>93</v>
      </c>
      <c r="C94" s="64">
        <f>'Bball ref'!E107</f>
        <v>78</v>
      </c>
      <c r="D94" s="64">
        <f>VALUE(LEFT('Bball ref'!G107,FIND("(",'Bball ref'!G107)-1))</f>
        <v>0.46</v>
      </c>
      <c r="E94" s="64">
        <f>VALUE(LEFT('Bball ref'!H107,(FIND("(",'Bball ref'!H107)-1)))</f>
        <v>0.75</v>
      </c>
      <c r="F94" s="64">
        <f>'Bball ref'!I107</f>
        <v>1.6</v>
      </c>
      <c r="G94" s="64">
        <f>'Bball ref'!K107</f>
        <v>7.4</v>
      </c>
      <c r="H94" s="64">
        <f>'Bball ref'!L107</f>
        <v>3.5</v>
      </c>
      <c r="I94" s="64">
        <f>'Bball ref'!M107</f>
        <v>0.8</v>
      </c>
      <c r="J94" s="64">
        <f>'Bball ref'!N107</f>
        <v>0.8</v>
      </c>
      <c r="K94" s="64">
        <f>'Bball ref'!O107</f>
        <v>2</v>
      </c>
      <c r="L94" s="64">
        <f>'Bball ref'!J107</f>
        <v>16.100000000000001</v>
      </c>
      <c r="M94" s="64">
        <f>VALUE(MID('Bball ref'!G107,FIND("(",'Bball ref'!G107)+1,FIND("/",'Bball ref'!G107)-FIND("(",'Bball ref'!G107)-1))</f>
        <v>6.1</v>
      </c>
      <c r="N94" s="64">
        <f>VALUE(MID('Bball ref'!G107,FIND("/",'Bball ref'!G107)+1,FIND(")",'Bball ref'!G107)-FIND("/",'Bball ref'!G107)-1))</f>
        <v>13.3</v>
      </c>
      <c r="O94" s="64">
        <f>VALUE(MID('Bball ref'!H107,FIND("(",'Bball ref'!H107)+1,FIND("/",'Bball ref'!H107)-FIND("(",'Bball ref'!H107)-1))</f>
        <v>2.4</v>
      </c>
      <c r="P94" s="64">
        <f>VALUE(MID('Bball ref'!H107,FIND("/",'Bball ref'!H107)+1,FIND(")",'Bball ref'!H107)-FIND("/",'Bball ref'!H107)-1))</f>
        <v>3.2</v>
      </c>
      <c r="Q94" s="64">
        <f>(D94-Math!B$14)/Math!B$15</f>
        <v>-0.3207137603337713</v>
      </c>
      <c r="R94" s="64">
        <f>(E94-Math!C$14)/Math!C$15</f>
        <v>-0.3659435894190205</v>
      </c>
      <c r="S94" s="64">
        <f>(F94-Math!D$14)/Math!D$15</f>
        <v>0.15535958593122062</v>
      </c>
      <c r="T94" s="64">
        <f>(G94-Math!E$14)/Math!E$15</f>
        <v>0.58696853497975554</v>
      </c>
      <c r="U94" s="64">
        <f>(H94-Math!F$14)/Math!F$15</f>
        <v>0.10809893131720544</v>
      </c>
      <c r="V94" s="64">
        <f>(I94-Math!G$14)/Math!G$15</f>
        <v>-0.44852118311715766</v>
      </c>
      <c r="W94" s="64">
        <f>(J94-Math!H$14)/Math!H$15</f>
        <v>0.20063167928342035</v>
      </c>
      <c r="X94" s="64">
        <f>(-1)*(K94-Math!I$14)/Math!I$15</f>
        <v>-0.33337138963818985</v>
      </c>
      <c r="Y94" s="64">
        <f>(L94-Math!J$14)/Math!J$15</f>
        <v>0.16982368351402308</v>
      </c>
    </row>
    <row r="95" spans="1:25">
      <c r="A95" s="64" t="str">
        <f>IF((LEN('Bball ref'!B108)-LEN(SUBSTITUTE('Bball ref'!B108," ","")))&lt;2,'Bball ref'!B108,LEFT('Bball ref'!B108,FIND(" ",'Bball ref'!B108,FIND(" ",'Bball ref'!B108)+1)-1))</f>
        <v>Caris LeVert</v>
      </c>
      <c r="B95" s="64">
        <f>'Bball ref'!A108</f>
        <v>94</v>
      </c>
      <c r="C95" s="64">
        <f>'Bball ref'!E108</f>
        <v>68</v>
      </c>
      <c r="D95" s="64">
        <f>VALUE(LEFT('Bball ref'!G108,FIND("(",'Bball ref'!G108)-1))</f>
        <v>0.45</v>
      </c>
      <c r="E95" s="64">
        <f>VALUE(LEFT('Bball ref'!H108,(FIND("(",'Bball ref'!H108)-1)))</f>
        <v>0.71</v>
      </c>
      <c r="F95" s="64">
        <f>'Bball ref'!I108</f>
        <v>1.5</v>
      </c>
      <c r="G95" s="64">
        <f>'Bball ref'!K108</f>
        <v>4.5</v>
      </c>
      <c r="H95" s="64">
        <f>'Bball ref'!L108</f>
        <v>4.5999999999999996</v>
      </c>
      <c r="I95" s="64">
        <f>'Bball ref'!M108</f>
        <v>1.3</v>
      </c>
      <c r="J95" s="64">
        <f>'Bball ref'!N108</f>
        <v>0.6</v>
      </c>
      <c r="K95" s="64">
        <f>'Bball ref'!O108</f>
        <v>1.9</v>
      </c>
      <c r="L95" s="64">
        <f>'Bball ref'!J108</f>
        <v>17.399999999999999</v>
      </c>
      <c r="M95" s="64">
        <f>VALUE(MID('Bball ref'!G108,FIND("(",'Bball ref'!G108)+1,FIND("/",'Bball ref'!G108)-FIND("(",'Bball ref'!G108)-1))</f>
        <v>6.7</v>
      </c>
      <c r="N95" s="64">
        <f>VALUE(MID('Bball ref'!G108,FIND("/",'Bball ref'!G108)+1,FIND(")",'Bball ref'!G108)-FIND("/",'Bball ref'!G108)-1))</f>
        <v>14.9</v>
      </c>
      <c r="O95" s="64">
        <f>VALUE(MID('Bball ref'!H108,FIND("(",'Bball ref'!H108)+1,FIND("/",'Bball ref'!H108)-FIND("(",'Bball ref'!H108)-1))</f>
        <v>2.5</v>
      </c>
      <c r="P95" s="64">
        <f>VALUE(MID('Bball ref'!H108,FIND("/",'Bball ref'!H108)+1,FIND(")",'Bball ref'!H108)-FIND("/",'Bball ref'!H108)-1))</f>
        <v>3.5</v>
      </c>
      <c r="Q95" s="64">
        <f>(D95-Math!B$14)/Math!B$15</f>
        <v>-0.50556318992096039</v>
      </c>
      <c r="R95" s="64">
        <f>(E95-Math!C$14)/Math!C$15</f>
        <v>-0.85063708533825322</v>
      </c>
      <c r="S95" s="64">
        <f>(F95-Math!D$14)/Math!D$15</f>
        <v>4.7470984590095355E-2</v>
      </c>
      <c r="T95" s="64">
        <f>(G95-Math!E$14)/Math!E$15</f>
        <v>-0.514428263105843</v>
      </c>
      <c r="U95" s="64">
        <f>(H95-Math!F$14)/Math!F$15</f>
        <v>0.65988001924725836</v>
      </c>
      <c r="V95" s="64">
        <f>(I95-Math!G$14)/Math!G$15</f>
        <v>0.87065876722742253</v>
      </c>
      <c r="W95" s="64">
        <f>(J95-Math!H$14)/Math!H$15</f>
        <v>-0.16749984233753273</v>
      </c>
      <c r="X95" s="64">
        <f>(-1)*(K95-Math!I$14)/Math!I$15</f>
        <v>-0.19921791292262073</v>
      </c>
      <c r="Y95" s="64">
        <f>(L95-Math!J$14)/Math!J$15</f>
        <v>0.43047396517663128</v>
      </c>
    </row>
    <row r="96" spans="1:25">
      <c r="A96" s="64" t="str">
        <f>IF((LEN('Bball ref'!B109)-LEN(SUBSTITUTE('Bball ref'!B109," ","")))&lt;2,'Bball ref'!B109,LEFT('Bball ref'!B109,FIND(" ",'Bball ref'!B109,FIND(" ",'Bball ref'!B109)+1)-1))</f>
        <v>Cody Zeller</v>
      </c>
      <c r="B96" s="64">
        <f>'Bball ref'!A109</f>
        <v>95</v>
      </c>
      <c r="C96" s="64">
        <f>'Bball ref'!E109</f>
        <v>64</v>
      </c>
      <c r="D96" s="64">
        <f>VALUE(LEFT('Bball ref'!G109,FIND("(",'Bball ref'!G109)-1))</f>
        <v>0.56000000000000005</v>
      </c>
      <c r="E96" s="64">
        <f>VALUE(LEFT('Bball ref'!H109,(FIND("(",'Bball ref'!H109)-1)))</f>
        <v>0.81</v>
      </c>
      <c r="F96" s="64">
        <f>'Bball ref'!I109</f>
        <v>0.1</v>
      </c>
      <c r="G96" s="64">
        <f>'Bball ref'!K109</f>
        <v>7.2</v>
      </c>
      <c r="H96" s="64">
        <f>'Bball ref'!L109</f>
        <v>2.2999999999999998</v>
      </c>
      <c r="I96" s="64">
        <f>'Bball ref'!M109</f>
        <v>0.8</v>
      </c>
      <c r="J96" s="64">
        <f>'Bball ref'!N109</f>
        <v>1</v>
      </c>
      <c r="K96" s="64">
        <f>'Bball ref'!O109</f>
        <v>1.2</v>
      </c>
      <c r="L96" s="64">
        <f>'Bball ref'!J109</f>
        <v>11</v>
      </c>
      <c r="M96" s="64">
        <f>VALUE(MID('Bball ref'!G109,FIND("(",'Bball ref'!G109)+1,FIND("/",'Bball ref'!G109)-FIND("(",'Bball ref'!G109)-1))</f>
        <v>4.2</v>
      </c>
      <c r="N96" s="64">
        <f>VALUE(MID('Bball ref'!G109,FIND("/",'Bball ref'!G109)+1,FIND(")",'Bball ref'!G109)-FIND("/",'Bball ref'!G109)-1))</f>
        <v>7.5</v>
      </c>
      <c r="O96" s="64">
        <f>VALUE(MID('Bball ref'!H109,FIND("(",'Bball ref'!H109)+1,FIND("/",'Bball ref'!H109)-FIND("(",'Bball ref'!H109)-1))</f>
        <v>2.5</v>
      </c>
      <c r="P96" s="64">
        <f>VALUE(MID('Bball ref'!H109,FIND("/",'Bball ref'!H109)+1,FIND(")",'Bball ref'!H109)-FIND("/",'Bball ref'!H109)-1))</f>
        <v>3.1</v>
      </c>
      <c r="Q96" s="64">
        <f>(D96-Math!B$14)/Math!B$15</f>
        <v>1.5277805355381187</v>
      </c>
      <c r="R96" s="64">
        <f>(E96-Math!C$14)/Math!C$15</f>
        <v>0.36109665445982869</v>
      </c>
      <c r="S96" s="64">
        <f>(F96-Math!D$14)/Math!D$15</f>
        <v>-1.4629694341856569</v>
      </c>
      <c r="T96" s="64">
        <f>(G96-Math!E$14)/Math!E$15</f>
        <v>0.51101013511178317</v>
      </c>
      <c r="U96" s="64">
        <f>(H96-Math!F$14)/Math!F$15</f>
        <v>-0.49384407369739808</v>
      </c>
      <c r="V96" s="64">
        <f>(I96-Math!G$14)/Math!G$15</f>
        <v>-0.44852118311715766</v>
      </c>
      <c r="W96" s="64">
        <f>(J96-Math!H$14)/Math!H$15</f>
        <v>0.56876320090437327</v>
      </c>
      <c r="X96" s="64">
        <f>(-1)*(K96-Math!I$14)/Math!I$15</f>
        <v>0.73985642408636254</v>
      </c>
      <c r="Y96" s="64">
        <f>(L96-Math!J$14)/Math!J$15</f>
        <v>-0.85272742147005787</v>
      </c>
    </row>
    <row r="97" spans="1:25">
      <c r="A97" s="64" t="str">
        <f>IF((LEN('Bball ref'!B110)-LEN(SUBSTITUTE('Bball ref'!B110," ","")))&lt;2,'Bball ref'!B110,LEFT('Bball ref'!B110,FIND(" ",'Bball ref'!B110,FIND(" ",'Bball ref'!B110)+1)-1))</f>
        <v>Steven Adams</v>
      </c>
      <c r="B97" s="64">
        <f>'Bball ref'!A110</f>
        <v>96</v>
      </c>
      <c r="C97" s="64">
        <f>'Bball ref'!E110</f>
        <v>78</v>
      </c>
      <c r="D97" s="64">
        <f>VALUE(LEFT('Bball ref'!G110,FIND("(",'Bball ref'!G110)-1))</f>
        <v>0.57999999999999996</v>
      </c>
      <c r="E97" s="64">
        <f>VALUE(LEFT('Bball ref'!H110,(FIND("(",'Bball ref'!H110)-1)))</f>
        <v>0.51</v>
      </c>
      <c r="F97" s="64">
        <f>'Bball ref'!I110</f>
        <v>0</v>
      </c>
      <c r="G97" s="64">
        <f>'Bball ref'!K110</f>
        <v>11.3</v>
      </c>
      <c r="H97" s="64">
        <f>'Bball ref'!L110</f>
        <v>1.7</v>
      </c>
      <c r="I97" s="64">
        <f>'Bball ref'!M110</f>
        <v>1.5</v>
      </c>
      <c r="J97" s="64">
        <f>'Bball ref'!N110</f>
        <v>1</v>
      </c>
      <c r="K97" s="64">
        <f>'Bball ref'!O110</f>
        <v>1.7</v>
      </c>
      <c r="L97" s="64">
        <f>'Bball ref'!J110</f>
        <v>14.4</v>
      </c>
      <c r="M97" s="64">
        <f>VALUE(MID('Bball ref'!G110,FIND("(",'Bball ref'!G110)+1,FIND("/",'Bball ref'!G110)-FIND("(",'Bball ref'!G110)-1))</f>
        <v>6.3</v>
      </c>
      <c r="N97" s="64">
        <f>VALUE(MID('Bball ref'!G110,FIND("/",'Bball ref'!G110)+1,FIND(")",'Bball ref'!G110)-FIND("/",'Bball ref'!G110)-1))</f>
        <v>10.9</v>
      </c>
      <c r="O97" s="64">
        <f>VALUE(MID('Bball ref'!H110,FIND("(",'Bball ref'!H110)+1,FIND("/",'Bball ref'!H110)-FIND("(",'Bball ref'!H110)-1))</f>
        <v>1.9</v>
      </c>
      <c r="P97" s="64">
        <f>VALUE(MID('Bball ref'!H110,FIND("/",'Bball ref'!H110)+1,FIND(")",'Bball ref'!H110)-FIND("/",'Bball ref'!H110)-1))</f>
        <v>3.7</v>
      </c>
      <c r="Q97" s="64">
        <f>(D97-Math!B$14)/Math!B$15</f>
        <v>1.8974793947124946</v>
      </c>
      <c r="R97" s="64">
        <f>(E97-Math!C$14)/Math!C$15</f>
        <v>-3.2741045649344143</v>
      </c>
      <c r="S97" s="64">
        <f>(F97-Math!D$14)/Math!D$15</f>
        <v>-1.5708580355267823</v>
      </c>
      <c r="T97" s="64">
        <f>(G97-Math!E$14)/Math!E$15</f>
        <v>2.0681573324052156</v>
      </c>
      <c r="U97" s="64">
        <f>(H97-Math!F$14)/Math!F$15</f>
        <v>-0.79481557620469967</v>
      </c>
      <c r="V97" s="64">
        <f>(I97-Math!G$14)/Math!G$15</f>
        <v>1.3983307473652546</v>
      </c>
      <c r="W97" s="64">
        <f>(J97-Math!H$14)/Math!H$15</f>
        <v>0.56876320090437327</v>
      </c>
      <c r="X97" s="64">
        <f>(-1)*(K97-Math!I$14)/Math!I$15</f>
        <v>6.9089040508517302E-2</v>
      </c>
      <c r="Y97" s="64">
        <f>(L97-Math!J$14)/Math!J$15</f>
        <v>-0.17102668481400404</v>
      </c>
    </row>
    <row r="98" spans="1:25">
      <c r="A98" s="64" t="str">
        <f>IF((LEN('Bball ref'!B112)-LEN(SUBSTITUTE('Bball ref'!B112," ","")))&lt;2,'Bball ref'!B112,LEFT('Bball ref'!B112,FIND(" ",'Bball ref'!B112,FIND(" ",'Bball ref'!B112)+1)-1))</f>
        <v>Danny Green</v>
      </c>
      <c r="B98" s="64">
        <f>'Bball ref'!A112</f>
        <v>97</v>
      </c>
      <c r="C98" s="64">
        <f>'Bball ref'!E112</f>
        <v>74</v>
      </c>
      <c r="D98" s="64">
        <f>VALUE(LEFT('Bball ref'!G112,FIND("(",'Bball ref'!G112)-1))</f>
        <v>0.46</v>
      </c>
      <c r="E98" s="64">
        <f>VALUE(LEFT('Bball ref'!H112,(FIND("(",'Bball ref'!H112)-1)))</f>
        <v>0.83</v>
      </c>
      <c r="F98" s="64">
        <f>'Bball ref'!I112</f>
        <v>2.7</v>
      </c>
      <c r="G98" s="64">
        <f>'Bball ref'!K112</f>
        <v>4.2</v>
      </c>
      <c r="H98" s="64">
        <f>'Bball ref'!L112</f>
        <v>1.7</v>
      </c>
      <c r="I98" s="64">
        <f>'Bball ref'!M112</f>
        <v>0.9</v>
      </c>
      <c r="J98" s="64">
        <f>'Bball ref'!N112</f>
        <v>0.7</v>
      </c>
      <c r="K98" s="64">
        <f>'Bball ref'!O112</f>
        <v>0.9</v>
      </c>
      <c r="L98" s="64">
        <f>'Bball ref'!J112</f>
        <v>11.1</v>
      </c>
      <c r="M98" s="64">
        <f>VALUE(MID('Bball ref'!G112,FIND("(",'Bball ref'!G112)+1,FIND("/",'Bball ref'!G112)-FIND("(",'Bball ref'!G112)-1))</f>
        <v>3.9</v>
      </c>
      <c r="N98" s="64">
        <f>VALUE(MID('Bball ref'!G112,FIND("/",'Bball ref'!G112)+1,FIND(")",'Bball ref'!G112)-FIND("/",'Bball ref'!G112)-1))</f>
        <v>8.4</v>
      </c>
      <c r="O98" s="64">
        <f>VALUE(MID('Bball ref'!H112,FIND("(",'Bball ref'!H112)+1,FIND("/",'Bball ref'!H112)-FIND("(",'Bball ref'!H112)-1))</f>
        <v>0.5</v>
      </c>
      <c r="P98" s="64">
        <f>VALUE(MID('Bball ref'!H112,FIND("/",'Bball ref'!H112)+1,FIND(")",'Bball ref'!H112)-FIND("/",'Bball ref'!H112)-1))</f>
        <v>0.6</v>
      </c>
      <c r="Q98" s="64">
        <f>(D98-Math!B$14)/Math!B$15</f>
        <v>-0.3207137603337713</v>
      </c>
      <c r="R98" s="64">
        <f>(E98-Math!C$14)/Math!C$15</f>
        <v>0.60344340241944372</v>
      </c>
      <c r="S98" s="64">
        <f>(F98-Math!D$14)/Math!D$15</f>
        <v>1.3421342006835977</v>
      </c>
      <c r="T98" s="64">
        <f>(G98-Math!E$14)/Math!E$15</f>
        <v>-0.62836586290780139</v>
      </c>
      <c r="U98" s="64">
        <f>(H98-Math!F$14)/Math!F$15</f>
        <v>-0.79481557620469967</v>
      </c>
      <c r="V98" s="64">
        <f>(I98-Math!G$14)/Math!G$15</f>
        <v>-0.18468519304824169</v>
      </c>
      <c r="W98" s="64">
        <f>(J98-Math!H$14)/Math!H$15</f>
        <v>1.6565918472943714E-2</v>
      </c>
      <c r="X98" s="64">
        <f>(-1)*(K98-Math!I$14)/Math!I$15</f>
        <v>1.1423168542330695</v>
      </c>
      <c r="Y98" s="64">
        <f>(L98-Math!J$14)/Math!J$15</f>
        <v>-0.83267739980370337</v>
      </c>
    </row>
    <row r="99" spans="1:25">
      <c r="A99" s="64" t="str">
        <f>IF((LEN('Bball ref'!B113)-LEN(SUBSTITUTE('Bball ref'!B113," ","")))&lt;2,'Bball ref'!B113,LEFT('Bball ref'!B113,FIND(" ",'Bball ref'!B113,FIND(" ",'Bball ref'!B113)+1)-1))</f>
        <v>Mikal Bridges</v>
      </c>
      <c r="B99" s="64">
        <f>'Bball ref'!A113</f>
        <v>98</v>
      </c>
      <c r="C99" s="64">
        <f>'Bball ref'!E113</f>
        <v>78</v>
      </c>
      <c r="D99" s="64">
        <f>VALUE(LEFT('Bball ref'!G113,FIND("(",'Bball ref'!G113)-1))</f>
        <v>0.44</v>
      </c>
      <c r="E99" s="64">
        <f>VALUE(LEFT('Bball ref'!H113,(FIND("(",'Bball ref'!H113)-1)))</f>
        <v>0.81</v>
      </c>
      <c r="F99" s="64">
        <f>'Bball ref'!I113</f>
        <v>1.5</v>
      </c>
      <c r="G99" s="64">
        <f>'Bball ref'!K113</f>
        <v>3.7</v>
      </c>
      <c r="H99" s="64">
        <f>'Bball ref'!L113</f>
        <v>2.2999999999999998</v>
      </c>
      <c r="I99" s="64">
        <f>'Bball ref'!M113</f>
        <v>1.7</v>
      </c>
      <c r="J99" s="64">
        <f>'Bball ref'!N113</f>
        <v>0.6</v>
      </c>
      <c r="K99" s="64">
        <f>'Bball ref'!O113</f>
        <v>0.9</v>
      </c>
      <c r="L99" s="64">
        <f>'Bball ref'!J113</f>
        <v>10.1</v>
      </c>
      <c r="M99" s="64">
        <f>VALUE(MID('Bball ref'!G113,FIND("(",'Bball ref'!G113)+1,FIND("/",'Bball ref'!G113)-FIND("(",'Bball ref'!G113)-1))</f>
        <v>3.6</v>
      </c>
      <c r="N99" s="64">
        <f>VALUE(MID('Bball ref'!G113,FIND("/",'Bball ref'!G113)+1,FIND(")",'Bball ref'!G113)-FIND("/",'Bball ref'!G113)-1))</f>
        <v>8.1</v>
      </c>
      <c r="O99" s="64">
        <f>VALUE(MID('Bball ref'!H113,FIND("(",'Bball ref'!H113)+1,FIND("/",'Bball ref'!H113)-FIND("(",'Bball ref'!H113)-1))</f>
        <v>1.3</v>
      </c>
      <c r="P99" s="64">
        <f>VALUE(MID('Bball ref'!H113,FIND("/",'Bball ref'!H113)+1,FIND(")",'Bball ref'!H113)-FIND("/",'Bball ref'!H113)-1))</f>
        <v>1.6</v>
      </c>
      <c r="Q99" s="64">
        <f>(D99-Math!B$14)/Math!B$15</f>
        <v>-0.69041261950814947</v>
      </c>
      <c r="R99" s="64">
        <f>(E99-Math!C$14)/Math!C$15</f>
        <v>0.36109665445982869</v>
      </c>
      <c r="S99" s="64">
        <f>(F99-Math!D$14)/Math!D$15</f>
        <v>4.7470984590095355E-2</v>
      </c>
      <c r="T99" s="64">
        <f>(G99-Math!E$14)/Math!E$15</f>
        <v>-0.81826186257773215</v>
      </c>
      <c r="U99" s="64">
        <f>(H99-Math!F$14)/Math!F$15</f>
        <v>-0.49384407369739808</v>
      </c>
      <c r="V99" s="64">
        <f>(I99-Math!G$14)/Math!G$15</f>
        <v>1.9260027275030867</v>
      </c>
      <c r="W99" s="64">
        <f>(J99-Math!H$14)/Math!H$15</f>
        <v>-0.16749984233753273</v>
      </c>
      <c r="X99" s="64">
        <f>(-1)*(K99-Math!I$14)/Math!I$15</f>
        <v>1.1423168542330695</v>
      </c>
      <c r="Y99" s="64">
        <f>(L99-Math!J$14)/Math!J$15</f>
        <v>-1.0331776164672486</v>
      </c>
    </row>
    <row r="100" spans="1:25">
      <c r="A100" s="64" t="str">
        <f>IF((LEN('Bball ref'!B114)-LEN(SUBSTITUTE('Bball ref'!B114," ","")))&lt;2,'Bball ref'!B114,LEFT('Bball ref'!B114,FIND(" ",'Bball ref'!B114,FIND(" ",'Bball ref'!B114)+1)-1))</f>
        <v>Marc Gasol</v>
      </c>
      <c r="B100" s="64">
        <f>'Bball ref'!A114</f>
        <v>99</v>
      </c>
      <c r="C100" s="64">
        <f>'Bball ref'!E114</f>
        <v>74</v>
      </c>
      <c r="D100" s="64">
        <f>VALUE(LEFT('Bball ref'!G114,FIND("(",'Bball ref'!G114)-1))</f>
        <v>0.45</v>
      </c>
      <c r="E100" s="64">
        <f>VALUE(LEFT('Bball ref'!H114,(FIND("(",'Bball ref'!H114)-1)))</f>
        <v>0.78</v>
      </c>
      <c r="F100" s="64">
        <f>'Bball ref'!I114</f>
        <v>1.1000000000000001</v>
      </c>
      <c r="G100" s="64">
        <f>'Bball ref'!K114</f>
        <v>6.7</v>
      </c>
      <c r="H100" s="64">
        <f>'Bball ref'!L114</f>
        <v>3.8</v>
      </c>
      <c r="I100" s="64">
        <f>'Bball ref'!M114</f>
        <v>0.9</v>
      </c>
      <c r="J100" s="64">
        <f>'Bball ref'!N114</f>
        <v>0.9</v>
      </c>
      <c r="K100" s="64">
        <f>'Bball ref'!O114</f>
        <v>1</v>
      </c>
      <c r="L100" s="64">
        <f>'Bball ref'!J114</f>
        <v>11.6</v>
      </c>
      <c r="M100" s="64">
        <f>VALUE(MID('Bball ref'!G114,FIND("(",'Bball ref'!G114)+1,FIND("/",'Bball ref'!G114)-FIND("(",'Bball ref'!G114)-1))</f>
        <v>4.2</v>
      </c>
      <c r="N100" s="64">
        <f>VALUE(MID('Bball ref'!G114,FIND("/",'Bball ref'!G114)+1,FIND(")",'Bball ref'!G114)-FIND("/",'Bball ref'!G114)-1))</f>
        <v>9.4</v>
      </c>
      <c r="O100" s="64">
        <f>VALUE(MID('Bball ref'!H114,FIND("(",'Bball ref'!H114)+1,FIND("/",'Bball ref'!H114)-FIND("(",'Bball ref'!H114)-1))</f>
        <v>2.1</v>
      </c>
      <c r="P100" s="64">
        <f>VALUE(MID('Bball ref'!H114,FIND("/",'Bball ref'!H114)+1,FIND(")",'Bball ref'!H114)-FIND("/",'Bball ref'!H114)-1))</f>
        <v>2.7</v>
      </c>
      <c r="Q100" s="64">
        <f>(D100-Math!B$14)/Math!B$15</f>
        <v>-0.50556318992096039</v>
      </c>
      <c r="R100" s="64">
        <f>(E100-Math!C$14)/Math!C$15</f>
        <v>-2.4234674795958946E-3</v>
      </c>
      <c r="S100" s="64">
        <f>(F100-Math!D$14)/Math!D$15</f>
        <v>-0.38408342077440522</v>
      </c>
      <c r="T100" s="64">
        <f>(G100-Math!E$14)/Math!E$15</f>
        <v>0.32111413544185241</v>
      </c>
      <c r="U100" s="64">
        <f>(H100-Math!F$14)/Math!F$15</f>
        <v>0.25858468257085621</v>
      </c>
      <c r="V100" s="64">
        <f>(I100-Math!G$14)/Math!G$15</f>
        <v>-0.18468519304824169</v>
      </c>
      <c r="W100" s="64">
        <f>(J100-Math!H$14)/Math!H$15</f>
        <v>0.38469744009389678</v>
      </c>
      <c r="X100" s="64">
        <f>(-1)*(K100-Math!I$14)/Math!I$15</f>
        <v>1.0081633775175005</v>
      </c>
      <c r="Y100" s="64">
        <f>(L100-Math!J$14)/Math!J$15</f>
        <v>-0.73242729147193075</v>
      </c>
    </row>
    <row r="101" spans="1:25">
      <c r="A101" s="64" t="str">
        <f>IF((LEN('Bball ref'!B115)-LEN(SUBSTITUTE('Bball ref'!B115," ","")))&lt;2,'Bball ref'!B115,LEFT('Bball ref'!B115,FIND(" ",'Bball ref'!B115,FIND(" ",'Bball ref'!B115)+1)-1))</f>
        <v>Zach Collins</v>
      </c>
      <c r="B101" s="64">
        <f>'Bball ref'!A115</f>
        <v>100</v>
      </c>
      <c r="C101" s="64">
        <f>'Bball ref'!E115</f>
        <v>74</v>
      </c>
      <c r="D101" s="64">
        <f>VALUE(LEFT('Bball ref'!G115,FIND("(",'Bball ref'!G115)-1))</f>
        <v>0.47</v>
      </c>
      <c r="E101" s="64">
        <f>VALUE(LEFT('Bball ref'!H115,(FIND("(",'Bball ref'!H115)-1)))</f>
        <v>0.75</v>
      </c>
      <c r="F101" s="64">
        <f>'Bball ref'!I115</f>
        <v>1.2</v>
      </c>
      <c r="G101" s="64">
        <f>'Bball ref'!K115</f>
        <v>7.3</v>
      </c>
      <c r="H101" s="64">
        <f>'Bball ref'!L115</f>
        <v>1.6</v>
      </c>
      <c r="I101" s="64">
        <f>'Bball ref'!M115</f>
        <v>0.5</v>
      </c>
      <c r="J101" s="64">
        <f>'Bball ref'!N115</f>
        <v>1.6</v>
      </c>
      <c r="K101" s="64">
        <f>'Bball ref'!O115</f>
        <v>1.6</v>
      </c>
      <c r="L101" s="64">
        <f>'Bball ref'!J115</f>
        <v>12.7</v>
      </c>
      <c r="M101" s="64">
        <f>VALUE(MID('Bball ref'!G115,FIND("(",'Bball ref'!G115)+1,FIND("/",'Bball ref'!G115)-FIND("(",'Bball ref'!G115)-1))</f>
        <v>4.7</v>
      </c>
      <c r="N101" s="64">
        <f>VALUE(MID('Bball ref'!G115,FIND("/",'Bball ref'!G115)+1,FIND(")",'Bball ref'!G115)-FIND("/",'Bball ref'!G115)-1))</f>
        <v>10</v>
      </c>
      <c r="O101" s="64">
        <f>VALUE(MID('Bball ref'!H115,FIND("(",'Bball ref'!H115)+1,FIND("/",'Bball ref'!H115)-FIND("(",'Bball ref'!H115)-1))</f>
        <v>2.1</v>
      </c>
      <c r="P101" s="64">
        <f>VALUE(MID('Bball ref'!H115,FIND("/",'Bball ref'!H115)+1,FIND(")",'Bball ref'!H115)-FIND("/",'Bball ref'!H115)-1))</f>
        <v>2.8</v>
      </c>
      <c r="Q101" s="64">
        <f>(D101-Math!B$14)/Math!B$15</f>
        <v>-0.13586433074658327</v>
      </c>
      <c r="R101" s="64">
        <f>(E101-Math!C$14)/Math!C$15</f>
        <v>-0.3659435894190205</v>
      </c>
      <c r="S101" s="64">
        <f>(F101-Math!D$14)/Math!D$15</f>
        <v>-0.27619481943328023</v>
      </c>
      <c r="T101" s="64">
        <f>(G101-Math!E$14)/Math!E$15</f>
        <v>0.54898933504576919</v>
      </c>
      <c r="U101" s="64">
        <f>(H101-Math!F$14)/Math!F$15</f>
        <v>-0.84497749328924998</v>
      </c>
      <c r="V101" s="64">
        <f>(I101-Math!G$14)/Math!G$15</f>
        <v>-1.2400291533239061</v>
      </c>
      <c r="W101" s="64">
        <f>(J101-Math!H$14)/Math!H$15</f>
        <v>1.6731577657672323</v>
      </c>
      <c r="X101" s="64">
        <f>(-1)*(K101-Math!I$14)/Math!I$15</f>
        <v>0.20324251722408615</v>
      </c>
      <c r="Y101" s="64">
        <f>(L101-Math!J$14)/Math!J$15</f>
        <v>-0.51187705314203114</v>
      </c>
    </row>
    <row r="102" spans="1:25">
      <c r="A102" s="64" t="str">
        <f>IF((LEN('Bball ref'!B116)-LEN(SUBSTITUTE('Bball ref'!B116," ","")))&lt;2,'Bball ref'!B116,LEFT('Bball ref'!B116,FIND(" ",'Bball ref'!B116,FIND(" ",'Bball ref'!B116)+1)-1))</f>
        <v>Enes Kanter</v>
      </c>
      <c r="B102" s="64">
        <f>'Bball ref'!A116</f>
        <v>101</v>
      </c>
      <c r="C102" s="64">
        <f>'Bball ref'!E116</f>
        <v>70</v>
      </c>
      <c r="D102" s="64">
        <f>VALUE(LEFT('Bball ref'!G116,FIND("(",'Bball ref'!G116)-1))</f>
        <v>0.55000000000000004</v>
      </c>
      <c r="E102" s="64">
        <f>VALUE(LEFT('Bball ref'!H116,(FIND("(",'Bball ref'!H116)-1)))</f>
        <v>0.81</v>
      </c>
      <c r="F102" s="64">
        <f>'Bball ref'!I116</f>
        <v>0.1</v>
      </c>
      <c r="G102" s="64">
        <f>'Bball ref'!K116</f>
        <v>9.6</v>
      </c>
      <c r="H102" s="64">
        <f>'Bball ref'!L116</f>
        <v>1.9</v>
      </c>
      <c r="I102" s="64">
        <f>'Bball ref'!M116</f>
        <v>0.5</v>
      </c>
      <c r="J102" s="64">
        <f>'Bball ref'!N116</f>
        <v>0.4</v>
      </c>
      <c r="K102" s="64">
        <f>'Bball ref'!O116</f>
        <v>1.9</v>
      </c>
      <c r="L102" s="64">
        <f>'Bball ref'!J116</f>
        <v>13.9</v>
      </c>
      <c r="M102" s="64">
        <f>VALUE(MID('Bball ref'!G116,FIND("(",'Bball ref'!G116)+1,FIND("/",'Bball ref'!G116)-FIND("(",'Bball ref'!G116)-1))</f>
        <v>5.6</v>
      </c>
      <c r="N102" s="64">
        <f>VALUE(MID('Bball ref'!G116,FIND("/",'Bball ref'!G116)+1,FIND(")",'Bball ref'!G116)-FIND("/",'Bball ref'!G116)-1))</f>
        <v>10.199999999999999</v>
      </c>
      <c r="O102" s="64">
        <f>VALUE(MID('Bball ref'!H116,FIND("(",'Bball ref'!H116)+1,FIND("/",'Bball ref'!H116)-FIND("(",'Bball ref'!H116)-1))</f>
        <v>2.6</v>
      </c>
      <c r="P102" s="64">
        <f>VALUE(MID('Bball ref'!H116,FIND("/",'Bball ref'!H116)+1,FIND(")",'Bball ref'!H116)-FIND("/",'Bball ref'!H116)-1))</f>
        <v>3.2</v>
      </c>
      <c r="Q102" s="64">
        <f>(D102-Math!B$14)/Math!B$15</f>
        <v>1.3429311059509295</v>
      </c>
      <c r="R102" s="64">
        <f>(E102-Math!C$14)/Math!C$15</f>
        <v>0.36109665445982869</v>
      </c>
      <c r="S102" s="64">
        <f>(F102-Math!D$14)/Math!D$15</f>
        <v>-1.4629694341856569</v>
      </c>
      <c r="T102" s="64">
        <f>(G102-Math!E$14)/Math!E$15</f>
        <v>1.4225109335274506</v>
      </c>
      <c r="U102" s="64">
        <f>(H102-Math!F$14)/Math!F$15</f>
        <v>-0.69449174203559916</v>
      </c>
      <c r="V102" s="64">
        <f>(I102-Math!G$14)/Math!G$15</f>
        <v>-1.2400291533239061</v>
      </c>
      <c r="W102" s="64">
        <f>(J102-Math!H$14)/Math!H$15</f>
        <v>-0.53563136395848565</v>
      </c>
      <c r="X102" s="64">
        <f>(-1)*(K102-Math!I$14)/Math!I$15</f>
        <v>-0.19921791292262073</v>
      </c>
      <c r="Y102" s="64">
        <f>(L102-Math!J$14)/Math!J$15</f>
        <v>-0.27127679314577663</v>
      </c>
    </row>
    <row r="103" spans="1:25">
      <c r="A103" s="64" t="str">
        <f>IF((LEN('Bball ref'!B117)-LEN(SUBSTITUTE('Bball ref'!B117," ","")))&lt;2,'Bball ref'!B117,LEFT('Bball ref'!B117,FIND(" ",'Bball ref'!B117,FIND(" ",'Bball ref'!B117)+1)-1))</f>
        <v>Jeff Teague</v>
      </c>
      <c r="B103" s="64">
        <f>'Bball ref'!A117</f>
        <v>102</v>
      </c>
      <c r="C103" s="64">
        <f>'Bball ref'!E117</f>
        <v>68</v>
      </c>
      <c r="D103" s="64">
        <f>VALUE(LEFT('Bball ref'!G117,FIND("(",'Bball ref'!G117)-1))</f>
        <v>0.42</v>
      </c>
      <c r="E103" s="64">
        <f>VALUE(LEFT('Bball ref'!H117,(FIND("(",'Bball ref'!H117)-1)))</f>
        <v>0.79</v>
      </c>
      <c r="F103" s="64">
        <f>'Bball ref'!I117</f>
        <v>0.8</v>
      </c>
      <c r="G103" s="64">
        <f>'Bball ref'!K117</f>
        <v>2.6</v>
      </c>
      <c r="H103" s="64">
        <f>'Bball ref'!L117</f>
        <v>8.6</v>
      </c>
      <c r="I103" s="64">
        <f>'Bball ref'!M117</f>
        <v>1</v>
      </c>
      <c r="J103" s="64">
        <f>'Bball ref'!N117</f>
        <v>0.4</v>
      </c>
      <c r="K103" s="64">
        <f>'Bball ref'!O117</f>
        <v>2.2999999999999998</v>
      </c>
      <c r="L103" s="64">
        <f>'Bball ref'!J117</f>
        <v>12.7</v>
      </c>
      <c r="M103" s="64">
        <f>VALUE(MID('Bball ref'!G117,FIND("(",'Bball ref'!G117)+1,FIND("/",'Bball ref'!G117)-FIND("(",'Bball ref'!G117)-1))</f>
        <v>4.4000000000000004</v>
      </c>
      <c r="N103" s="64">
        <f>VALUE(MID('Bball ref'!G117,FIND("/",'Bball ref'!G117)+1,FIND(")",'Bball ref'!G117)-FIND("/",'Bball ref'!G117)-1))</f>
        <v>10.4</v>
      </c>
      <c r="O103" s="64">
        <f>VALUE(MID('Bball ref'!H117,FIND("(",'Bball ref'!H117)+1,FIND("/",'Bball ref'!H117)-FIND("(",'Bball ref'!H117)-1))</f>
        <v>3</v>
      </c>
      <c r="P103" s="64">
        <f>VALUE(MID('Bball ref'!H117,FIND("/",'Bball ref'!H117)+1,FIND(")",'Bball ref'!H117)-FIND("/",'Bball ref'!H117)-1))</f>
        <v>3.8</v>
      </c>
      <c r="Q103" s="64">
        <f>(D103-Math!B$14)/Math!B$15</f>
        <v>-1.0601114786825276</v>
      </c>
      <c r="R103" s="64">
        <f>(E103-Math!C$14)/Math!C$15</f>
        <v>0.11874990650021229</v>
      </c>
      <c r="S103" s="64">
        <f>(F103-Math!D$14)/Math!D$15</f>
        <v>-0.7077492247977808</v>
      </c>
      <c r="T103" s="64">
        <f>(G103-Math!E$14)/Math!E$15</f>
        <v>-1.23603306185158</v>
      </c>
      <c r="U103" s="64">
        <f>(H103-Math!F$14)/Math!F$15</f>
        <v>2.6663567026292694</v>
      </c>
      <c r="V103" s="64">
        <f>(I103-Math!G$14)/Math!G$15</f>
        <v>7.9150797020674304E-2</v>
      </c>
      <c r="W103" s="64">
        <f>(J103-Math!H$14)/Math!H$15</f>
        <v>-0.53563136395848565</v>
      </c>
      <c r="X103" s="64">
        <f>(-1)*(K103-Math!I$14)/Math!I$15</f>
        <v>-0.73583181978489676</v>
      </c>
      <c r="Y103" s="64">
        <f>(L103-Math!J$14)/Math!J$15</f>
        <v>-0.51187705314203114</v>
      </c>
    </row>
    <row r="104" spans="1:25">
      <c r="A104" s="64" t="str">
        <f>IF((LEN('Bball ref'!B118)-LEN(SUBSTITUTE('Bball ref'!B118," ","")))&lt;2,'Bball ref'!B118,LEFT('Bball ref'!B118,FIND(" ",'Bball ref'!B118,FIND(" ",'Bball ref'!B118)+1)-1))</f>
        <v>Kelly Olynyk</v>
      </c>
      <c r="B104" s="64">
        <f>'Bball ref'!A118</f>
        <v>103</v>
      </c>
      <c r="C104" s="64">
        <f>'Bball ref'!E118</f>
        <v>78</v>
      </c>
      <c r="D104" s="64">
        <f>VALUE(LEFT('Bball ref'!G118,FIND("(",'Bball ref'!G118)-1))</f>
        <v>0.47</v>
      </c>
      <c r="E104" s="64">
        <f>VALUE(LEFT('Bball ref'!H118,(FIND("(",'Bball ref'!H118)-1)))</f>
        <v>0.86</v>
      </c>
      <c r="F104" s="64">
        <f>'Bball ref'!I118</f>
        <v>1.7</v>
      </c>
      <c r="G104" s="64">
        <f>'Bball ref'!K118</f>
        <v>5.8</v>
      </c>
      <c r="H104" s="64">
        <f>'Bball ref'!L118</f>
        <v>2.2000000000000002</v>
      </c>
      <c r="I104" s="64">
        <f>'Bball ref'!M118</f>
        <v>0.8</v>
      </c>
      <c r="J104" s="64">
        <f>'Bball ref'!N118</f>
        <v>0.6</v>
      </c>
      <c r="K104" s="64">
        <f>'Bball ref'!O118</f>
        <v>1.7</v>
      </c>
      <c r="L104" s="64">
        <f>'Bball ref'!J118</f>
        <v>12.3</v>
      </c>
      <c r="M104" s="64">
        <f>VALUE(MID('Bball ref'!G118,FIND("(",'Bball ref'!G118)+1,FIND("/",'Bball ref'!G118)-FIND("(",'Bball ref'!G118)-1))</f>
        <v>4.0999999999999996</v>
      </c>
      <c r="N104" s="64">
        <f>VALUE(MID('Bball ref'!G118,FIND("/",'Bball ref'!G118)+1,FIND(")",'Bball ref'!G118)-FIND("/",'Bball ref'!G118)-1))</f>
        <v>8.8000000000000007</v>
      </c>
      <c r="O104" s="64">
        <f>VALUE(MID('Bball ref'!H118,FIND("(",'Bball ref'!H118)+1,FIND("/",'Bball ref'!H118)-FIND("(",'Bball ref'!H118)-1))</f>
        <v>2.4</v>
      </c>
      <c r="P104" s="64">
        <f>VALUE(MID('Bball ref'!H118,FIND("/",'Bball ref'!H118)+1,FIND(")",'Bball ref'!H118)-FIND("/",'Bball ref'!H118)-1))</f>
        <v>2.8</v>
      </c>
      <c r="Q104" s="64">
        <f>(D104-Math!B$14)/Math!B$15</f>
        <v>-0.13586433074658327</v>
      </c>
      <c r="R104" s="64">
        <f>(E104-Math!C$14)/Math!C$15</f>
        <v>0.96696352435886834</v>
      </c>
      <c r="S104" s="64">
        <f>(F104-Math!D$14)/Math!D$15</f>
        <v>0.26324818727234567</v>
      </c>
      <c r="T104" s="64">
        <f>(G104-Math!E$14)/Math!E$15</f>
        <v>-2.0698663964023124E-2</v>
      </c>
      <c r="U104" s="64">
        <f>(H104-Math!F$14)/Math!F$15</f>
        <v>-0.54400599078194822</v>
      </c>
      <c r="V104" s="64">
        <f>(I104-Math!G$14)/Math!G$15</f>
        <v>-0.44852118311715766</v>
      </c>
      <c r="W104" s="64">
        <f>(J104-Math!H$14)/Math!H$15</f>
        <v>-0.16749984233753273</v>
      </c>
      <c r="X104" s="64">
        <f>(-1)*(K104-Math!I$14)/Math!I$15</f>
        <v>6.9089040508517302E-2</v>
      </c>
      <c r="Y104" s="64">
        <f>(L104-Math!J$14)/Math!J$15</f>
        <v>-0.59207713980744892</v>
      </c>
    </row>
    <row r="105" spans="1:25">
      <c r="A105" s="64" t="str">
        <f>IF((LEN('Bball ref'!B119)-LEN(SUBSTITUTE('Bball ref'!B119," ","")))&lt;2,'Bball ref'!B119,LEFT('Bball ref'!B119,FIND(" ",'Bball ref'!B119,FIND(" ",'Bball ref'!B119)+1)-1))</f>
        <v>Serge Ibaka</v>
      </c>
      <c r="B105" s="64">
        <f>'Bball ref'!A119</f>
        <v>104</v>
      </c>
      <c r="C105" s="64">
        <f>'Bball ref'!E119</f>
        <v>72</v>
      </c>
      <c r="D105" s="64">
        <f>VALUE(LEFT('Bball ref'!G119,FIND("(",'Bball ref'!G119)-1))</f>
        <v>0.48</v>
      </c>
      <c r="E105" s="64">
        <f>VALUE(LEFT('Bball ref'!H119,(FIND("(",'Bball ref'!H119)-1)))</f>
        <v>0.77</v>
      </c>
      <c r="F105" s="64">
        <f>'Bball ref'!I119</f>
        <v>0.8</v>
      </c>
      <c r="G105" s="64">
        <f>'Bball ref'!K119</f>
        <v>8.1999999999999993</v>
      </c>
      <c r="H105" s="64">
        <f>'Bball ref'!L119</f>
        <v>1.1000000000000001</v>
      </c>
      <c r="I105" s="64">
        <f>'Bball ref'!M119</f>
        <v>0.4</v>
      </c>
      <c r="J105" s="64">
        <f>'Bball ref'!N119</f>
        <v>1.3</v>
      </c>
      <c r="K105" s="64">
        <f>'Bball ref'!O119</f>
        <v>1.5</v>
      </c>
      <c r="L105" s="64">
        <f>'Bball ref'!J119</f>
        <v>15.2</v>
      </c>
      <c r="M105" s="64">
        <f>VALUE(MID('Bball ref'!G119,FIND("(",'Bball ref'!G119)+1,FIND("/",'Bball ref'!G119)-FIND("(",'Bball ref'!G119)-1))</f>
        <v>6.2</v>
      </c>
      <c r="N105" s="64">
        <f>VALUE(MID('Bball ref'!G119,FIND("/",'Bball ref'!G119)+1,FIND(")",'Bball ref'!G119)-FIND("/",'Bball ref'!G119)-1))</f>
        <v>12.9</v>
      </c>
      <c r="O105" s="64">
        <f>VALUE(MID('Bball ref'!H119,FIND("(",'Bball ref'!H119)+1,FIND("/",'Bball ref'!H119)-FIND("(",'Bball ref'!H119)-1))</f>
        <v>2</v>
      </c>
      <c r="P105" s="64">
        <f>VALUE(MID('Bball ref'!H119,FIND("/",'Bball ref'!H119)+1,FIND(")",'Bball ref'!H119)-FIND("/",'Bball ref'!H119)-1))</f>
        <v>2.6</v>
      </c>
      <c r="Q105" s="64">
        <f>(D105-Math!B$14)/Math!B$15</f>
        <v>4.8985098840605826E-2</v>
      </c>
      <c r="R105" s="64">
        <f>(E105-Math!C$14)/Math!C$15</f>
        <v>-0.12359684145940408</v>
      </c>
      <c r="S105" s="64">
        <f>(F105-Math!D$14)/Math!D$15</f>
        <v>-0.7077492247977808</v>
      </c>
      <c r="T105" s="64">
        <f>(G105-Math!E$14)/Math!E$15</f>
        <v>0.89080213445164436</v>
      </c>
      <c r="U105" s="64">
        <f>(H105-Math!F$14)/Math!F$15</f>
        <v>-1.0957870787120014</v>
      </c>
      <c r="V105" s="64">
        <f>(I105-Math!G$14)/Math!G$15</f>
        <v>-1.5038651433928218</v>
      </c>
      <c r="W105" s="64">
        <f>(J105-Math!H$14)/Math!H$15</f>
        <v>1.1209604833358027</v>
      </c>
      <c r="X105" s="64">
        <f>(-1)*(K105-Math!I$14)/Math!I$15</f>
        <v>0.3373959939396553</v>
      </c>
      <c r="Y105" s="64">
        <f>(L105-Math!J$14)/Math!J$15</f>
        <v>-1.0626511483168063E-2</v>
      </c>
    </row>
    <row r="106" spans="1:25">
      <c r="A106" s="64" t="str">
        <f>IF((LEN('Bball ref'!B120)-LEN(SUBSTITUTE('Bball ref'!B120," ","")))&lt;2,'Bball ref'!B120,LEFT('Bball ref'!B120,FIND(" ",'Bball ref'!B120,FIND(" ",'Bball ref'!B120)+1)-1))</f>
        <v>Paul Millsap</v>
      </c>
      <c r="B106" s="64">
        <f>'Bball ref'!A120</f>
        <v>105</v>
      </c>
      <c r="C106" s="64">
        <f>'Bball ref'!E120</f>
        <v>66</v>
      </c>
      <c r="D106" s="64">
        <f>VALUE(LEFT('Bball ref'!G120,FIND("(",'Bball ref'!G120)-1))</f>
        <v>0.49</v>
      </c>
      <c r="E106" s="64">
        <f>VALUE(LEFT('Bball ref'!H120,(FIND("(",'Bball ref'!H120)-1)))</f>
        <v>0.72</v>
      </c>
      <c r="F106" s="64">
        <f>'Bball ref'!I120</f>
        <v>0.8</v>
      </c>
      <c r="G106" s="64">
        <f>'Bball ref'!K120</f>
        <v>7.3</v>
      </c>
      <c r="H106" s="64">
        <f>'Bball ref'!L120</f>
        <v>2</v>
      </c>
      <c r="I106" s="64">
        <f>'Bball ref'!M120</f>
        <v>1.2</v>
      </c>
      <c r="J106" s="64">
        <f>'Bball ref'!N120</f>
        <v>0.8</v>
      </c>
      <c r="K106" s="64">
        <f>'Bball ref'!O120</f>
        <v>1.3</v>
      </c>
      <c r="L106" s="64">
        <f>'Bball ref'!J120</f>
        <v>12.8</v>
      </c>
      <c r="M106" s="64">
        <f>VALUE(MID('Bball ref'!G120,FIND("(",'Bball ref'!G120)+1,FIND("/",'Bball ref'!G120)-FIND("(",'Bball ref'!G120)-1))</f>
        <v>4.7</v>
      </c>
      <c r="N106" s="64">
        <f>VALUE(MID('Bball ref'!G120,FIND("/",'Bball ref'!G120)+1,FIND(")",'Bball ref'!G120)-FIND("/",'Bball ref'!G120)-1))</f>
        <v>9.6</v>
      </c>
      <c r="O106" s="64">
        <f>VALUE(MID('Bball ref'!H120,FIND("(",'Bball ref'!H120)+1,FIND("/",'Bball ref'!H120)-FIND("(",'Bball ref'!H120)-1))</f>
        <v>2.6</v>
      </c>
      <c r="P106" s="64">
        <f>VALUE(MID('Bball ref'!H120,FIND("/",'Bball ref'!H120)+1,FIND(")",'Bball ref'!H120)-FIND("/",'Bball ref'!H120)-1))</f>
        <v>3.6</v>
      </c>
      <c r="Q106" s="64">
        <f>(D106-Math!B$14)/Math!B$15</f>
        <v>0.23383452842779492</v>
      </c>
      <c r="R106" s="64">
        <f>(E106-Math!C$14)/Math!C$15</f>
        <v>-0.72946371135844501</v>
      </c>
      <c r="S106" s="64">
        <f>(F106-Math!D$14)/Math!D$15</f>
        <v>-0.7077492247977808</v>
      </c>
      <c r="T106" s="64">
        <f>(G106-Math!E$14)/Math!E$15</f>
        <v>0.54898933504576919</v>
      </c>
      <c r="U106" s="64">
        <f>(H106-Math!F$14)/Math!F$15</f>
        <v>-0.64432982495104885</v>
      </c>
      <c r="V106" s="64">
        <f>(I106-Math!G$14)/Math!G$15</f>
        <v>0.6068227771585063</v>
      </c>
      <c r="W106" s="64">
        <f>(J106-Math!H$14)/Math!H$15</f>
        <v>0.20063167928342035</v>
      </c>
      <c r="X106" s="64">
        <f>(-1)*(K106-Math!I$14)/Math!I$15</f>
        <v>0.60570294737079333</v>
      </c>
      <c r="Y106" s="64">
        <f>(L106-Math!J$14)/Math!J$15</f>
        <v>-0.4918270314756763</v>
      </c>
    </row>
    <row r="107" spans="1:25">
      <c r="A107" s="64" t="str">
        <f>IF((LEN('Bball ref'!B121)-LEN(SUBSTITUTE('Bball ref'!B121," ","")))&lt;2,'Bball ref'!B121,LEFT('Bball ref'!B121,FIND(" ",'Bball ref'!B121,FIND(" ",'Bball ref'!B121)+1)-1))</f>
        <v>Terrence Ross</v>
      </c>
      <c r="B107" s="64">
        <f>'Bball ref'!A121</f>
        <v>106</v>
      </c>
      <c r="C107" s="64">
        <f>'Bball ref'!E121</f>
        <v>74</v>
      </c>
      <c r="D107" s="64">
        <f>VALUE(LEFT('Bball ref'!G121,FIND("(",'Bball ref'!G121)-1))</f>
        <v>0.43</v>
      </c>
      <c r="E107" s="64">
        <f>VALUE(LEFT('Bball ref'!H121,(FIND("(",'Bball ref'!H121)-1)))</f>
        <v>0.89</v>
      </c>
      <c r="F107" s="64">
        <f>'Bball ref'!I121</f>
        <v>2.8</v>
      </c>
      <c r="G107" s="64">
        <f>'Bball ref'!K121</f>
        <v>3.5</v>
      </c>
      <c r="H107" s="64">
        <f>'Bball ref'!L121</f>
        <v>1.8</v>
      </c>
      <c r="I107" s="64">
        <f>'Bball ref'!M121</f>
        <v>0.9</v>
      </c>
      <c r="J107" s="64">
        <f>'Bball ref'!N121</f>
        <v>0.4</v>
      </c>
      <c r="K107" s="64">
        <f>'Bball ref'!O121</f>
        <v>1.1000000000000001</v>
      </c>
      <c r="L107" s="64">
        <f>'Bball ref'!J121</f>
        <v>15.6</v>
      </c>
      <c r="M107" s="64">
        <f>VALUE(MID('Bball ref'!G121,FIND("(",'Bball ref'!G121)+1,FIND("/",'Bball ref'!G121)-FIND("(",'Bball ref'!G121)-1))</f>
        <v>5.6</v>
      </c>
      <c r="N107" s="64">
        <f>VALUE(MID('Bball ref'!G121,FIND("/",'Bball ref'!G121)+1,FIND(")",'Bball ref'!G121)-FIND("/",'Bball ref'!G121)-1))</f>
        <v>13.1</v>
      </c>
      <c r="O107" s="64">
        <f>VALUE(MID('Bball ref'!H121,FIND("(",'Bball ref'!H121)+1,FIND("/",'Bball ref'!H121)-FIND("(",'Bball ref'!H121)-1))</f>
        <v>1.7</v>
      </c>
      <c r="P107" s="64">
        <f>VALUE(MID('Bball ref'!H121,FIND("/",'Bball ref'!H121)+1,FIND(")",'Bball ref'!H121)-FIND("/",'Bball ref'!H121)-1))</f>
        <v>1.9</v>
      </c>
      <c r="Q107" s="64">
        <f>(D107-Math!B$14)/Math!B$15</f>
        <v>-0.87526204909533856</v>
      </c>
      <c r="R107" s="64">
        <f>(E107-Math!C$14)/Math!C$15</f>
        <v>1.330483646298293</v>
      </c>
      <c r="S107" s="64">
        <f>(F107-Math!D$14)/Math!D$15</f>
        <v>1.4500228020247223</v>
      </c>
      <c r="T107" s="64">
        <f>(G107-Math!E$14)/Math!E$15</f>
        <v>-0.89422026244570452</v>
      </c>
      <c r="U107" s="64">
        <f>(H107-Math!F$14)/Math!F$15</f>
        <v>-0.74465365912014936</v>
      </c>
      <c r="V107" s="64">
        <f>(I107-Math!G$14)/Math!G$15</f>
        <v>-0.18468519304824169</v>
      </c>
      <c r="W107" s="64">
        <f>(J107-Math!H$14)/Math!H$15</f>
        <v>-0.53563136395848565</v>
      </c>
      <c r="X107" s="64">
        <f>(-1)*(K107-Math!I$14)/Math!I$15</f>
        <v>0.87400990080193131</v>
      </c>
      <c r="Y107" s="64">
        <f>(L107-Math!J$14)/Math!J$15</f>
        <v>6.9573575182250103E-2</v>
      </c>
    </row>
    <row r="108" spans="1:25">
      <c r="A108" s="64" t="str">
        <f>IF((LEN('Bball ref'!B122)-LEN(SUBSTITUTE('Bball ref'!B122," ","")))&lt;2,'Bball ref'!B122,LEFT('Bball ref'!B122,FIND(" ",'Bball ref'!B122,FIND(" ",'Bball ref'!B122)+1)-1))</f>
        <v>Lou Williams</v>
      </c>
      <c r="B108" s="64">
        <f>'Bball ref'!A122</f>
        <v>107</v>
      </c>
      <c r="C108" s="64">
        <f>'Bball ref'!E122</f>
        <v>76</v>
      </c>
      <c r="D108" s="64">
        <f>VALUE(LEFT('Bball ref'!G122,FIND("(",'Bball ref'!G122)-1))</f>
        <v>0.44</v>
      </c>
      <c r="E108" s="64">
        <f>VALUE(LEFT('Bball ref'!H122,(FIND("(",'Bball ref'!H122)-1)))</f>
        <v>0.88</v>
      </c>
      <c r="F108" s="64">
        <f>'Bball ref'!I122</f>
        <v>1.4</v>
      </c>
      <c r="G108" s="64">
        <f>'Bball ref'!K122</f>
        <v>3</v>
      </c>
      <c r="H108" s="64">
        <f>'Bball ref'!L122</f>
        <v>3.9</v>
      </c>
      <c r="I108" s="64">
        <f>'Bball ref'!M122</f>
        <v>0.7</v>
      </c>
      <c r="J108" s="64">
        <f>'Bball ref'!N122</f>
        <v>0.1</v>
      </c>
      <c r="K108" s="64">
        <f>'Bball ref'!O122</f>
        <v>2.2999999999999998</v>
      </c>
      <c r="L108" s="64">
        <f>'Bball ref'!J122</f>
        <v>17.399999999999999</v>
      </c>
      <c r="M108" s="64">
        <f>VALUE(MID('Bball ref'!G122,FIND("(",'Bball ref'!G122)+1,FIND("/",'Bball ref'!G122)-FIND("(",'Bball ref'!G122)-1))</f>
        <v>5.5</v>
      </c>
      <c r="N108" s="64">
        <f>VALUE(MID('Bball ref'!G122,FIND("/",'Bball ref'!G122)+1,FIND(")",'Bball ref'!G122)-FIND("/",'Bball ref'!G122)-1))</f>
        <v>12.5</v>
      </c>
      <c r="O108" s="64">
        <f>VALUE(MID('Bball ref'!H122,FIND("(",'Bball ref'!H122)+1,FIND("/",'Bball ref'!H122)-FIND("(",'Bball ref'!H122)-1))</f>
        <v>4.9000000000000004</v>
      </c>
      <c r="P108" s="64">
        <f>VALUE(MID('Bball ref'!H122,FIND("/",'Bball ref'!H122)+1,FIND(")",'Bball ref'!H122)-FIND("/",'Bball ref'!H122)-1))</f>
        <v>5.6</v>
      </c>
      <c r="Q108" s="64">
        <f>(D108-Math!B$14)/Math!B$15</f>
        <v>-0.69041261950814947</v>
      </c>
      <c r="R108" s="64">
        <f>(E108-Math!C$14)/Math!C$15</f>
        <v>1.2093102723184848</v>
      </c>
      <c r="S108" s="64">
        <f>(F108-Math!D$14)/Math!D$15</f>
        <v>-6.0417616751029912E-2</v>
      </c>
      <c r="T108" s="64">
        <f>(G108-Math!E$14)/Math!E$15</f>
        <v>-1.0841162621156353</v>
      </c>
      <c r="U108" s="64">
        <f>(H108-Math!F$14)/Math!F$15</f>
        <v>0.30874659965540652</v>
      </c>
      <c r="V108" s="64">
        <f>(I108-Math!G$14)/Math!G$15</f>
        <v>-0.71235717318607394</v>
      </c>
      <c r="W108" s="64">
        <f>(J108-Math!H$14)/Math!H$15</f>
        <v>-1.0878286463899152</v>
      </c>
      <c r="X108" s="64">
        <f>(-1)*(K108-Math!I$14)/Math!I$15</f>
        <v>-0.73583181978489676</v>
      </c>
      <c r="Y108" s="64">
        <f>(L108-Math!J$14)/Math!J$15</f>
        <v>0.43047396517663128</v>
      </c>
    </row>
    <row r="109" spans="1:25">
      <c r="A109" s="64" t="str">
        <f>IF((LEN('Bball ref'!B123)-LEN(SUBSTITUTE('Bball ref'!B123," ","")))&lt;2,'Bball ref'!B123,LEFT('Bball ref'!B123,FIND(" ",'Bball ref'!B123,FIND(" ",'Bball ref'!B123)+1)-1))</f>
        <v>Derrick White</v>
      </c>
      <c r="B109" s="64">
        <f>'Bball ref'!A123</f>
        <v>108</v>
      </c>
      <c r="C109" s="64">
        <f>'Bball ref'!E123</f>
        <v>68</v>
      </c>
      <c r="D109" s="64">
        <f>VALUE(LEFT('Bball ref'!G123,FIND("(",'Bball ref'!G123)-1))</f>
        <v>0.47</v>
      </c>
      <c r="E109" s="64">
        <f>VALUE(LEFT('Bball ref'!H123,(FIND("(",'Bball ref'!H123)-1)))</f>
        <v>0.75</v>
      </c>
      <c r="F109" s="64">
        <f>'Bball ref'!I123</f>
        <v>1</v>
      </c>
      <c r="G109" s="64">
        <f>'Bball ref'!K123</f>
        <v>4.0999999999999996</v>
      </c>
      <c r="H109" s="64">
        <f>'Bball ref'!L123</f>
        <v>3.4</v>
      </c>
      <c r="I109" s="64">
        <f>'Bball ref'!M123</f>
        <v>1.1000000000000001</v>
      </c>
      <c r="J109" s="64">
        <f>'Bball ref'!N123</f>
        <v>0.8</v>
      </c>
      <c r="K109" s="64">
        <f>'Bball ref'!O123</f>
        <v>1.5</v>
      </c>
      <c r="L109" s="64">
        <f>'Bball ref'!J123</f>
        <v>11.9</v>
      </c>
      <c r="M109" s="64">
        <f>VALUE(MID('Bball ref'!G123,FIND("(",'Bball ref'!G123)+1,FIND("/",'Bball ref'!G123)-FIND("(",'Bball ref'!G123)-1))</f>
        <v>4.7</v>
      </c>
      <c r="N109" s="64">
        <f>VALUE(MID('Bball ref'!G123,FIND("/",'Bball ref'!G123)+1,FIND(")",'Bball ref'!G123)-FIND("/",'Bball ref'!G123)-1))</f>
        <v>9.9</v>
      </c>
      <c r="O109" s="64">
        <f>VALUE(MID('Bball ref'!H123,FIND("(",'Bball ref'!H123)+1,FIND("/",'Bball ref'!H123)-FIND("(",'Bball ref'!H123)-1))</f>
        <v>1.5</v>
      </c>
      <c r="P109" s="64">
        <f>VALUE(MID('Bball ref'!H123,FIND("/",'Bball ref'!H123)+1,FIND(")",'Bball ref'!H123)-FIND("/",'Bball ref'!H123)-1))</f>
        <v>2</v>
      </c>
      <c r="Q109" s="64">
        <f>(D109-Math!B$14)/Math!B$15</f>
        <v>-0.13586433074658327</v>
      </c>
      <c r="R109" s="64">
        <f>(E109-Math!C$14)/Math!C$15</f>
        <v>-0.3659435894190205</v>
      </c>
      <c r="S109" s="64">
        <f>(F109-Math!D$14)/Math!D$15</f>
        <v>-0.49197202211553048</v>
      </c>
      <c r="T109" s="64">
        <f>(G109-Math!E$14)/Math!E$15</f>
        <v>-0.66634506284178774</v>
      </c>
      <c r="U109" s="64">
        <f>(H109-Math!F$14)/Math!F$15</f>
        <v>5.7937014232655099E-2</v>
      </c>
      <c r="V109" s="64">
        <f>(I109-Math!G$14)/Math!G$15</f>
        <v>0.34298678708959057</v>
      </c>
      <c r="W109" s="64">
        <f>(J109-Math!H$14)/Math!H$15</f>
        <v>0.20063167928342035</v>
      </c>
      <c r="X109" s="64">
        <f>(-1)*(K109-Math!I$14)/Math!I$15</f>
        <v>0.3373959939396553</v>
      </c>
      <c r="Y109" s="64">
        <f>(L109-Math!J$14)/Math!J$15</f>
        <v>-0.67227722647286714</v>
      </c>
    </row>
    <row r="110" spans="1:25">
      <c r="A110" s="64" t="str">
        <f>IF((LEN('Bball ref'!B125)-LEN(SUBSTITUTE('Bball ref'!B125," ","")))&lt;2,'Bball ref'!B125,LEFT('Bball ref'!B125,FIND(" ",'Bball ref'!B125,FIND(" ",'Bball ref'!B125)+1)-1))</f>
        <v>DeAndre Jordan</v>
      </c>
      <c r="B110" s="64">
        <f>'Bball ref'!A125</f>
        <v>109</v>
      </c>
      <c r="C110" s="64">
        <f>'Bball ref'!E125</f>
        <v>76</v>
      </c>
      <c r="D110" s="64">
        <f>VALUE(LEFT('Bball ref'!G125,FIND("(",'Bball ref'!G125)-1))</f>
        <v>0.63</v>
      </c>
      <c r="E110" s="64">
        <f>VALUE(LEFT('Bball ref'!H125,(FIND("(",'Bball ref'!H125)-1)))</f>
        <v>0.71</v>
      </c>
      <c r="F110" s="64">
        <f>'Bball ref'!I125</f>
        <v>0</v>
      </c>
      <c r="G110" s="64">
        <f>'Bball ref'!K125</f>
        <v>10.5</v>
      </c>
      <c r="H110" s="64">
        <f>'Bball ref'!L125</f>
        <v>2</v>
      </c>
      <c r="I110" s="64">
        <f>'Bball ref'!M125</f>
        <v>0.5</v>
      </c>
      <c r="J110" s="64">
        <f>'Bball ref'!N125</f>
        <v>1</v>
      </c>
      <c r="K110" s="64">
        <f>'Bball ref'!O125</f>
        <v>1.9</v>
      </c>
      <c r="L110" s="64">
        <f>'Bball ref'!J125</f>
        <v>9.6999999999999993</v>
      </c>
      <c r="M110" s="64">
        <f>VALUE(MID('Bball ref'!G125,FIND("(",'Bball ref'!G125)+1,FIND("/",'Bball ref'!G125)-FIND("(",'Bball ref'!G125)-1))</f>
        <v>3.6</v>
      </c>
      <c r="N110" s="64">
        <f>VALUE(MID('Bball ref'!G125,FIND("/",'Bball ref'!G125)+1,FIND(")",'Bball ref'!G125)-FIND("/",'Bball ref'!G125)-1))</f>
        <v>5.7</v>
      </c>
      <c r="O110" s="64">
        <f>VALUE(MID('Bball ref'!H125,FIND("(",'Bball ref'!H125)+1,FIND("/",'Bball ref'!H125)-FIND("(",'Bball ref'!H125)-1))</f>
        <v>2.4</v>
      </c>
      <c r="P110" s="64">
        <f>VALUE(MID('Bball ref'!H125,FIND("/",'Bball ref'!H125)+1,FIND(")",'Bball ref'!H125)-FIND("/",'Bball ref'!H125)-1))</f>
        <v>3.4</v>
      </c>
      <c r="Q110" s="64">
        <f>(D110-Math!B$14)/Math!B$15</f>
        <v>2.8217265426484399</v>
      </c>
      <c r="R110" s="64">
        <f>(E110-Math!C$14)/Math!C$15</f>
        <v>-0.85063708533825322</v>
      </c>
      <c r="S110" s="64">
        <f>(F110-Math!D$14)/Math!D$15</f>
        <v>-1.5708580355267823</v>
      </c>
      <c r="T110" s="64">
        <f>(G110-Math!E$14)/Math!E$15</f>
        <v>1.7643237329333261</v>
      </c>
      <c r="U110" s="64">
        <f>(H110-Math!F$14)/Math!F$15</f>
        <v>-0.64432982495104885</v>
      </c>
      <c r="V110" s="64">
        <f>(I110-Math!G$14)/Math!G$15</f>
        <v>-1.2400291533239061</v>
      </c>
      <c r="W110" s="64">
        <f>(J110-Math!H$14)/Math!H$15</f>
        <v>0.56876320090437327</v>
      </c>
      <c r="X110" s="64">
        <f>(-1)*(K110-Math!I$14)/Math!I$15</f>
        <v>-0.19921791292262073</v>
      </c>
      <c r="Y110" s="64">
        <f>(L110-Math!J$14)/Math!J$15</f>
        <v>-1.1133777031326668</v>
      </c>
    </row>
    <row r="111" spans="1:25">
      <c r="A111" s="64" t="str">
        <f>IF((LEN('Bball ref'!B126)-LEN(SUBSTITUTE('Bball ref'!B126," ","")))&lt;2,'Bball ref'!B126,LEFT('Bball ref'!B126,FIND(" ",'Bball ref'!B126,FIND(" ",'Bball ref'!B126)+1)-1))</f>
        <v>Nicolas Batum</v>
      </c>
      <c r="B111" s="64">
        <f>'Bball ref'!A126</f>
        <v>110</v>
      </c>
      <c r="C111" s="64">
        <f>'Bball ref'!E126</f>
        <v>70</v>
      </c>
      <c r="D111" s="64">
        <f>VALUE(LEFT('Bball ref'!G126,FIND("(",'Bball ref'!G126)-1))</f>
        <v>0.43</v>
      </c>
      <c r="E111" s="64">
        <f>VALUE(LEFT('Bball ref'!H126,(FIND("(",'Bball ref'!H126)-1)))</f>
        <v>0.83</v>
      </c>
      <c r="F111" s="64">
        <f>'Bball ref'!I126</f>
        <v>1.5</v>
      </c>
      <c r="G111" s="64">
        <f>'Bball ref'!K126</f>
        <v>5.0999999999999996</v>
      </c>
      <c r="H111" s="64">
        <f>'Bball ref'!L126</f>
        <v>4.5999999999999996</v>
      </c>
      <c r="I111" s="64">
        <f>'Bball ref'!M126</f>
        <v>0.9</v>
      </c>
      <c r="J111" s="64">
        <f>'Bball ref'!N126</f>
        <v>0.6</v>
      </c>
      <c r="K111" s="64">
        <f>'Bball ref'!O126</f>
        <v>1.5</v>
      </c>
      <c r="L111" s="64">
        <f>'Bball ref'!J126</f>
        <v>11.7</v>
      </c>
      <c r="M111" s="64">
        <f>VALUE(MID('Bball ref'!G126,FIND("(",'Bball ref'!G126)+1,FIND("/",'Bball ref'!G126)-FIND("(",'Bball ref'!G126)-1))</f>
        <v>4.5999999999999996</v>
      </c>
      <c r="N111" s="64">
        <f>VALUE(MID('Bball ref'!G126,FIND("/",'Bball ref'!G126)+1,FIND(")",'Bball ref'!G126)-FIND("/",'Bball ref'!G126)-1))</f>
        <v>10.6</v>
      </c>
      <c r="O111" s="64">
        <f>VALUE(MID('Bball ref'!H126,FIND("(",'Bball ref'!H126)+1,FIND("/",'Bball ref'!H126)-FIND("(",'Bball ref'!H126)-1))</f>
        <v>1</v>
      </c>
      <c r="P111" s="64">
        <f>VALUE(MID('Bball ref'!H126,FIND("/",'Bball ref'!H126)+1,FIND(")",'Bball ref'!H126)-FIND("/",'Bball ref'!H126)-1))</f>
        <v>1.2</v>
      </c>
      <c r="Q111" s="64">
        <f>(D111-Math!B$14)/Math!B$15</f>
        <v>-0.87526204909533856</v>
      </c>
      <c r="R111" s="64">
        <f>(E111-Math!C$14)/Math!C$15</f>
        <v>0.60344340241944372</v>
      </c>
      <c r="S111" s="64">
        <f>(F111-Math!D$14)/Math!D$15</f>
        <v>4.7470984590095355E-2</v>
      </c>
      <c r="T111" s="64">
        <f>(G111-Math!E$14)/Math!E$15</f>
        <v>-0.28655306350192628</v>
      </c>
      <c r="U111" s="64">
        <f>(H111-Math!F$14)/Math!F$15</f>
        <v>0.65988001924725836</v>
      </c>
      <c r="V111" s="64">
        <f>(I111-Math!G$14)/Math!G$15</f>
        <v>-0.18468519304824169</v>
      </c>
      <c r="W111" s="64">
        <f>(J111-Math!H$14)/Math!H$15</f>
        <v>-0.16749984233753273</v>
      </c>
      <c r="X111" s="64">
        <f>(-1)*(K111-Math!I$14)/Math!I$15</f>
        <v>0.3373959939396553</v>
      </c>
      <c r="Y111" s="64">
        <f>(L111-Math!J$14)/Math!J$15</f>
        <v>-0.71237726980557636</v>
      </c>
    </row>
    <row r="112" spans="1:25">
      <c r="A112" s="64" t="str">
        <f>IF((LEN('Bball ref'!B127)-LEN(SUBSTITUTE('Bball ref'!B127," ","")))&lt;2,'Bball ref'!B127,LEFT('Bball ref'!B127,FIND(" ",'Bball ref'!B127,FIND(" ",'Bball ref'!B127)+1)-1))</f>
        <v>Rudy Gay</v>
      </c>
      <c r="B112" s="64">
        <f>'Bball ref'!A127</f>
        <v>111</v>
      </c>
      <c r="C112" s="64">
        <f>'Bball ref'!E127</f>
        <v>66</v>
      </c>
      <c r="D112" s="64">
        <f>VALUE(LEFT('Bball ref'!G127,FIND("(",'Bball ref'!G127)-1))</f>
        <v>0.47</v>
      </c>
      <c r="E112" s="64">
        <f>VALUE(LEFT('Bball ref'!H127,(FIND("(",'Bball ref'!H127)-1)))</f>
        <v>0.81</v>
      </c>
      <c r="F112" s="64">
        <f>'Bball ref'!I127</f>
        <v>1.1000000000000001</v>
      </c>
      <c r="G112" s="64">
        <f>'Bball ref'!K127</f>
        <v>7</v>
      </c>
      <c r="H112" s="64">
        <f>'Bball ref'!L127</f>
        <v>2.7</v>
      </c>
      <c r="I112" s="64">
        <f>'Bball ref'!M127</f>
        <v>0.8</v>
      </c>
      <c r="J112" s="64">
        <f>'Bball ref'!N127</f>
        <v>0.5</v>
      </c>
      <c r="K112" s="64">
        <f>'Bball ref'!O127</f>
        <v>1.6</v>
      </c>
      <c r="L112" s="64">
        <f>'Bball ref'!J127</f>
        <v>13.3</v>
      </c>
      <c r="M112" s="64">
        <f>VALUE(MID('Bball ref'!G127,FIND("(",'Bball ref'!G127)+1,FIND("/",'Bball ref'!G127)-FIND("(",'Bball ref'!G127)-1))</f>
        <v>5.2</v>
      </c>
      <c r="N112" s="64">
        <f>VALUE(MID('Bball ref'!G127,FIND("/",'Bball ref'!G127)+1,FIND(")",'Bball ref'!G127)-FIND("/",'Bball ref'!G127)-1))</f>
        <v>11</v>
      </c>
      <c r="O112" s="64">
        <f>VALUE(MID('Bball ref'!H127,FIND("(",'Bball ref'!H127)+1,FIND("/",'Bball ref'!H127)-FIND("(",'Bball ref'!H127)-1))</f>
        <v>1.7</v>
      </c>
      <c r="P112" s="64">
        <f>VALUE(MID('Bball ref'!H127,FIND("/",'Bball ref'!H127)+1,FIND(")",'Bball ref'!H127)-FIND("/",'Bball ref'!H127)-1))</f>
        <v>2.1</v>
      </c>
      <c r="Q112" s="64">
        <f>(D112-Math!B$14)/Math!B$15</f>
        <v>-0.13586433074658327</v>
      </c>
      <c r="R112" s="64">
        <f>(E112-Math!C$14)/Math!C$15</f>
        <v>0.36109665445982869</v>
      </c>
      <c r="S112" s="64">
        <f>(F112-Math!D$14)/Math!D$15</f>
        <v>-0.38408342077440522</v>
      </c>
      <c r="T112" s="64">
        <f>(G112-Math!E$14)/Math!E$15</f>
        <v>0.4350517352438108</v>
      </c>
      <c r="U112" s="64">
        <f>(H112-Math!F$14)/Math!F$15</f>
        <v>-0.29319640535919678</v>
      </c>
      <c r="V112" s="64">
        <f>(I112-Math!G$14)/Math!G$15</f>
        <v>-0.44852118311715766</v>
      </c>
      <c r="W112" s="64">
        <f>(J112-Math!H$14)/Math!H$15</f>
        <v>-0.35156560314800916</v>
      </c>
      <c r="X112" s="64">
        <f>(-1)*(K112-Math!I$14)/Math!I$15</f>
        <v>0.20324251722408615</v>
      </c>
      <c r="Y112" s="64">
        <f>(L112-Math!J$14)/Math!J$15</f>
        <v>-0.39157692314390369</v>
      </c>
    </row>
    <row r="113" spans="1:25">
      <c r="A113" s="64" t="str">
        <f>IF((LEN('Bball ref'!B128)-LEN(SUBSTITUTE('Bball ref'!B128," ","")))&lt;2,'Bball ref'!B128,LEFT('Bball ref'!B128,FIND(" ",'Bball ref'!B128,FIND(" ",'Bball ref'!B128)+1)-1))</f>
        <v>Davis Bertans</v>
      </c>
      <c r="B113" s="64">
        <f>'Bball ref'!A128</f>
        <v>112</v>
      </c>
      <c r="C113" s="64">
        <f>'Bball ref'!E128</f>
        <v>74</v>
      </c>
      <c r="D113" s="64">
        <f>VALUE(LEFT('Bball ref'!G128,FIND("(",'Bball ref'!G128)-1))</f>
        <v>0.45</v>
      </c>
      <c r="E113" s="64">
        <f>VALUE(LEFT('Bball ref'!H128,(FIND("(",'Bball ref'!H128)-1)))</f>
        <v>0.91</v>
      </c>
      <c r="F113" s="64">
        <f>'Bball ref'!I128</f>
        <v>2.6</v>
      </c>
      <c r="G113" s="64">
        <f>'Bball ref'!K128</f>
        <v>4.8</v>
      </c>
      <c r="H113" s="64">
        <f>'Bball ref'!L128</f>
        <v>1.8</v>
      </c>
      <c r="I113" s="64">
        <f>'Bball ref'!M128</f>
        <v>0.7</v>
      </c>
      <c r="J113" s="64">
        <f>'Bball ref'!N128</f>
        <v>0.5</v>
      </c>
      <c r="K113" s="64">
        <f>'Bball ref'!O128</f>
        <v>0.8</v>
      </c>
      <c r="L113" s="64">
        <f>'Bball ref'!J128</f>
        <v>11</v>
      </c>
      <c r="M113" s="64">
        <f>VALUE(MID('Bball ref'!G128,FIND("(",'Bball ref'!G128)+1,FIND("/",'Bball ref'!G128)-FIND("(",'Bball ref'!G128)-1))</f>
        <v>3.7</v>
      </c>
      <c r="N113" s="64">
        <f>VALUE(MID('Bball ref'!G128,FIND("/",'Bball ref'!G128)+1,FIND(")",'Bball ref'!G128)-FIND("/",'Bball ref'!G128)-1))</f>
        <v>8.1999999999999993</v>
      </c>
      <c r="O113" s="64">
        <f>VALUE(MID('Bball ref'!H128,FIND("(",'Bball ref'!H128)+1,FIND("/",'Bball ref'!H128)-FIND("(",'Bball ref'!H128)-1))</f>
        <v>1</v>
      </c>
      <c r="P113" s="64">
        <f>VALUE(MID('Bball ref'!H128,FIND("/",'Bball ref'!H128)+1,FIND(")",'Bball ref'!H128)-FIND("/",'Bball ref'!H128)-1))</f>
        <v>1.1000000000000001</v>
      </c>
      <c r="Q113" s="64">
        <f>(D113-Math!B$14)/Math!B$15</f>
        <v>-0.50556318992096039</v>
      </c>
      <c r="R113" s="64">
        <f>(E113-Math!C$14)/Math!C$15</f>
        <v>1.5728303942579092</v>
      </c>
      <c r="S113" s="64">
        <f>(F113-Math!D$14)/Math!D$15</f>
        <v>1.2342455993424724</v>
      </c>
      <c r="T113" s="64">
        <f>(G113-Math!E$14)/Math!E$15</f>
        <v>-0.40049066330388466</v>
      </c>
      <c r="U113" s="64">
        <f>(H113-Math!F$14)/Math!F$15</f>
        <v>-0.74465365912014936</v>
      </c>
      <c r="V113" s="64">
        <f>(I113-Math!G$14)/Math!G$15</f>
        <v>-0.71235717318607394</v>
      </c>
      <c r="W113" s="64">
        <f>(J113-Math!H$14)/Math!H$15</f>
        <v>-0.35156560314800916</v>
      </c>
      <c r="X113" s="64">
        <f>(-1)*(K113-Math!I$14)/Math!I$15</f>
        <v>1.2764703309486385</v>
      </c>
      <c r="Y113" s="64">
        <f>(L113-Math!J$14)/Math!J$15</f>
        <v>-0.85272742147005787</v>
      </c>
    </row>
    <row r="114" spans="1:25">
      <c r="A114" s="64" t="str">
        <f>IF((LEN('Bball ref'!B129)-LEN(SUBSTITUTE('Bball ref'!B129," ","")))&lt;2,'Bball ref'!B129,LEFT('Bball ref'!B129,FIND(" ",'Bball ref'!B129,FIND(" ",'Bball ref'!B129)+1)-1))</f>
        <v>Alex Len</v>
      </c>
      <c r="B114" s="64">
        <f>'Bball ref'!A129</f>
        <v>113</v>
      </c>
      <c r="C114" s="64">
        <f>'Bball ref'!E129</f>
        <v>76</v>
      </c>
      <c r="D114" s="64">
        <f>VALUE(LEFT('Bball ref'!G129,FIND("(",'Bball ref'!G129)-1))</f>
        <v>0.5</v>
      </c>
      <c r="E114" s="64">
        <f>VALUE(LEFT('Bball ref'!H129,(FIND("(",'Bball ref'!H129)-1)))</f>
        <v>0.71</v>
      </c>
      <c r="F114" s="64">
        <f>'Bball ref'!I129</f>
        <v>1.3</v>
      </c>
      <c r="G114" s="64">
        <f>'Bball ref'!K129</f>
        <v>7.3</v>
      </c>
      <c r="H114" s="64">
        <f>'Bball ref'!L129</f>
        <v>1.4</v>
      </c>
      <c r="I114" s="64">
        <f>'Bball ref'!M129</f>
        <v>0.5</v>
      </c>
      <c r="J114" s="64">
        <f>'Bball ref'!N129</f>
        <v>1.2</v>
      </c>
      <c r="K114" s="64">
        <f>'Bball ref'!O129</f>
        <v>1.6</v>
      </c>
      <c r="L114" s="64">
        <f>'Bball ref'!J129</f>
        <v>14.7</v>
      </c>
      <c r="M114" s="64">
        <f>VALUE(MID('Bball ref'!G129,FIND("(",'Bball ref'!G129)+1,FIND("/",'Bball ref'!G129)-FIND("(",'Bball ref'!G129)-1))</f>
        <v>5.5</v>
      </c>
      <c r="N114" s="64">
        <f>VALUE(MID('Bball ref'!G129,FIND("/",'Bball ref'!G129)+1,FIND(")",'Bball ref'!G129)-FIND("/",'Bball ref'!G129)-1))</f>
        <v>11</v>
      </c>
      <c r="O114" s="64">
        <f>VALUE(MID('Bball ref'!H129,FIND("(",'Bball ref'!H129)+1,FIND("/",'Bball ref'!H129)-FIND("(",'Bball ref'!H129)-1))</f>
        <v>2.4</v>
      </c>
      <c r="P114" s="64">
        <f>VALUE(MID('Bball ref'!H129,FIND("/",'Bball ref'!H129)+1,FIND(")",'Bball ref'!H129)-FIND("/",'Bball ref'!H129)-1))</f>
        <v>3.4</v>
      </c>
      <c r="Q114" s="64">
        <f>(D114-Math!B$14)/Math!B$15</f>
        <v>0.41868395801498404</v>
      </c>
      <c r="R114" s="64">
        <f>(E114-Math!C$14)/Math!C$15</f>
        <v>-0.85063708533825322</v>
      </c>
      <c r="S114" s="64">
        <f>(F114-Math!D$14)/Math!D$15</f>
        <v>-0.16830621809215493</v>
      </c>
      <c r="T114" s="64">
        <f>(G114-Math!E$14)/Math!E$15</f>
        <v>0.54898933504576919</v>
      </c>
      <c r="U114" s="64">
        <f>(H114-Math!F$14)/Math!F$15</f>
        <v>-0.9453013274583506</v>
      </c>
      <c r="V114" s="64">
        <f>(I114-Math!G$14)/Math!G$15</f>
        <v>-1.2400291533239061</v>
      </c>
      <c r="W114" s="64">
        <f>(J114-Math!H$14)/Math!H$15</f>
        <v>0.93689472252532613</v>
      </c>
      <c r="X114" s="64">
        <f>(-1)*(K114-Math!I$14)/Math!I$15</f>
        <v>0.20324251722408615</v>
      </c>
      <c r="Y114" s="64">
        <f>(L114-Math!J$14)/Math!J$15</f>
        <v>-0.11087661981494068</v>
      </c>
    </row>
    <row r="115" spans="1:25">
      <c r="A115" s="64" t="str">
        <f>IF((LEN('Bball ref'!B130)-LEN(SUBSTITUTE('Bball ref'!B130," ","")))&lt;2,'Bball ref'!B130,LEFT('Bball ref'!B130,FIND(" ",'Bball ref'!B130,FIND(" ",'Bball ref'!B130)+1)-1))</f>
        <v>Jarrett Allen</v>
      </c>
      <c r="B115" s="64">
        <f>'Bball ref'!A130</f>
        <v>114</v>
      </c>
      <c r="C115" s="64">
        <f>'Bball ref'!E130</f>
        <v>80</v>
      </c>
      <c r="D115" s="64">
        <f>VALUE(LEFT('Bball ref'!G130,FIND("(",'Bball ref'!G130)-1))</f>
        <v>0.59</v>
      </c>
      <c r="E115" s="64">
        <f>VALUE(LEFT('Bball ref'!H130,(FIND("(",'Bball ref'!H130)-1)))</f>
        <v>0.71</v>
      </c>
      <c r="F115" s="64">
        <f>'Bball ref'!I130</f>
        <v>0.1</v>
      </c>
      <c r="G115" s="64">
        <f>'Bball ref'!K130</f>
        <v>8.1</v>
      </c>
      <c r="H115" s="64">
        <f>'Bball ref'!L130</f>
        <v>1.3</v>
      </c>
      <c r="I115" s="64">
        <f>'Bball ref'!M130</f>
        <v>0.5</v>
      </c>
      <c r="J115" s="64">
        <f>'Bball ref'!N130</f>
        <v>1.4</v>
      </c>
      <c r="K115" s="64">
        <f>'Bball ref'!O130</f>
        <v>1.2</v>
      </c>
      <c r="L115" s="64">
        <f>'Bball ref'!J130</f>
        <v>10.1</v>
      </c>
      <c r="M115" s="64">
        <f>VALUE(MID('Bball ref'!G130,FIND("(",'Bball ref'!G130)+1,FIND("/",'Bball ref'!G130)-FIND("(",'Bball ref'!G130)-1))</f>
        <v>3.8</v>
      </c>
      <c r="N115" s="64">
        <f>VALUE(MID('Bball ref'!G130,FIND("/",'Bball ref'!G130)+1,FIND(")",'Bball ref'!G130)-FIND("/",'Bball ref'!G130)-1))</f>
        <v>6.4</v>
      </c>
      <c r="O115" s="64">
        <f>VALUE(MID('Bball ref'!H130,FIND("(",'Bball ref'!H130)+1,FIND("/",'Bball ref'!H130)-FIND("(",'Bball ref'!H130)-1))</f>
        <v>2.4</v>
      </c>
      <c r="P115" s="64">
        <f>VALUE(MID('Bball ref'!H130,FIND("/",'Bball ref'!H130)+1,FIND(")",'Bball ref'!H130)-FIND("/",'Bball ref'!H130)-1))</f>
        <v>3.4</v>
      </c>
      <c r="Q115" s="64">
        <f>(D115-Math!B$14)/Math!B$15</f>
        <v>2.0823288242996836</v>
      </c>
      <c r="R115" s="64">
        <f>(E115-Math!C$14)/Math!C$15</f>
        <v>-0.85063708533825322</v>
      </c>
      <c r="S115" s="64">
        <f>(F115-Math!D$14)/Math!D$15</f>
        <v>-1.4629694341856569</v>
      </c>
      <c r="T115" s="64">
        <f>(G115-Math!E$14)/Math!E$15</f>
        <v>0.85282293451765834</v>
      </c>
      <c r="U115" s="64">
        <f>(H115-Math!F$14)/Math!F$15</f>
        <v>-0.9954632445429008</v>
      </c>
      <c r="V115" s="64">
        <f>(I115-Math!G$14)/Math!G$15</f>
        <v>-1.2400291533239061</v>
      </c>
      <c r="W115" s="64">
        <f>(J115-Math!H$14)/Math!H$15</f>
        <v>1.305026244146279</v>
      </c>
      <c r="X115" s="64">
        <f>(-1)*(K115-Math!I$14)/Math!I$15</f>
        <v>0.73985642408636254</v>
      </c>
      <c r="Y115" s="64">
        <f>(L115-Math!J$14)/Math!J$15</f>
        <v>-1.0331776164672486</v>
      </c>
    </row>
    <row r="116" spans="1:25">
      <c r="A116" s="64" t="str">
        <f>IF((LEN('Bball ref'!B131)-LEN(SUBSTITUTE('Bball ref'!B131," ","")))&lt;2,'Bball ref'!B131,LEFT('Bball ref'!B131,FIND(" ",'Bball ref'!B131,FIND(" ",'Bball ref'!B131)+1)-1))</f>
        <v>Joe Ingles</v>
      </c>
      <c r="B116" s="64">
        <f>'Bball ref'!A131</f>
        <v>115</v>
      </c>
      <c r="C116" s="64">
        <f>'Bball ref'!E131</f>
        <v>80</v>
      </c>
      <c r="D116" s="64">
        <f>VALUE(LEFT('Bball ref'!G131,FIND("(",'Bball ref'!G131)-1))</f>
        <v>0.46</v>
      </c>
      <c r="E116" s="64">
        <f>VALUE(LEFT('Bball ref'!H131,(FIND("(",'Bball ref'!H131)-1)))</f>
        <v>0.71</v>
      </c>
      <c r="F116" s="64">
        <f>'Bball ref'!I131</f>
        <v>2.2000000000000002</v>
      </c>
      <c r="G116" s="64">
        <f>'Bball ref'!K131</f>
        <v>3.8</v>
      </c>
      <c r="H116" s="64">
        <f>'Bball ref'!L131</f>
        <v>4.7</v>
      </c>
      <c r="I116" s="64">
        <f>'Bball ref'!M131</f>
        <v>1.1000000000000001</v>
      </c>
      <c r="J116" s="64">
        <f>'Bball ref'!N131</f>
        <v>0.2</v>
      </c>
      <c r="K116" s="64">
        <f>'Bball ref'!O131</f>
        <v>2.1</v>
      </c>
      <c r="L116" s="64">
        <f>'Bball ref'!J131</f>
        <v>11.5</v>
      </c>
      <c r="M116" s="64">
        <f>VALUE(MID('Bball ref'!G131,FIND("(",'Bball ref'!G131)+1,FIND("/",'Bball ref'!G131)-FIND("(",'Bball ref'!G131)-1))</f>
        <v>4.2</v>
      </c>
      <c r="N116" s="64">
        <f>VALUE(MID('Bball ref'!G131,FIND("/",'Bball ref'!G131)+1,FIND(")",'Bball ref'!G131)-FIND("/",'Bball ref'!G131)-1))</f>
        <v>9.1999999999999993</v>
      </c>
      <c r="O116" s="64">
        <f>VALUE(MID('Bball ref'!H131,FIND("(",'Bball ref'!H131)+1,FIND("/",'Bball ref'!H131)-FIND("(",'Bball ref'!H131)-1))</f>
        <v>1</v>
      </c>
      <c r="P116" s="64">
        <f>VALUE(MID('Bball ref'!H131,FIND("/",'Bball ref'!H131)+1,FIND(")",'Bball ref'!H131)-FIND("/",'Bball ref'!H131)-1))</f>
        <v>1.4</v>
      </c>
      <c r="Q116" s="64">
        <f>(D116-Math!B$14)/Math!B$15</f>
        <v>-0.3207137603337713</v>
      </c>
      <c r="R116" s="64">
        <f>(E116-Math!C$14)/Math!C$15</f>
        <v>-0.85063708533825322</v>
      </c>
      <c r="S116" s="64">
        <f>(F116-Math!D$14)/Math!D$15</f>
        <v>0.80269119397797173</v>
      </c>
      <c r="T116" s="64">
        <f>(G116-Math!E$14)/Math!E$15</f>
        <v>-0.78028266264374613</v>
      </c>
      <c r="U116" s="64">
        <f>(H116-Math!F$14)/Math!F$15</f>
        <v>0.7100419363318089</v>
      </c>
      <c r="V116" s="64">
        <f>(I116-Math!G$14)/Math!G$15</f>
        <v>0.34298678708959057</v>
      </c>
      <c r="W116" s="64">
        <f>(J116-Math!H$14)/Math!H$15</f>
        <v>-0.90376288557943862</v>
      </c>
      <c r="X116" s="64">
        <f>(-1)*(K116-Math!I$14)/Math!I$15</f>
        <v>-0.46752486635375906</v>
      </c>
      <c r="Y116" s="64">
        <f>(L116-Math!J$14)/Math!J$15</f>
        <v>-0.75247731313828525</v>
      </c>
    </row>
    <row r="117" spans="1:25">
      <c r="A117" s="64" t="str">
        <f>IF((LEN('Bball ref'!B132)-LEN(SUBSTITUTE('Bball ref'!B132," ","")))&lt;2,'Bball ref'!B132,LEFT('Bball ref'!B132,FIND(" ",'Bball ref'!B132,FIND(" ",'Bball ref'!B132)+1)-1))</f>
        <v>JJ Redick</v>
      </c>
      <c r="B117" s="64">
        <f>'Bball ref'!A132</f>
        <v>116</v>
      </c>
      <c r="C117" s="64">
        <f>'Bball ref'!E132</f>
        <v>72</v>
      </c>
      <c r="D117" s="64">
        <f>VALUE(LEFT('Bball ref'!G132,FIND("(",'Bball ref'!G132)-1))</f>
        <v>0.44</v>
      </c>
      <c r="E117" s="64">
        <f>VALUE(LEFT('Bball ref'!H132,(FIND("(",'Bball ref'!H132)-1)))</f>
        <v>0.9</v>
      </c>
      <c r="F117" s="64">
        <f>'Bball ref'!I132</f>
        <v>3</v>
      </c>
      <c r="G117" s="64">
        <f>'Bball ref'!K132</f>
        <v>2.2999999999999998</v>
      </c>
      <c r="H117" s="64">
        <f>'Bball ref'!L132</f>
        <v>2.4</v>
      </c>
      <c r="I117" s="64">
        <f>'Bball ref'!M132</f>
        <v>0.3</v>
      </c>
      <c r="J117" s="64">
        <f>'Bball ref'!N132</f>
        <v>0.2</v>
      </c>
      <c r="K117" s="64">
        <f>'Bball ref'!O132</f>
        <v>1.1000000000000001</v>
      </c>
      <c r="L117" s="64">
        <f>'Bball ref'!J132</f>
        <v>15.5</v>
      </c>
      <c r="M117" s="64">
        <f>VALUE(MID('Bball ref'!G132,FIND("(",'Bball ref'!G132)+1,FIND("/",'Bball ref'!G132)-FIND("(",'Bball ref'!G132)-1))</f>
        <v>4.9000000000000004</v>
      </c>
      <c r="N117" s="64">
        <f>VALUE(MID('Bball ref'!G132,FIND("/",'Bball ref'!G132)+1,FIND(")",'Bball ref'!G132)-FIND("/",'Bball ref'!G132)-1))</f>
        <v>11.1</v>
      </c>
      <c r="O117" s="64">
        <f>VALUE(MID('Bball ref'!H132,FIND("(",'Bball ref'!H132)+1,FIND("/",'Bball ref'!H132)-FIND("(",'Bball ref'!H132)-1))</f>
        <v>2.7</v>
      </c>
      <c r="P117" s="64">
        <f>VALUE(MID('Bball ref'!H132,FIND("/",'Bball ref'!H132)+1,FIND(")",'Bball ref'!H132)-FIND("/",'Bball ref'!H132)-1))</f>
        <v>3</v>
      </c>
      <c r="Q117" s="64">
        <f>(D117-Math!B$14)/Math!B$15</f>
        <v>-0.69041261950814947</v>
      </c>
      <c r="R117" s="64">
        <f>(E117-Math!C$14)/Math!C$15</f>
        <v>1.4516570202781012</v>
      </c>
      <c r="S117" s="64">
        <f>(F117-Math!D$14)/Math!D$15</f>
        <v>1.665800004706973</v>
      </c>
      <c r="T117" s="64">
        <f>(G117-Math!E$14)/Math!E$15</f>
        <v>-1.3499706616535385</v>
      </c>
      <c r="U117" s="64">
        <f>(H117-Math!F$14)/Math!F$15</f>
        <v>-0.44368215661284777</v>
      </c>
      <c r="V117" s="64">
        <f>(I117-Math!G$14)/Math!G$15</f>
        <v>-1.7677011334617379</v>
      </c>
      <c r="W117" s="64">
        <f>(J117-Math!H$14)/Math!H$15</f>
        <v>-0.90376288557943862</v>
      </c>
      <c r="X117" s="64">
        <f>(-1)*(K117-Math!I$14)/Math!I$15</f>
        <v>0.87400990080193131</v>
      </c>
      <c r="Y117" s="64">
        <f>(L117-Math!J$14)/Math!J$15</f>
        <v>4.9523553515895651E-2</v>
      </c>
    </row>
    <row r="118" spans="1:25">
      <c r="A118" s="64" t="str">
        <f>IF((LEN('Bball ref'!B133)-LEN(SUBSTITUTE('Bball ref'!B133," ","")))&lt;2,'Bball ref'!B133,LEFT('Bball ref'!B133,FIND(" ",'Bball ref'!B133,FIND(" ",'Bball ref'!B133)+1)-1))</f>
        <v>Taurean Prince</v>
      </c>
      <c r="B118" s="64">
        <f>'Bball ref'!A133</f>
        <v>117</v>
      </c>
      <c r="C118" s="64">
        <f>'Bball ref'!E133</f>
        <v>76</v>
      </c>
      <c r="D118" s="64">
        <f>VALUE(LEFT('Bball ref'!G133,FIND("(",'Bball ref'!G133)-1))</f>
        <v>0.44</v>
      </c>
      <c r="E118" s="64">
        <f>VALUE(LEFT('Bball ref'!H133,(FIND("(",'Bball ref'!H133)-1)))</f>
        <v>0.82</v>
      </c>
      <c r="F118" s="64">
        <f>'Bball ref'!I133</f>
        <v>2.2999999999999998</v>
      </c>
      <c r="G118" s="64">
        <f>'Bball ref'!K133</f>
        <v>4</v>
      </c>
      <c r="H118" s="64">
        <f>'Bball ref'!L133</f>
        <v>2.2000000000000002</v>
      </c>
      <c r="I118" s="64">
        <f>'Bball ref'!M133</f>
        <v>1</v>
      </c>
      <c r="J118" s="64">
        <f>'Bball ref'!N133</f>
        <v>0.3</v>
      </c>
      <c r="K118" s="64">
        <f>'Bball ref'!O133</f>
        <v>1.8</v>
      </c>
      <c r="L118" s="64">
        <f>'Bball ref'!J133</f>
        <v>14.1</v>
      </c>
      <c r="M118" s="64">
        <f>VALUE(MID('Bball ref'!G133,FIND("(",'Bball ref'!G133)+1,FIND("/",'Bball ref'!G133)-FIND("(",'Bball ref'!G133)-1))</f>
        <v>5</v>
      </c>
      <c r="N118" s="64">
        <f>VALUE(MID('Bball ref'!G133,FIND("/",'Bball ref'!G133)+1,FIND(")",'Bball ref'!G133)-FIND("/",'Bball ref'!G133)-1))</f>
        <v>11.3</v>
      </c>
      <c r="O118" s="64">
        <f>VALUE(MID('Bball ref'!H133,FIND("(",'Bball ref'!H133)+1,FIND("/",'Bball ref'!H133)-FIND("(",'Bball ref'!H133)-1))</f>
        <v>1.8</v>
      </c>
      <c r="P118" s="64">
        <f>VALUE(MID('Bball ref'!H133,FIND("/",'Bball ref'!H133)+1,FIND(")",'Bball ref'!H133)-FIND("/",'Bball ref'!H133)-1))</f>
        <v>2.2000000000000002</v>
      </c>
      <c r="Q118" s="64">
        <f>(D118-Math!B$14)/Math!B$15</f>
        <v>-0.69041261950814947</v>
      </c>
      <c r="R118" s="64">
        <f>(E118-Math!C$14)/Math!C$15</f>
        <v>0.48227002843963551</v>
      </c>
      <c r="S118" s="64">
        <f>(F118-Math!D$14)/Math!D$15</f>
        <v>0.91057979531909661</v>
      </c>
      <c r="T118" s="64">
        <f>(G118-Math!E$14)/Math!E$15</f>
        <v>-0.70432426277577376</v>
      </c>
      <c r="U118" s="64">
        <f>(H118-Math!F$14)/Math!F$15</f>
        <v>-0.54400599078194822</v>
      </c>
      <c r="V118" s="64">
        <f>(I118-Math!G$14)/Math!G$15</f>
        <v>7.9150797020674304E-2</v>
      </c>
      <c r="W118" s="64">
        <f>(J118-Math!H$14)/Math!H$15</f>
        <v>-0.71969712476896219</v>
      </c>
      <c r="X118" s="64">
        <f>(-1)*(K118-Math!I$14)/Math!I$15</f>
        <v>-6.5064436207051865E-2</v>
      </c>
      <c r="Y118" s="64">
        <f>(L118-Math!J$14)/Math!J$15</f>
        <v>-0.23117674981306774</v>
      </c>
    </row>
    <row r="119" spans="1:25">
      <c r="A119" s="64" t="str">
        <f>IF((LEN('Bball ref'!B134)-LEN(SUBSTITUTE('Bball ref'!B134," ","")))&lt;2,'Bball ref'!B134,LEFT('Bball ref'!B134,FIND(" ",'Bball ref'!B134,FIND(" ",'Bball ref'!B134)+1)-1))</f>
        <v>Kevin Huerter</v>
      </c>
      <c r="B119" s="64">
        <f>'Bball ref'!A134</f>
        <v>118</v>
      </c>
      <c r="C119" s="64">
        <f>'Bball ref'!E134</f>
        <v>76</v>
      </c>
      <c r="D119" s="64">
        <f>VALUE(LEFT('Bball ref'!G134,FIND("(",'Bball ref'!G134)-1))</f>
        <v>0.43</v>
      </c>
      <c r="E119" s="64">
        <f>VALUE(LEFT('Bball ref'!H134,(FIND("(",'Bball ref'!H134)-1)))</f>
        <v>0.75</v>
      </c>
      <c r="F119" s="64">
        <f>'Bball ref'!I134</f>
        <v>2.4</v>
      </c>
      <c r="G119" s="64">
        <f>'Bball ref'!K134</f>
        <v>3.7</v>
      </c>
      <c r="H119" s="64">
        <f>'Bball ref'!L134</f>
        <v>3.2</v>
      </c>
      <c r="I119" s="64">
        <f>'Bball ref'!M134</f>
        <v>1.1000000000000001</v>
      </c>
      <c r="J119" s="64">
        <f>'Bball ref'!N134</f>
        <v>0.3</v>
      </c>
      <c r="K119" s="64">
        <f>'Bball ref'!O134</f>
        <v>1.6</v>
      </c>
      <c r="L119" s="64">
        <f>'Bball ref'!J134</f>
        <v>13.8</v>
      </c>
      <c r="M119" s="64">
        <f>VALUE(MID('Bball ref'!G134,FIND("(",'Bball ref'!G134)+1,FIND("/",'Bball ref'!G134)-FIND("(",'Bball ref'!G134)-1))</f>
        <v>5.4</v>
      </c>
      <c r="N119" s="64">
        <f>VALUE(MID('Bball ref'!G134,FIND("/",'Bball ref'!G134)+1,FIND(")",'Bball ref'!G134)-FIND("/",'Bball ref'!G134)-1))</f>
        <v>12.5</v>
      </c>
      <c r="O119" s="64">
        <f>VALUE(MID('Bball ref'!H134,FIND("(",'Bball ref'!H134)+1,FIND("/",'Bball ref'!H134)-FIND("(",'Bball ref'!H134)-1))</f>
        <v>0.6</v>
      </c>
      <c r="P119" s="64">
        <f>VALUE(MID('Bball ref'!H134,FIND("/",'Bball ref'!H134)+1,FIND(")",'Bball ref'!H134)-FIND("/",'Bball ref'!H134)-1))</f>
        <v>0.8</v>
      </c>
      <c r="Q119" s="64">
        <f>(D119-Math!B$14)/Math!B$15</f>
        <v>-0.87526204909533856</v>
      </c>
      <c r="R119" s="64">
        <f>(E119-Math!C$14)/Math!C$15</f>
        <v>-0.3659435894190205</v>
      </c>
      <c r="S119" s="64">
        <f>(F119-Math!D$14)/Math!D$15</f>
        <v>1.0184683966602219</v>
      </c>
      <c r="T119" s="64">
        <f>(G119-Math!E$14)/Math!E$15</f>
        <v>-0.81826186257773215</v>
      </c>
      <c r="U119" s="64">
        <f>(H119-Math!F$14)/Math!F$15</f>
        <v>-4.2386819936445337E-2</v>
      </c>
      <c r="V119" s="64">
        <f>(I119-Math!G$14)/Math!G$15</f>
        <v>0.34298678708959057</v>
      </c>
      <c r="W119" s="64">
        <f>(J119-Math!H$14)/Math!H$15</f>
        <v>-0.71969712476896219</v>
      </c>
      <c r="X119" s="64">
        <f>(-1)*(K119-Math!I$14)/Math!I$15</f>
        <v>0.20324251722408615</v>
      </c>
      <c r="Y119" s="64">
        <f>(L119-Math!J$14)/Math!J$15</f>
        <v>-0.29132681481213107</v>
      </c>
    </row>
    <row r="120" spans="1:25">
      <c r="A120" s="64" t="str">
        <f>IF((LEN('Bball ref'!B135)-LEN(SUBSTITUTE('Bball ref'!B135," ","")))&lt;2,'Bball ref'!B135,LEFT('Bball ref'!B135,FIND(" ",'Bball ref'!B135,FIND(" ",'Bball ref'!B135)+1)-1))</f>
        <v>Dejounte Murray</v>
      </c>
      <c r="B120" s="64">
        <f>'Bball ref'!A135</f>
        <v>119</v>
      </c>
      <c r="C120" s="64">
        <f>'Bball ref'!E135</f>
        <v>68</v>
      </c>
      <c r="D120" s="64">
        <f>VALUE(LEFT('Bball ref'!G135,FIND("(",'Bball ref'!G135)-1))</f>
        <v>0.46</v>
      </c>
      <c r="E120" s="64">
        <f>VALUE(LEFT('Bball ref'!H135,(FIND("(",'Bball ref'!H135)-1)))</f>
        <v>0.72</v>
      </c>
      <c r="F120" s="64">
        <f>'Bball ref'!I135</f>
        <v>0.1</v>
      </c>
      <c r="G120" s="64">
        <f>'Bball ref'!K135</f>
        <v>6.3</v>
      </c>
      <c r="H120" s="64">
        <f>'Bball ref'!L135</f>
        <v>4</v>
      </c>
      <c r="I120" s="64">
        <f>'Bball ref'!M135</f>
        <v>1.4</v>
      </c>
      <c r="J120" s="64">
        <f>'Bball ref'!N135</f>
        <v>0.5</v>
      </c>
      <c r="K120" s="64">
        <f>'Bball ref'!O135</f>
        <v>2.2000000000000002</v>
      </c>
      <c r="L120" s="64">
        <f>'Bball ref'!J135</f>
        <v>13</v>
      </c>
      <c r="M120" s="64">
        <f>VALUE(MID('Bball ref'!G135,FIND("(",'Bball ref'!G135)+1,FIND("/",'Bball ref'!G135)-FIND("(",'Bball ref'!G135)-1))</f>
        <v>5.5</v>
      </c>
      <c r="N120" s="64">
        <f>VALUE(MID('Bball ref'!G135,FIND("/",'Bball ref'!G135)+1,FIND(")",'Bball ref'!G135)-FIND("/",'Bball ref'!G135)-1))</f>
        <v>12</v>
      </c>
      <c r="O120" s="64">
        <f>VALUE(MID('Bball ref'!H135,FIND("(",'Bball ref'!H135)+1,FIND("/",'Bball ref'!H135)-FIND("(",'Bball ref'!H135)-1))</f>
        <v>1.8</v>
      </c>
      <c r="P120" s="64">
        <f>VALUE(MID('Bball ref'!H135,FIND("/",'Bball ref'!H135)+1,FIND(")",'Bball ref'!H135)-FIND("/",'Bball ref'!H135)-1))</f>
        <v>2.5</v>
      </c>
      <c r="Q120" s="64">
        <f>(D120-Math!B$14)/Math!B$15</f>
        <v>-0.3207137603337713</v>
      </c>
      <c r="R120" s="64">
        <f>(E120-Math!C$14)/Math!C$15</f>
        <v>-0.72946371135844501</v>
      </c>
      <c r="S120" s="64">
        <f>(F120-Math!D$14)/Math!D$15</f>
        <v>-1.4629694341856569</v>
      </c>
      <c r="T120" s="64">
        <f>(G120-Math!E$14)/Math!E$15</f>
        <v>0.16919733570590764</v>
      </c>
      <c r="U120" s="64">
        <f>(H120-Math!F$14)/Math!F$15</f>
        <v>0.35890851673995683</v>
      </c>
      <c r="V120" s="64">
        <f>(I120-Math!G$14)/Math!G$15</f>
        <v>1.1344947572963382</v>
      </c>
      <c r="W120" s="64">
        <f>(J120-Math!H$14)/Math!H$15</f>
        <v>-0.35156560314800916</v>
      </c>
      <c r="X120" s="64">
        <f>(-1)*(K120-Math!I$14)/Math!I$15</f>
        <v>-0.60167834306932821</v>
      </c>
      <c r="Y120" s="64">
        <f>(L120-Math!J$14)/Math!J$15</f>
        <v>-0.45172698814296741</v>
      </c>
    </row>
    <row r="121" spans="1:25">
      <c r="A121" s="64" t="str">
        <f>IF((LEN('Bball ref'!B136)-LEN(SUBSTITUTE('Bball ref'!B136," ","")))&lt;2,'Bball ref'!B136,LEFT('Bball ref'!B136,FIND(" ",'Bball ref'!B136,FIND(" ",'Bball ref'!B136)+1)-1))</f>
        <v>Brandon Clarke</v>
      </c>
      <c r="B121" s="64">
        <f>'Bball ref'!A136</f>
        <v>120</v>
      </c>
      <c r="C121" s="64">
        <f>'Bball ref'!E136</f>
        <v>70</v>
      </c>
      <c r="D121" s="64">
        <f>VALUE(LEFT('Bball ref'!G136,FIND("(",'Bball ref'!G136)-1))</f>
        <v>0.53</v>
      </c>
      <c r="E121" s="64">
        <f>VALUE(LEFT('Bball ref'!H136,(FIND("(",'Bball ref'!H136)-1)))</f>
        <v>0.74</v>
      </c>
      <c r="F121" s="64">
        <f>'Bball ref'!I136</f>
        <v>0.2</v>
      </c>
      <c r="G121" s="64">
        <f>'Bball ref'!K136</f>
        <v>6</v>
      </c>
      <c r="H121" s="64">
        <f>'Bball ref'!L136</f>
        <v>1.4</v>
      </c>
      <c r="I121" s="64">
        <f>'Bball ref'!M136</f>
        <v>0.7</v>
      </c>
      <c r="J121" s="64">
        <f>'Bball ref'!N136</f>
        <v>1.5</v>
      </c>
      <c r="K121" s="64">
        <f>'Bball ref'!O136</f>
        <v>0.9</v>
      </c>
      <c r="L121" s="64">
        <f>'Bball ref'!J136</f>
        <v>10.6</v>
      </c>
      <c r="M121" s="64">
        <f>VALUE(MID('Bball ref'!G136,FIND("(",'Bball ref'!G136)+1,FIND("/",'Bball ref'!G136)-FIND("(",'Bball ref'!G136)-1))</f>
        <v>4.4000000000000004</v>
      </c>
      <c r="N121" s="64">
        <f>VALUE(MID('Bball ref'!G136,FIND("/",'Bball ref'!G136)+1,FIND(")",'Bball ref'!G136)-FIND("/",'Bball ref'!G136)-1))</f>
        <v>8.3000000000000007</v>
      </c>
      <c r="O121" s="64">
        <f>VALUE(MID('Bball ref'!H136,FIND("(",'Bball ref'!H136)+1,FIND("/",'Bball ref'!H136)-FIND("(",'Bball ref'!H136)-1))</f>
        <v>1.7</v>
      </c>
      <c r="P121" s="64">
        <f>VALUE(MID('Bball ref'!H136,FIND("/",'Bball ref'!H136)+1,FIND(")",'Bball ref'!H136)-FIND("/",'Bball ref'!H136)-1))</f>
        <v>2.2999999999999998</v>
      </c>
      <c r="Q121" s="64">
        <f>(D121-Math!B$14)/Math!B$15</f>
        <v>0.97323224677655129</v>
      </c>
      <c r="R121" s="64">
        <f>(E121-Math!C$14)/Math!C$15</f>
        <v>-0.48711696339882865</v>
      </c>
      <c r="S121" s="64">
        <f>(F121-Math!D$14)/Math!D$15</f>
        <v>-1.3550808328445318</v>
      </c>
      <c r="T121" s="64">
        <f>(G121-Math!E$14)/Math!E$15</f>
        <v>5.5259735903949246E-2</v>
      </c>
      <c r="U121" s="64">
        <f>(H121-Math!F$14)/Math!F$15</f>
        <v>-0.9453013274583506</v>
      </c>
      <c r="V121" s="64">
        <f>(I121-Math!G$14)/Math!G$15</f>
        <v>-0.71235717318607394</v>
      </c>
      <c r="W121" s="64">
        <f>(J121-Math!H$14)/Math!H$15</f>
        <v>1.4890920049567555</v>
      </c>
      <c r="X121" s="64">
        <f>(-1)*(K121-Math!I$14)/Math!I$15</f>
        <v>1.1423168542330695</v>
      </c>
      <c r="Y121" s="64">
        <f>(L121-Math!J$14)/Math!J$15</f>
        <v>-0.93292750813547598</v>
      </c>
    </row>
    <row r="122" spans="1:25">
      <c r="A122" s="64" t="str">
        <f>IF((LEN('Bball ref'!B138)-LEN(SUBSTITUTE('Bball ref'!B138," ","")))&lt;2,'Bball ref'!B138,LEFT('Bball ref'!B138,FIND(" ",'Bball ref'!B138,FIND(" ",'Bball ref'!B138)+1)-1))</f>
        <v>Thaddeus Young</v>
      </c>
      <c r="B122" s="64">
        <f>'Bball ref'!A138</f>
        <v>121</v>
      </c>
      <c r="C122" s="64">
        <f>'Bball ref'!E138</f>
        <v>74</v>
      </c>
      <c r="D122" s="64">
        <f>VALUE(LEFT('Bball ref'!G138,FIND("(",'Bball ref'!G138)-1))</f>
        <v>0.53</v>
      </c>
      <c r="E122" s="64">
        <f>VALUE(LEFT('Bball ref'!H138,(FIND("(",'Bball ref'!H138)-1)))</f>
        <v>0.67</v>
      </c>
      <c r="F122" s="64">
        <f>'Bball ref'!I138</f>
        <v>0.5</v>
      </c>
      <c r="G122" s="64">
        <f>'Bball ref'!K138</f>
        <v>5.8</v>
      </c>
      <c r="H122" s="64">
        <f>'Bball ref'!L138</f>
        <v>2.2000000000000002</v>
      </c>
      <c r="I122" s="64">
        <f>'Bball ref'!M138</f>
        <v>1.3</v>
      </c>
      <c r="J122" s="64">
        <f>'Bball ref'!N138</f>
        <v>0.4</v>
      </c>
      <c r="K122" s="64">
        <f>'Bball ref'!O138</f>
        <v>1.3</v>
      </c>
      <c r="L122" s="64">
        <f>'Bball ref'!J138</f>
        <v>11.3</v>
      </c>
      <c r="M122" s="64">
        <f>VALUE(MID('Bball ref'!G138,FIND("(",'Bball ref'!G138)+1,FIND("/",'Bball ref'!G138)-FIND("(",'Bball ref'!G138)-1))</f>
        <v>4.9000000000000004</v>
      </c>
      <c r="N122" s="64">
        <f>VALUE(MID('Bball ref'!G138,FIND("/",'Bball ref'!G138)+1,FIND(")",'Bball ref'!G138)-FIND("/",'Bball ref'!G138)-1))</f>
        <v>9.1999999999999993</v>
      </c>
      <c r="O122" s="64">
        <f>VALUE(MID('Bball ref'!H138,FIND("(",'Bball ref'!H138)+1,FIND("/",'Bball ref'!H138)-FIND("(",'Bball ref'!H138)-1))</f>
        <v>1</v>
      </c>
      <c r="P122" s="64">
        <f>VALUE(MID('Bball ref'!H138,FIND("/",'Bball ref'!H138)+1,FIND(")",'Bball ref'!H138)-FIND("/",'Bball ref'!H138)-1))</f>
        <v>1.5</v>
      </c>
      <c r="Q122" s="64">
        <f>(D122-Math!B$14)/Math!B$15</f>
        <v>0.97323224677655129</v>
      </c>
      <c r="R122" s="64">
        <f>(E122-Math!C$14)/Math!C$15</f>
        <v>-1.3353305812574847</v>
      </c>
      <c r="S122" s="64">
        <f>(F122-Math!D$14)/Math!D$15</f>
        <v>-1.0314150288211563</v>
      </c>
      <c r="T122" s="64">
        <f>(G122-Math!E$14)/Math!E$15</f>
        <v>-2.0698663964023124E-2</v>
      </c>
      <c r="U122" s="64">
        <f>(H122-Math!F$14)/Math!F$15</f>
        <v>-0.54400599078194822</v>
      </c>
      <c r="V122" s="64">
        <f>(I122-Math!G$14)/Math!G$15</f>
        <v>0.87065876722742253</v>
      </c>
      <c r="W122" s="64">
        <f>(J122-Math!H$14)/Math!H$15</f>
        <v>-0.53563136395848565</v>
      </c>
      <c r="X122" s="64">
        <f>(-1)*(K122-Math!I$14)/Math!I$15</f>
        <v>0.60570294737079333</v>
      </c>
      <c r="Y122" s="64">
        <f>(L122-Math!J$14)/Math!J$15</f>
        <v>-0.79257735647099414</v>
      </c>
    </row>
    <row r="123" spans="1:25">
      <c r="A123" s="64" t="str">
        <f>IF((LEN('Bball ref'!B139)-LEN(SUBSTITUTE('Bball ref'!B139," ","")))&lt;2,'Bball ref'!B139,LEFT('Bball ref'!B139,FIND(" ",'Bball ref'!B139,FIND(" ",'Bball ref'!B139)+1)-1))</f>
        <v>Jerami Grant</v>
      </c>
      <c r="B123" s="64">
        <f>'Bball ref'!A139</f>
        <v>122</v>
      </c>
      <c r="C123" s="64">
        <f>'Bball ref'!E139</f>
        <v>76</v>
      </c>
      <c r="D123" s="64">
        <f>VALUE(LEFT('Bball ref'!G139,FIND("(",'Bball ref'!G139)-1))</f>
        <v>0.5</v>
      </c>
      <c r="E123" s="64">
        <f>VALUE(LEFT('Bball ref'!H139,(FIND("(",'Bball ref'!H139)-1)))</f>
        <v>0.73</v>
      </c>
      <c r="F123" s="64">
        <f>'Bball ref'!I139</f>
        <v>1.3</v>
      </c>
      <c r="G123" s="64">
        <f>'Bball ref'!K139</f>
        <v>4.8</v>
      </c>
      <c r="H123" s="64">
        <f>'Bball ref'!L139</f>
        <v>0.9</v>
      </c>
      <c r="I123" s="64">
        <f>'Bball ref'!M139</f>
        <v>0.7</v>
      </c>
      <c r="J123" s="64">
        <f>'Bball ref'!N139</f>
        <v>1.2</v>
      </c>
      <c r="K123" s="64">
        <f>'Bball ref'!O139</f>
        <v>0.7</v>
      </c>
      <c r="L123" s="64">
        <f>'Bball ref'!J139</f>
        <v>12.7</v>
      </c>
      <c r="M123" s="64">
        <f>VALUE(MID('Bball ref'!G139,FIND("(",'Bball ref'!G139)+1,FIND("/",'Bball ref'!G139)-FIND("(",'Bball ref'!G139)-1))</f>
        <v>4.8</v>
      </c>
      <c r="N123" s="64">
        <f>VALUE(MID('Bball ref'!G139,FIND("/",'Bball ref'!G139)+1,FIND(")",'Bball ref'!G139)-FIND("/",'Bball ref'!G139)-1))</f>
        <v>9.6</v>
      </c>
      <c r="O123" s="64">
        <f>VALUE(MID('Bball ref'!H139,FIND("(",'Bball ref'!H139)+1,FIND("/",'Bball ref'!H139)-FIND("(",'Bball ref'!H139)-1))</f>
        <v>1.9</v>
      </c>
      <c r="P123" s="64">
        <f>VALUE(MID('Bball ref'!H139,FIND("/",'Bball ref'!H139)+1,FIND(")",'Bball ref'!H139)-FIND("/",'Bball ref'!H139)-1))</f>
        <v>2.6</v>
      </c>
      <c r="Q123" s="64">
        <f>(D123-Math!B$14)/Math!B$15</f>
        <v>0.41868395801498404</v>
      </c>
      <c r="R123" s="64">
        <f>(E123-Math!C$14)/Math!C$15</f>
        <v>-0.6082903373786368</v>
      </c>
      <c r="S123" s="64">
        <f>(F123-Math!D$14)/Math!D$15</f>
        <v>-0.16830621809215493</v>
      </c>
      <c r="T123" s="64">
        <f>(G123-Math!E$14)/Math!E$15</f>
        <v>-0.40049066330388466</v>
      </c>
      <c r="U123" s="64">
        <f>(H123-Math!F$14)/Math!F$15</f>
        <v>-1.1961109128811021</v>
      </c>
      <c r="V123" s="64">
        <f>(I123-Math!G$14)/Math!G$15</f>
        <v>-0.71235717318607394</v>
      </c>
      <c r="W123" s="64">
        <f>(J123-Math!H$14)/Math!H$15</f>
        <v>0.93689472252532613</v>
      </c>
      <c r="X123" s="64">
        <f>(-1)*(K123-Math!I$14)/Math!I$15</f>
        <v>1.4106238076642077</v>
      </c>
      <c r="Y123" s="64">
        <f>(L123-Math!J$14)/Math!J$15</f>
        <v>-0.51187705314203114</v>
      </c>
    </row>
    <row r="124" spans="1:25">
      <c r="A124" s="64" t="str">
        <f>IF((LEN('Bball ref'!B140)-LEN(SUBSTITUTE('Bball ref'!B140," ","")))&lt;2,'Bball ref'!B140,LEFT('Bball ref'!B140,FIND(" ",'Bball ref'!B140,FIND(" ",'Bball ref'!B140)+1)-1))</f>
        <v>Maxi Kleber</v>
      </c>
      <c r="B124" s="64">
        <f>'Bball ref'!A140</f>
        <v>123</v>
      </c>
      <c r="C124" s="64">
        <f>'Bball ref'!E140</f>
        <v>70</v>
      </c>
      <c r="D124" s="64">
        <f>VALUE(LEFT('Bball ref'!G140,FIND("(",'Bball ref'!G140)-1))</f>
        <v>0.46</v>
      </c>
      <c r="E124" s="64">
        <f>VALUE(LEFT('Bball ref'!H140,(FIND("(",'Bball ref'!H140)-1)))</f>
        <v>0.83</v>
      </c>
      <c r="F124" s="64">
        <f>'Bball ref'!I140</f>
        <v>1.4</v>
      </c>
      <c r="G124" s="64">
        <f>'Bball ref'!K140</f>
        <v>5.8</v>
      </c>
      <c r="H124" s="64">
        <f>'Bball ref'!L140</f>
        <v>1.2</v>
      </c>
      <c r="I124" s="64">
        <f>'Bball ref'!M140</f>
        <v>0.6</v>
      </c>
      <c r="J124" s="64">
        <f>'Bball ref'!N140</f>
        <v>1.4</v>
      </c>
      <c r="K124" s="64">
        <f>'Bball ref'!O140</f>
        <v>0.9</v>
      </c>
      <c r="L124" s="64">
        <f>'Bball ref'!J140</f>
        <v>8.6</v>
      </c>
      <c r="M124" s="64">
        <f>VALUE(MID('Bball ref'!G140,FIND("(",'Bball ref'!G140)+1,FIND("/",'Bball ref'!G140)-FIND("(",'Bball ref'!G140)-1))</f>
        <v>3.1</v>
      </c>
      <c r="N124" s="64">
        <f>VALUE(MID('Bball ref'!G140,FIND("/",'Bball ref'!G140)+1,FIND(")",'Bball ref'!G140)-FIND("/",'Bball ref'!G140)-1))</f>
        <v>6.7</v>
      </c>
      <c r="O124" s="64">
        <f>VALUE(MID('Bball ref'!H140,FIND("(",'Bball ref'!H140)+1,FIND("/",'Bball ref'!H140)-FIND("(",'Bball ref'!H140)-1))</f>
        <v>1</v>
      </c>
      <c r="P124" s="64">
        <f>VALUE(MID('Bball ref'!H140,FIND("/",'Bball ref'!H140)+1,FIND(")",'Bball ref'!H140)-FIND("/",'Bball ref'!H140)-1))</f>
        <v>1.2</v>
      </c>
      <c r="Q124" s="64">
        <f>(D124-Math!B$14)/Math!B$15</f>
        <v>-0.3207137603337713</v>
      </c>
      <c r="R124" s="64">
        <f>(E124-Math!C$14)/Math!C$15</f>
        <v>0.60344340241944372</v>
      </c>
      <c r="S124" s="64">
        <f>(F124-Math!D$14)/Math!D$15</f>
        <v>-6.0417616751029912E-2</v>
      </c>
      <c r="T124" s="64">
        <f>(G124-Math!E$14)/Math!E$15</f>
        <v>-2.0698663964023124E-2</v>
      </c>
      <c r="U124" s="64">
        <f>(H124-Math!F$14)/Math!F$15</f>
        <v>-1.0456251616274512</v>
      </c>
      <c r="V124" s="64">
        <f>(I124-Math!G$14)/Math!G$15</f>
        <v>-0.97619316325498995</v>
      </c>
      <c r="W124" s="64">
        <f>(J124-Math!H$14)/Math!H$15</f>
        <v>1.305026244146279</v>
      </c>
      <c r="X124" s="64">
        <f>(-1)*(K124-Math!I$14)/Math!I$15</f>
        <v>1.1423168542330695</v>
      </c>
      <c r="Y124" s="64">
        <f>(L124-Math!J$14)/Math!J$15</f>
        <v>-1.3339279414625664</v>
      </c>
    </row>
    <row r="125" spans="1:25">
      <c r="A125" s="64" t="str">
        <f>IF((LEN('Bball ref'!B141)-LEN(SUBSTITUTE('Bball ref'!B141," ","")))&lt;2,'Bball ref'!B141,LEFT('Bball ref'!B141,FIND(" ",'Bball ref'!B141,FIND(" ",'Bball ref'!B141)+1)-1))</f>
        <v>Bogdan Bogdanovic</v>
      </c>
      <c r="B125" s="64">
        <f>'Bball ref'!A141</f>
        <v>124</v>
      </c>
      <c r="C125" s="64">
        <f>'Bball ref'!E141</f>
        <v>74</v>
      </c>
      <c r="D125" s="64">
        <f>VALUE(LEFT('Bball ref'!G141,FIND("(",'Bball ref'!G141)-1))</f>
        <v>0.42</v>
      </c>
      <c r="E125" s="64">
        <f>VALUE(LEFT('Bball ref'!H141,(FIND("(",'Bball ref'!H141)-1)))</f>
        <v>0.83</v>
      </c>
      <c r="F125" s="64">
        <f>'Bball ref'!I141</f>
        <v>1.9</v>
      </c>
      <c r="G125" s="64">
        <f>'Bball ref'!K141</f>
        <v>3.6</v>
      </c>
      <c r="H125" s="64">
        <f>'Bball ref'!L141</f>
        <v>3.9</v>
      </c>
      <c r="I125" s="64">
        <f>'Bball ref'!M141</f>
        <v>1</v>
      </c>
      <c r="J125" s="64">
        <f>'Bball ref'!N141</f>
        <v>0.2</v>
      </c>
      <c r="K125" s="64">
        <f>'Bball ref'!O141</f>
        <v>1.7</v>
      </c>
      <c r="L125" s="64">
        <f>'Bball ref'!J141</f>
        <v>13.6</v>
      </c>
      <c r="M125" s="64">
        <f>VALUE(MID('Bball ref'!G141,FIND("(",'Bball ref'!G141)+1,FIND("/",'Bball ref'!G141)-FIND("(",'Bball ref'!G141)-1))</f>
        <v>4.8</v>
      </c>
      <c r="N125" s="64">
        <f>VALUE(MID('Bball ref'!G141,FIND("/",'Bball ref'!G141)+1,FIND(")",'Bball ref'!G141)-FIND("/",'Bball ref'!G141)-1))</f>
        <v>11.3</v>
      </c>
      <c r="O125" s="64">
        <f>VALUE(MID('Bball ref'!H141,FIND("(",'Bball ref'!H141)+1,FIND("/",'Bball ref'!H141)-FIND("(",'Bball ref'!H141)-1))</f>
        <v>1.9</v>
      </c>
      <c r="P125" s="64">
        <f>VALUE(MID('Bball ref'!H141,FIND("/",'Bball ref'!H141)+1,FIND(")",'Bball ref'!H141)-FIND("/",'Bball ref'!H141)-1))</f>
        <v>2.2999999999999998</v>
      </c>
      <c r="Q125" s="64">
        <f>(D125-Math!B$14)/Math!B$15</f>
        <v>-1.0601114786825276</v>
      </c>
      <c r="R125" s="64">
        <f>(E125-Math!C$14)/Math!C$15</f>
        <v>0.60344340241944372</v>
      </c>
      <c r="S125" s="64">
        <f>(F125-Math!D$14)/Math!D$15</f>
        <v>0.47902538995459598</v>
      </c>
      <c r="T125" s="64">
        <f>(G125-Math!E$14)/Math!E$15</f>
        <v>-0.85624106251171839</v>
      </c>
      <c r="U125" s="64">
        <f>(H125-Math!F$14)/Math!F$15</f>
        <v>0.30874659965540652</v>
      </c>
      <c r="V125" s="64">
        <f>(I125-Math!G$14)/Math!G$15</f>
        <v>7.9150797020674304E-2</v>
      </c>
      <c r="W125" s="64">
        <f>(J125-Math!H$14)/Math!H$15</f>
        <v>-0.90376288557943862</v>
      </c>
      <c r="X125" s="64">
        <f>(-1)*(K125-Math!I$14)/Math!I$15</f>
        <v>6.9089040508517302E-2</v>
      </c>
      <c r="Y125" s="64">
        <f>(L125-Math!J$14)/Math!J$15</f>
        <v>-0.33142685814484035</v>
      </c>
    </row>
    <row r="126" spans="1:25">
      <c r="A126" s="64" t="str">
        <f>IF((LEN('Bball ref'!B142)-LEN(SUBSTITUTE('Bball ref'!B142," ","")))&lt;2,'Bball ref'!B142,LEFT('Bball ref'!B142,FIND(" ",'Bball ref'!B142,FIND(" ",'Bball ref'!B142)+1)-1))</f>
        <v>Tomas Satoransky</v>
      </c>
      <c r="B126" s="64">
        <f>'Bball ref'!A142</f>
        <v>125</v>
      </c>
      <c r="C126" s="64">
        <f>'Bball ref'!E142</f>
        <v>76</v>
      </c>
      <c r="D126" s="64">
        <f>VALUE(LEFT('Bball ref'!G142,FIND("(",'Bball ref'!G142)-1))</f>
        <v>0.47</v>
      </c>
      <c r="E126" s="64">
        <f>VALUE(LEFT('Bball ref'!H142,(FIND("(",'Bball ref'!H142)-1)))</f>
        <v>0.81</v>
      </c>
      <c r="F126" s="64">
        <f>'Bball ref'!I142</f>
        <v>0.8</v>
      </c>
      <c r="G126" s="64">
        <f>'Bball ref'!K142</f>
        <v>3.7</v>
      </c>
      <c r="H126" s="64">
        <f>'Bball ref'!L142</f>
        <v>5.3</v>
      </c>
      <c r="I126" s="64">
        <f>'Bball ref'!M142</f>
        <v>1</v>
      </c>
      <c r="J126" s="64">
        <f>'Bball ref'!N142</f>
        <v>0.2</v>
      </c>
      <c r="K126" s="64">
        <f>'Bball ref'!O142</f>
        <v>1.5</v>
      </c>
      <c r="L126" s="64">
        <f>'Bball ref'!J142</f>
        <v>11.4</v>
      </c>
      <c r="M126" s="64">
        <f>VALUE(MID('Bball ref'!G142,FIND("(",'Bball ref'!G142)+1,FIND("/",'Bball ref'!G142)-FIND("(",'Bball ref'!G142)-1))</f>
        <v>4.4000000000000004</v>
      </c>
      <c r="N126" s="64">
        <f>VALUE(MID('Bball ref'!G142,FIND("/",'Bball ref'!G142)+1,FIND(")",'Bball ref'!G142)-FIND("/",'Bball ref'!G142)-1))</f>
        <v>9.3000000000000007</v>
      </c>
      <c r="O126" s="64">
        <f>VALUE(MID('Bball ref'!H142,FIND("(",'Bball ref'!H142)+1,FIND("/",'Bball ref'!H142)-FIND("(",'Bball ref'!H142)-1))</f>
        <v>1.7</v>
      </c>
      <c r="P126" s="64">
        <f>VALUE(MID('Bball ref'!H142,FIND("/",'Bball ref'!H142)+1,FIND(")",'Bball ref'!H142)-FIND("/",'Bball ref'!H142)-1))</f>
        <v>2.1</v>
      </c>
      <c r="Q126" s="64">
        <f>(D126-Math!B$14)/Math!B$15</f>
        <v>-0.13586433074658327</v>
      </c>
      <c r="R126" s="64">
        <f>(E126-Math!C$14)/Math!C$15</f>
        <v>0.36109665445982869</v>
      </c>
      <c r="S126" s="64">
        <f>(F126-Math!D$14)/Math!D$15</f>
        <v>-0.7077492247977808</v>
      </c>
      <c r="T126" s="64">
        <f>(G126-Math!E$14)/Math!E$15</f>
        <v>-0.81826186257773215</v>
      </c>
      <c r="U126" s="64">
        <f>(H126-Math!F$14)/Math!F$15</f>
        <v>1.0110134388391105</v>
      </c>
      <c r="V126" s="64">
        <f>(I126-Math!G$14)/Math!G$15</f>
        <v>7.9150797020674304E-2</v>
      </c>
      <c r="W126" s="64">
        <f>(J126-Math!H$14)/Math!H$15</f>
        <v>-0.90376288557943862</v>
      </c>
      <c r="X126" s="64">
        <f>(-1)*(K126-Math!I$14)/Math!I$15</f>
        <v>0.3373959939396553</v>
      </c>
      <c r="Y126" s="64">
        <f>(L126-Math!J$14)/Math!J$15</f>
        <v>-0.77252733480463975</v>
      </c>
    </row>
    <row r="127" spans="1:25">
      <c r="A127" s="64" t="str">
        <f>IF((LEN('Bball ref'!B143)-LEN(SUBSTITUTE('Bball ref'!B143," ","")))&lt;2,'Bball ref'!B143,LEFT('Bball ref'!B143,FIND(" ",'Bball ref'!B143,FIND(" ",'Bball ref'!B143)+1)-1))</f>
        <v>Bojan Bogdanovic</v>
      </c>
      <c r="B127" s="64">
        <f>'Bball ref'!A143</f>
        <v>126</v>
      </c>
      <c r="C127" s="64">
        <f>'Bball ref'!E143</f>
        <v>78</v>
      </c>
      <c r="D127" s="64">
        <f>VALUE(LEFT('Bball ref'!G143,FIND("(",'Bball ref'!G143)-1))</f>
        <v>0.49</v>
      </c>
      <c r="E127" s="64">
        <f>VALUE(LEFT('Bball ref'!H143,(FIND("(",'Bball ref'!H143)-1)))</f>
        <v>0.79</v>
      </c>
      <c r="F127" s="64">
        <f>'Bball ref'!I143</f>
        <v>2</v>
      </c>
      <c r="G127" s="64">
        <f>'Bball ref'!K143</f>
        <v>4.0999999999999996</v>
      </c>
      <c r="H127" s="64">
        <f>'Bball ref'!L143</f>
        <v>2</v>
      </c>
      <c r="I127" s="64">
        <f>'Bball ref'!M143</f>
        <v>0.8</v>
      </c>
      <c r="J127" s="64">
        <f>'Bball ref'!N143</f>
        <v>0</v>
      </c>
      <c r="K127" s="64">
        <f>'Bball ref'!O143</f>
        <v>1.6</v>
      </c>
      <c r="L127" s="64">
        <f>'Bball ref'!J143</f>
        <v>15.7</v>
      </c>
      <c r="M127" s="64">
        <f>VALUE(MID('Bball ref'!G143,FIND("(",'Bball ref'!G143)+1,FIND("/",'Bball ref'!G143)-FIND("(",'Bball ref'!G143)-1))</f>
        <v>5.4</v>
      </c>
      <c r="N127" s="64">
        <f>VALUE(MID('Bball ref'!G143,FIND("/",'Bball ref'!G143)+1,FIND(")",'Bball ref'!G143)-FIND("/",'Bball ref'!G143)-1))</f>
        <v>11.1</v>
      </c>
      <c r="O127" s="64">
        <f>VALUE(MID('Bball ref'!H143,FIND("(",'Bball ref'!H143)+1,FIND("/",'Bball ref'!H143)-FIND("(",'Bball ref'!H143)-1))</f>
        <v>3</v>
      </c>
      <c r="P127" s="64">
        <f>VALUE(MID('Bball ref'!H143,FIND("/",'Bball ref'!H143)+1,FIND(")",'Bball ref'!H143)-FIND("/",'Bball ref'!H143)-1))</f>
        <v>3.8</v>
      </c>
      <c r="Q127" s="64">
        <f>(D127-Math!B$14)/Math!B$15</f>
        <v>0.23383452842779492</v>
      </c>
      <c r="R127" s="64">
        <f>(E127-Math!C$14)/Math!C$15</f>
        <v>0.11874990650021229</v>
      </c>
      <c r="S127" s="64">
        <f>(F127-Math!D$14)/Math!D$15</f>
        <v>0.58691399129572119</v>
      </c>
      <c r="T127" s="64">
        <f>(G127-Math!E$14)/Math!E$15</f>
        <v>-0.66634506284178774</v>
      </c>
      <c r="U127" s="64">
        <f>(H127-Math!F$14)/Math!F$15</f>
        <v>-0.64432982495104885</v>
      </c>
      <c r="V127" s="64">
        <f>(I127-Math!G$14)/Math!G$15</f>
        <v>-0.44852118311715766</v>
      </c>
      <c r="W127" s="64">
        <f>(J127-Math!H$14)/Math!H$15</f>
        <v>-1.2718944072003915</v>
      </c>
      <c r="X127" s="64">
        <f>(-1)*(K127-Math!I$14)/Math!I$15</f>
        <v>0.20324251722408615</v>
      </c>
      <c r="Y127" s="64">
        <f>(L127-Math!J$14)/Math!J$15</f>
        <v>8.9623596848604548E-2</v>
      </c>
    </row>
    <row r="128" spans="1:25">
      <c r="A128" s="64" t="str">
        <f>IF((LEN('Bball ref'!B144)-LEN(SUBSTITUTE('Bball ref'!B144," ","")))&lt;2,'Bball ref'!B144,LEFT('Bball ref'!B144,FIND(" ",'Bball ref'!B144,FIND(" ",'Bball ref'!B144)+1)-1))</f>
        <v>Patrick Beverley</v>
      </c>
      <c r="B128" s="64">
        <f>'Bball ref'!A144</f>
        <v>127</v>
      </c>
      <c r="C128" s="64">
        <f>'Bball ref'!E144</f>
        <v>75</v>
      </c>
      <c r="D128" s="64">
        <f>VALUE(LEFT('Bball ref'!G144,FIND("(",'Bball ref'!G144)-1))</f>
        <v>0.43</v>
      </c>
      <c r="E128" s="64">
        <f>VALUE(LEFT('Bball ref'!H144,(FIND("(",'Bball ref'!H144)-1)))</f>
        <v>0.78</v>
      </c>
      <c r="F128" s="64">
        <f>'Bball ref'!I144</f>
        <v>1.6</v>
      </c>
      <c r="G128" s="64">
        <f>'Bball ref'!K144</f>
        <v>4.0999999999999996</v>
      </c>
      <c r="H128" s="64">
        <f>'Bball ref'!L144</f>
        <v>4.3</v>
      </c>
      <c r="I128" s="64">
        <f>'Bball ref'!M144</f>
        <v>1</v>
      </c>
      <c r="J128" s="64">
        <f>'Bball ref'!N144</f>
        <v>0.7</v>
      </c>
      <c r="K128" s="64">
        <f>'Bball ref'!O144</f>
        <v>1.2</v>
      </c>
      <c r="L128" s="64">
        <f>'Bball ref'!J144</f>
        <v>8.8000000000000007</v>
      </c>
      <c r="M128" s="64">
        <f>VALUE(MID('Bball ref'!G144,FIND("(",'Bball ref'!G144)+1,FIND("/",'Bball ref'!G144)-FIND("(",'Bball ref'!G144)-1))</f>
        <v>2.9</v>
      </c>
      <c r="N128" s="64">
        <f>VALUE(MID('Bball ref'!G144,FIND("/",'Bball ref'!G144)+1,FIND(")",'Bball ref'!G144)-FIND("/",'Bball ref'!G144)-1))</f>
        <v>6.8</v>
      </c>
      <c r="O128" s="64">
        <f>VALUE(MID('Bball ref'!H144,FIND("(",'Bball ref'!H144)+1,FIND("/",'Bball ref'!H144)-FIND("(",'Bball ref'!H144)-1))</f>
        <v>1.4</v>
      </c>
      <c r="P128" s="64">
        <f>VALUE(MID('Bball ref'!H144,FIND("/",'Bball ref'!H144)+1,FIND(")",'Bball ref'!H144)-FIND("/",'Bball ref'!H144)-1))</f>
        <v>1.8</v>
      </c>
      <c r="Q128" s="64">
        <f>(D128-Math!B$14)/Math!B$15</f>
        <v>-0.87526204909533856</v>
      </c>
      <c r="R128" s="64">
        <f>(E128-Math!C$14)/Math!C$15</f>
        <v>-2.4234674795958946E-3</v>
      </c>
      <c r="S128" s="64">
        <f>(F128-Math!D$14)/Math!D$15</f>
        <v>0.15535958593122062</v>
      </c>
      <c r="T128" s="64">
        <f>(G128-Math!E$14)/Math!E$15</f>
        <v>-0.66634506284178774</v>
      </c>
      <c r="U128" s="64">
        <f>(H128-Math!F$14)/Math!F$15</f>
        <v>0.50939426799360765</v>
      </c>
      <c r="V128" s="64">
        <f>(I128-Math!G$14)/Math!G$15</f>
        <v>7.9150797020674304E-2</v>
      </c>
      <c r="W128" s="64">
        <f>(J128-Math!H$14)/Math!H$15</f>
        <v>1.6565918472943714E-2</v>
      </c>
      <c r="X128" s="64">
        <f>(-1)*(K128-Math!I$14)/Math!I$15</f>
        <v>0.73985642408636254</v>
      </c>
      <c r="Y128" s="64">
        <f>(L128-Math!J$14)/Math!J$15</f>
        <v>-1.2938278981298572</v>
      </c>
    </row>
    <row r="129" spans="1:25">
      <c r="A129" s="64" t="str">
        <f>IF((LEN('Bball ref'!B145)-LEN(SUBSTITUTE('Bball ref'!B145," ","")))&lt;2,'Bball ref'!B145,LEFT('Bball ref'!B145,FIND(" ",'Bball ref'!B145,FIND(" ",'Bball ref'!B145)+1)-1))</f>
        <v>Joe Harris</v>
      </c>
      <c r="B129" s="64">
        <f>'Bball ref'!A145</f>
        <v>128</v>
      </c>
      <c r="C129" s="64">
        <f>'Bball ref'!E145</f>
        <v>76</v>
      </c>
      <c r="D129" s="64">
        <f>VALUE(LEFT('Bball ref'!G145,FIND("(",'Bball ref'!G145)-1))</f>
        <v>0.49</v>
      </c>
      <c r="E129" s="64">
        <f>VALUE(LEFT('Bball ref'!H145,(FIND("(",'Bball ref'!H145)-1)))</f>
        <v>0.79</v>
      </c>
      <c r="F129" s="64">
        <f>'Bball ref'!I145</f>
        <v>2.5</v>
      </c>
      <c r="G129" s="64">
        <f>'Bball ref'!K145</f>
        <v>4</v>
      </c>
      <c r="H129" s="64">
        <f>'Bball ref'!L145</f>
        <v>2.5</v>
      </c>
      <c r="I129" s="64">
        <f>'Bball ref'!M145</f>
        <v>0.5</v>
      </c>
      <c r="J129" s="64">
        <f>'Bball ref'!N145</f>
        <v>0.2</v>
      </c>
      <c r="K129" s="64">
        <f>'Bball ref'!O145</f>
        <v>1.6</v>
      </c>
      <c r="L129" s="64">
        <f>'Bball ref'!J145</f>
        <v>14.2</v>
      </c>
      <c r="M129" s="64">
        <f>VALUE(MID('Bball ref'!G145,FIND("(",'Bball ref'!G145)+1,FIND("/",'Bball ref'!G145)-FIND("(",'Bball ref'!G145)-1))</f>
        <v>5.0999999999999996</v>
      </c>
      <c r="N129" s="64">
        <f>VALUE(MID('Bball ref'!G145,FIND("/",'Bball ref'!G145)+1,FIND(")",'Bball ref'!G145)-FIND("/",'Bball ref'!G145)-1))</f>
        <v>10.5</v>
      </c>
      <c r="O129" s="64">
        <f>VALUE(MID('Bball ref'!H145,FIND("(",'Bball ref'!H145)+1,FIND("/",'Bball ref'!H145)-FIND("(",'Bball ref'!H145)-1))</f>
        <v>1.5</v>
      </c>
      <c r="P129" s="64">
        <f>VALUE(MID('Bball ref'!H145,FIND("/",'Bball ref'!H145)+1,FIND(")",'Bball ref'!H145)-FIND("/",'Bball ref'!H145)-1))</f>
        <v>1.9</v>
      </c>
      <c r="Q129" s="64">
        <f>(D129-Math!B$14)/Math!B$15</f>
        <v>0.23383452842779492</v>
      </c>
      <c r="R129" s="64">
        <f>(E129-Math!C$14)/Math!C$15</f>
        <v>0.11874990650021229</v>
      </c>
      <c r="S129" s="64">
        <f>(F129-Math!D$14)/Math!D$15</f>
        <v>1.126356998001347</v>
      </c>
      <c r="T129" s="64">
        <f>(G129-Math!E$14)/Math!E$15</f>
        <v>-0.70432426277577376</v>
      </c>
      <c r="U129" s="64">
        <f>(H129-Math!F$14)/Math!F$15</f>
        <v>-0.3935202395282974</v>
      </c>
      <c r="V129" s="64">
        <f>(I129-Math!G$14)/Math!G$15</f>
        <v>-1.2400291533239061</v>
      </c>
      <c r="W129" s="64">
        <f>(J129-Math!H$14)/Math!H$15</f>
        <v>-0.90376288557943862</v>
      </c>
      <c r="X129" s="64">
        <f>(-1)*(K129-Math!I$14)/Math!I$15</f>
        <v>0.20324251722408615</v>
      </c>
      <c r="Y129" s="64">
        <f>(L129-Math!J$14)/Math!J$15</f>
        <v>-0.21112672814671329</v>
      </c>
    </row>
    <row r="130" spans="1:25">
      <c r="A130" s="64" t="str">
        <f>IF((LEN('Bball ref'!B146)-LEN(SUBSTITUTE('Bball ref'!B146," ","")))&lt;2,'Bball ref'!B146,LEFT('Bball ref'!B146,FIND(" ",'Bball ref'!B146,FIND(" ",'Bball ref'!B146)+1)-1))</f>
        <v>Kent Bazemore</v>
      </c>
      <c r="B130" s="64">
        <f>'Bball ref'!A146</f>
        <v>129</v>
      </c>
      <c r="C130" s="64">
        <f>'Bball ref'!E146</f>
        <v>70</v>
      </c>
      <c r="D130" s="64">
        <f>VALUE(LEFT('Bball ref'!G146,FIND("(",'Bball ref'!G146)-1))</f>
        <v>0.42</v>
      </c>
      <c r="E130" s="64">
        <f>VALUE(LEFT('Bball ref'!H146,(FIND("(",'Bball ref'!H146)-1)))</f>
        <v>0.72</v>
      </c>
      <c r="F130" s="64">
        <f>'Bball ref'!I146</f>
        <v>1.7</v>
      </c>
      <c r="G130" s="64">
        <f>'Bball ref'!K146</f>
        <v>4.3</v>
      </c>
      <c r="H130" s="64">
        <f>'Bball ref'!L146</f>
        <v>2.5</v>
      </c>
      <c r="I130" s="64">
        <f>'Bball ref'!M146</f>
        <v>1.4</v>
      </c>
      <c r="J130" s="64">
        <f>'Bball ref'!N146</f>
        <v>0.7</v>
      </c>
      <c r="K130" s="64">
        <f>'Bball ref'!O146</f>
        <v>1.9</v>
      </c>
      <c r="L130" s="64">
        <f>'Bball ref'!J146</f>
        <v>13.3</v>
      </c>
      <c r="M130" s="64">
        <f>VALUE(MID('Bball ref'!G146,FIND("(",'Bball ref'!G146)+1,FIND("/",'Bball ref'!G146)-FIND("(",'Bball ref'!G146)-1))</f>
        <v>4.8</v>
      </c>
      <c r="N130" s="64">
        <f>VALUE(MID('Bball ref'!G146,FIND("/",'Bball ref'!G146)+1,FIND(")",'Bball ref'!G146)-FIND("/",'Bball ref'!G146)-1))</f>
        <v>11.4</v>
      </c>
      <c r="O130" s="64">
        <f>VALUE(MID('Bball ref'!H146,FIND("(",'Bball ref'!H146)+1,FIND("/",'Bball ref'!H146)-FIND("(",'Bball ref'!H146)-1))</f>
        <v>2.1</v>
      </c>
      <c r="P130" s="64">
        <f>VALUE(MID('Bball ref'!H146,FIND("/",'Bball ref'!H146)+1,FIND(")",'Bball ref'!H146)-FIND("/",'Bball ref'!H146)-1))</f>
        <v>2.9</v>
      </c>
      <c r="Q130" s="64">
        <f>(D130-Math!B$14)/Math!B$15</f>
        <v>-1.0601114786825276</v>
      </c>
      <c r="R130" s="64">
        <f>(E130-Math!C$14)/Math!C$15</f>
        <v>-0.72946371135844501</v>
      </c>
      <c r="S130" s="64">
        <f>(F130-Math!D$14)/Math!D$15</f>
        <v>0.26324818727234567</v>
      </c>
      <c r="T130" s="64">
        <f>(G130-Math!E$14)/Math!E$15</f>
        <v>-0.59038666297381537</v>
      </c>
      <c r="U130" s="64">
        <f>(H130-Math!F$14)/Math!F$15</f>
        <v>-0.3935202395282974</v>
      </c>
      <c r="V130" s="64">
        <f>(I130-Math!G$14)/Math!G$15</f>
        <v>1.1344947572963382</v>
      </c>
      <c r="W130" s="64">
        <f>(J130-Math!H$14)/Math!H$15</f>
        <v>1.6565918472943714E-2</v>
      </c>
      <c r="X130" s="64">
        <f>(-1)*(K130-Math!I$14)/Math!I$15</f>
        <v>-0.19921791292262073</v>
      </c>
      <c r="Y130" s="64">
        <f>(L130-Math!J$14)/Math!J$15</f>
        <v>-0.39157692314390369</v>
      </c>
    </row>
    <row r="131" spans="1:25">
      <c r="A131" s="64" t="str">
        <f>IF((LEN('Bball ref'!B147)-LEN(SUBSTITUTE('Bball ref'!B147," ","")))&lt;2,'Bball ref'!B147,LEFT('Bball ref'!B147,FIND(" ",'Bball ref'!B147,FIND(" ",'Bball ref'!B147)+1)-1))</f>
        <v>DJ Augustin</v>
      </c>
      <c r="B131" s="64">
        <f>'Bball ref'!A147</f>
        <v>130</v>
      </c>
      <c r="C131" s="64">
        <f>'Bball ref'!E147</f>
        <v>78</v>
      </c>
      <c r="D131" s="64">
        <f>VALUE(LEFT('Bball ref'!G147,FIND("(",'Bball ref'!G147)-1))</f>
        <v>0.47</v>
      </c>
      <c r="E131" s="64">
        <f>VALUE(LEFT('Bball ref'!H147,(FIND("(",'Bball ref'!H147)-1)))</f>
        <v>0.85</v>
      </c>
      <c r="F131" s="64">
        <f>'Bball ref'!I147</f>
        <v>1.7</v>
      </c>
      <c r="G131" s="64">
        <f>'Bball ref'!K147</f>
        <v>2.6</v>
      </c>
      <c r="H131" s="64">
        <f>'Bball ref'!L147</f>
        <v>5.6</v>
      </c>
      <c r="I131" s="64">
        <f>'Bball ref'!M147</f>
        <v>0.6</v>
      </c>
      <c r="J131" s="64">
        <f>'Bball ref'!N147</f>
        <v>0</v>
      </c>
      <c r="K131" s="64">
        <f>'Bball ref'!O147</f>
        <v>1.6</v>
      </c>
      <c r="L131" s="64">
        <f>'Bball ref'!J147</f>
        <v>12.2</v>
      </c>
      <c r="M131" s="64">
        <f>VALUE(MID('Bball ref'!G147,FIND("(",'Bball ref'!G147)+1,FIND("/",'Bball ref'!G147)-FIND("(",'Bball ref'!G147)-1))</f>
        <v>4.0999999999999996</v>
      </c>
      <c r="N131" s="64">
        <f>VALUE(MID('Bball ref'!G147,FIND("/",'Bball ref'!G147)+1,FIND(")",'Bball ref'!G147)-FIND("/",'Bball ref'!G147)-1))</f>
        <v>8.8000000000000007</v>
      </c>
      <c r="O131" s="64">
        <f>VALUE(MID('Bball ref'!H147,FIND("(",'Bball ref'!H147)+1,FIND("/",'Bball ref'!H147)-FIND("(",'Bball ref'!H147)-1))</f>
        <v>2.2999999999999998</v>
      </c>
      <c r="P131" s="64">
        <f>VALUE(MID('Bball ref'!H147,FIND("/",'Bball ref'!H147)+1,FIND(")",'Bball ref'!H147)-FIND("/",'Bball ref'!H147)-1))</f>
        <v>2.7</v>
      </c>
      <c r="Q131" s="64">
        <f>(D131-Math!B$14)/Math!B$15</f>
        <v>-0.13586433074658327</v>
      </c>
      <c r="R131" s="64">
        <f>(E131-Math!C$14)/Math!C$15</f>
        <v>0.84579015037906013</v>
      </c>
      <c r="S131" s="64">
        <f>(F131-Math!D$14)/Math!D$15</f>
        <v>0.26324818727234567</v>
      </c>
      <c r="T131" s="64">
        <f>(G131-Math!E$14)/Math!E$15</f>
        <v>-1.23603306185158</v>
      </c>
      <c r="U131" s="64">
        <f>(H131-Math!F$14)/Math!F$15</f>
        <v>1.1614991900927611</v>
      </c>
      <c r="V131" s="64">
        <f>(I131-Math!G$14)/Math!G$15</f>
        <v>-0.97619316325498995</v>
      </c>
      <c r="W131" s="64">
        <f>(J131-Math!H$14)/Math!H$15</f>
        <v>-1.2718944072003915</v>
      </c>
      <c r="X131" s="64">
        <f>(-1)*(K131-Math!I$14)/Math!I$15</f>
        <v>0.20324251722408615</v>
      </c>
      <c r="Y131" s="64">
        <f>(L131-Math!J$14)/Math!J$15</f>
        <v>-0.61212716147380375</v>
      </c>
    </row>
    <row r="132" spans="1:25">
      <c r="A132" s="64" t="str">
        <f>IF((LEN('Bball ref'!B148)-LEN(SUBSTITUTE('Bball ref'!B148," ","")))&lt;2,'Bball ref'!B148,LEFT('Bball ref'!B148,FIND(" ",'Bball ref'!B148,FIND(" ",'Bball ref'!B148)+1)-1))</f>
        <v>RJ Barrett</v>
      </c>
      <c r="B132" s="64">
        <f>'Bball ref'!A148</f>
        <v>131</v>
      </c>
      <c r="C132" s="64">
        <f>'Bball ref'!E148</f>
        <v>72</v>
      </c>
      <c r="D132" s="64">
        <f>VALUE(LEFT('Bball ref'!G148,FIND("(",'Bball ref'!G148)-1))</f>
        <v>0.44</v>
      </c>
      <c r="E132" s="64">
        <f>VALUE(LEFT('Bball ref'!H148,(FIND("(",'Bball ref'!H148)-1)))</f>
        <v>0.73</v>
      </c>
      <c r="F132" s="64">
        <f>'Bball ref'!I148</f>
        <v>2.2000000000000002</v>
      </c>
      <c r="G132" s="64">
        <f>'Bball ref'!K148</f>
        <v>5.7</v>
      </c>
      <c r="H132" s="64">
        <f>'Bball ref'!L148</f>
        <v>3.6</v>
      </c>
      <c r="I132" s="64">
        <f>'Bball ref'!M148</f>
        <v>0.8</v>
      </c>
      <c r="J132" s="64">
        <f>'Bball ref'!N148</f>
        <v>0.3</v>
      </c>
      <c r="K132" s="64">
        <f>'Bball ref'!O148</f>
        <v>2.1</v>
      </c>
      <c r="L132" s="64">
        <f>'Bball ref'!J148</f>
        <v>17.5</v>
      </c>
      <c r="M132" s="64">
        <f>VALUE(MID('Bball ref'!G148,FIND("(",'Bball ref'!G148)+1,FIND("/",'Bball ref'!G148)-FIND("(",'Bball ref'!G148)-1))</f>
        <v>5.9</v>
      </c>
      <c r="N132" s="64">
        <f>VALUE(MID('Bball ref'!G148,FIND("/",'Bball ref'!G148)+1,FIND(")",'Bball ref'!G148)-FIND("/",'Bball ref'!G148)-1))</f>
        <v>13.4</v>
      </c>
      <c r="O132" s="64">
        <f>VALUE(MID('Bball ref'!H148,FIND("(",'Bball ref'!H148)+1,FIND("/",'Bball ref'!H148)-FIND("(",'Bball ref'!H148)-1))</f>
        <v>3.5</v>
      </c>
      <c r="P132" s="64">
        <f>VALUE(MID('Bball ref'!H148,FIND("/",'Bball ref'!H148)+1,FIND(")",'Bball ref'!H148)-FIND("/",'Bball ref'!H148)-1))</f>
        <v>4.8</v>
      </c>
      <c r="Q132" s="64">
        <f>(D132-Math!B$14)/Math!B$15</f>
        <v>-0.69041261950814947</v>
      </c>
      <c r="R132" s="64">
        <f>(E132-Math!C$14)/Math!C$15</f>
        <v>-0.6082903373786368</v>
      </c>
      <c r="S132" s="64">
        <f>(F132-Math!D$14)/Math!D$15</f>
        <v>0.80269119397797173</v>
      </c>
      <c r="T132" s="64">
        <f>(G132-Math!E$14)/Math!E$15</f>
        <v>-5.8677863898009143E-2</v>
      </c>
      <c r="U132" s="64">
        <f>(H132-Math!F$14)/Math!F$15</f>
        <v>0.15826084840175575</v>
      </c>
      <c r="V132" s="64">
        <f>(I132-Math!G$14)/Math!G$15</f>
        <v>-0.44852118311715766</v>
      </c>
      <c r="W132" s="64">
        <f>(J132-Math!H$14)/Math!H$15</f>
        <v>-0.71969712476896219</v>
      </c>
      <c r="X132" s="64">
        <f>(-1)*(K132-Math!I$14)/Math!I$15</f>
        <v>-0.46752486635375906</v>
      </c>
      <c r="Y132" s="64">
        <f>(L132-Math!J$14)/Math!J$15</f>
        <v>0.45052398684298611</v>
      </c>
    </row>
    <row r="133" spans="1:25">
      <c r="A133" s="64" t="str">
        <f>IF((LEN('Bball ref'!B149)-LEN(SUBSTITUTE('Bball ref'!B149," ","")))&lt;2,'Bball ref'!B149,LEFT('Bball ref'!B149,FIND(" ",'Bball ref'!B149,FIND(" ",'Bball ref'!B149)+1)-1))</f>
        <v>Kyle Anderson</v>
      </c>
      <c r="B133" s="64">
        <f>'Bball ref'!A149</f>
        <v>132</v>
      </c>
      <c r="C133" s="64">
        <f>'Bball ref'!E149</f>
        <v>70</v>
      </c>
      <c r="D133" s="64">
        <f>VALUE(LEFT('Bball ref'!G149,FIND("(",'Bball ref'!G149)-1))</f>
        <v>0.54</v>
      </c>
      <c r="E133" s="64">
        <f>VALUE(LEFT('Bball ref'!H149,(FIND("(",'Bball ref'!H149)-1)))</f>
        <v>0.67</v>
      </c>
      <c r="F133" s="64">
        <f>'Bball ref'!I149</f>
        <v>0.2</v>
      </c>
      <c r="G133" s="64">
        <f>'Bball ref'!K149</f>
        <v>5.3</v>
      </c>
      <c r="H133" s="64">
        <f>'Bball ref'!L149</f>
        <v>2.7</v>
      </c>
      <c r="I133" s="64">
        <f>'Bball ref'!M149</f>
        <v>1.1000000000000001</v>
      </c>
      <c r="J133" s="64">
        <f>'Bball ref'!N149</f>
        <v>0.8</v>
      </c>
      <c r="K133" s="64">
        <f>'Bball ref'!O149</f>
        <v>1.1000000000000001</v>
      </c>
      <c r="L133" s="64">
        <f>'Bball ref'!J149</f>
        <v>7.5</v>
      </c>
      <c r="M133" s="64">
        <f>VALUE(MID('Bball ref'!G149,FIND("(",'Bball ref'!G149)+1,FIND("/",'Bball ref'!G149)-FIND("(",'Bball ref'!G149)-1))</f>
        <v>3.2</v>
      </c>
      <c r="N133" s="64">
        <f>VALUE(MID('Bball ref'!G149,FIND("/",'Bball ref'!G149)+1,FIND(")",'Bball ref'!G149)-FIND("/",'Bball ref'!G149)-1))</f>
        <v>5.9</v>
      </c>
      <c r="O133" s="64">
        <f>VALUE(MID('Bball ref'!H149,FIND("(",'Bball ref'!H149)+1,FIND("/",'Bball ref'!H149)-FIND("(",'Bball ref'!H149)-1))</f>
        <v>0.8</v>
      </c>
      <c r="P133" s="64">
        <f>VALUE(MID('Bball ref'!H149,FIND("/",'Bball ref'!H149)+1,FIND(")",'Bball ref'!H149)-FIND("/",'Bball ref'!H149)-1))</f>
        <v>1.2</v>
      </c>
      <c r="Q133" s="64">
        <f>(D133-Math!B$14)/Math!B$15</f>
        <v>1.1580816763637403</v>
      </c>
      <c r="R133" s="64">
        <f>(E133-Math!C$14)/Math!C$15</f>
        <v>-1.3353305812574847</v>
      </c>
      <c r="S133" s="64">
        <f>(F133-Math!D$14)/Math!D$15</f>
        <v>-1.3550808328445318</v>
      </c>
      <c r="T133" s="64">
        <f>(G133-Math!E$14)/Math!E$15</f>
        <v>-0.21059466363395388</v>
      </c>
      <c r="U133" s="64">
        <f>(H133-Math!F$14)/Math!F$15</f>
        <v>-0.29319640535919678</v>
      </c>
      <c r="V133" s="64">
        <f>(I133-Math!G$14)/Math!G$15</f>
        <v>0.34298678708959057</v>
      </c>
      <c r="W133" s="64">
        <f>(J133-Math!H$14)/Math!H$15</f>
        <v>0.20063167928342035</v>
      </c>
      <c r="X133" s="64">
        <f>(-1)*(K133-Math!I$14)/Math!I$15</f>
        <v>0.87400990080193131</v>
      </c>
      <c r="Y133" s="64">
        <f>(L133-Math!J$14)/Math!J$15</f>
        <v>-1.5544781797924663</v>
      </c>
    </row>
    <row r="134" spans="1:25">
      <c r="A134" s="64" t="str">
        <f>IF((LEN('Bball ref'!B151)-LEN(SUBSTITUTE('Bball ref'!B151," ","")))&lt;2,'Bball ref'!B151,LEFT('Bball ref'!B151,FIND(" ",'Bball ref'!B151,FIND(" ",'Bball ref'!B151)+1)-1))</f>
        <v>Evan Fournier</v>
      </c>
      <c r="B134" s="64">
        <f>'Bball ref'!A151</f>
        <v>133</v>
      </c>
      <c r="C134" s="64">
        <f>'Bball ref'!E151</f>
        <v>78</v>
      </c>
      <c r="D134" s="64">
        <f>VALUE(LEFT('Bball ref'!G151,FIND("(",'Bball ref'!G151)-1))</f>
        <v>0.44</v>
      </c>
      <c r="E134" s="64">
        <f>VALUE(LEFT('Bball ref'!H151,(FIND("(",'Bball ref'!H151)-1)))</f>
        <v>0.82</v>
      </c>
      <c r="F134" s="64">
        <f>'Bball ref'!I151</f>
        <v>2</v>
      </c>
      <c r="G134" s="64">
        <f>'Bball ref'!K151</f>
        <v>3.3</v>
      </c>
      <c r="H134" s="64">
        <f>'Bball ref'!L151</f>
        <v>3.7</v>
      </c>
      <c r="I134" s="64">
        <f>'Bball ref'!M151</f>
        <v>0.9</v>
      </c>
      <c r="J134" s="64">
        <f>'Bball ref'!N151</f>
        <v>0.1</v>
      </c>
      <c r="K134" s="64">
        <f>'Bball ref'!O151</f>
        <v>1.9</v>
      </c>
      <c r="L134" s="64">
        <f>'Bball ref'!J151</f>
        <v>15.8</v>
      </c>
      <c r="M134" s="64">
        <f>VALUE(MID('Bball ref'!G151,FIND("(",'Bball ref'!G151)+1,FIND("/",'Bball ref'!G151)-FIND("(",'Bball ref'!G151)-1))</f>
        <v>6</v>
      </c>
      <c r="N134" s="64">
        <f>VALUE(MID('Bball ref'!G151,FIND("/",'Bball ref'!G151)+1,FIND(")",'Bball ref'!G151)-FIND("/",'Bball ref'!G151)-1))</f>
        <v>13.6</v>
      </c>
      <c r="O134" s="64">
        <f>VALUE(MID('Bball ref'!H151,FIND("(",'Bball ref'!H151)+1,FIND("/",'Bball ref'!H151)-FIND("(",'Bball ref'!H151)-1))</f>
        <v>1.8</v>
      </c>
      <c r="P134" s="64">
        <f>VALUE(MID('Bball ref'!H151,FIND("/",'Bball ref'!H151)+1,FIND(")",'Bball ref'!H151)-FIND("/",'Bball ref'!H151)-1))</f>
        <v>2.2000000000000002</v>
      </c>
      <c r="Q134" s="64">
        <f>(D134-Math!B$14)/Math!B$15</f>
        <v>-0.69041261950814947</v>
      </c>
      <c r="R134" s="64">
        <f>(E134-Math!C$14)/Math!C$15</f>
        <v>0.48227002843963551</v>
      </c>
      <c r="S134" s="64">
        <f>(F134-Math!D$14)/Math!D$15</f>
        <v>0.58691399129572119</v>
      </c>
      <c r="T134" s="64">
        <f>(G134-Math!E$14)/Math!E$15</f>
        <v>-0.97017866231367689</v>
      </c>
      <c r="U134" s="64">
        <f>(H134-Math!F$14)/Math!F$15</f>
        <v>0.20842276548630609</v>
      </c>
      <c r="V134" s="64">
        <f>(I134-Math!G$14)/Math!G$15</f>
        <v>-0.18468519304824169</v>
      </c>
      <c r="W134" s="64">
        <f>(J134-Math!H$14)/Math!H$15</f>
        <v>-1.0878286463899152</v>
      </c>
      <c r="X134" s="64">
        <f>(-1)*(K134-Math!I$14)/Math!I$15</f>
        <v>-0.19921791292262073</v>
      </c>
      <c r="Y134" s="64">
        <f>(L134-Math!J$14)/Math!J$15</f>
        <v>0.10967361851495935</v>
      </c>
    </row>
    <row r="135" spans="1:25">
      <c r="A135" s="64" t="str">
        <f>IF((LEN('Bball ref'!B152)-LEN(SUBSTITUTE('Bball ref'!B152," ","")))&lt;2,'Bball ref'!B152,LEFT('Bball ref'!B152,FIND(" ",'Bball ref'!B152,FIND(" ",'Bball ref'!B152)+1)-1))</f>
        <v>Collin Sexton</v>
      </c>
      <c r="B135" s="64">
        <f>'Bball ref'!A152</f>
        <v>134</v>
      </c>
      <c r="C135" s="64">
        <f>'Bball ref'!E152</f>
        <v>80</v>
      </c>
      <c r="D135" s="64">
        <f>VALUE(LEFT('Bball ref'!G152,FIND("(",'Bball ref'!G152)-1))</f>
        <v>0.44</v>
      </c>
      <c r="E135" s="64">
        <f>VALUE(LEFT('Bball ref'!H152,(FIND("(",'Bball ref'!H152)-1)))</f>
        <v>0.82</v>
      </c>
      <c r="F135" s="64">
        <f>'Bball ref'!I152</f>
        <v>1.8</v>
      </c>
      <c r="G135" s="64">
        <f>'Bball ref'!K152</f>
        <v>3.2</v>
      </c>
      <c r="H135" s="64">
        <f>'Bball ref'!L152</f>
        <v>4.2</v>
      </c>
      <c r="I135" s="64">
        <f>'Bball ref'!M152</f>
        <v>0.5</v>
      </c>
      <c r="J135" s="64">
        <f>'Bball ref'!N152</f>
        <v>0.1</v>
      </c>
      <c r="K135" s="64">
        <f>'Bball ref'!O152</f>
        <v>2.4</v>
      </c>
      <c r="L135" s="64">
        <f>'Bball ref'!J152</f>
        <v>18.5</v>
      </c>
      <c r="M135" s="64">
        <f>VALUE(MID('Bball ref'!G152,FIND("(",'Bball ref'!G152)+1,FIND("/",'Bball ref'!G152)-FIND("(",'Bball ref'!G152)-1))</f>
        <v>6.9</v>
      </c>
      <c r="N135" s="64">
        <f>VALUE(MID('Bball ref'!G152,FIND("/",'Bball ref'!G152)+1,FIND(")",'Bball ref'!G152)-FIND("/",'Bball ref'!G152)-1))</f>
        <v>15.6</v>
      </c>
      <c r="O135" s="64">
        <f>VALUE(MID('Bball ref'!H152,FIND("(",'Bball ref'!H152)+1,FIND("/",'Bball ref'!H152)-FIND("(",'Bball ref'!H152)-1))</f>
        <v>2.8</v>
      </c>
      <c r="P135" s="64">
        <f>VALUE(MID('Bball ref'!H152,FIND("/",'Bball ref'!H152)+1,FIND(")",'Bball ref'!H152)-FIND("/",'Bball ref'!H152)-1))</f>
        <v>3.4</v>
      </c>
      <c r="Q135" s="64">
        <f>(D135-Math!B$14)/Math!B$15</f>
        <v>-0.69041261950814947</v>
      </c>
      <c r="R135" s="64">
        <f>(E135-Math!C$14)/Math!C$15</f>
        <v>0.48227002843963551</v>
      </c>
      <c r="S135" s="64">
        <f>(F135-Math!D$14)/Math!D$15</f>
        <v>0.37113678861347094</v>
      </c>
      <c r="T135" s="64">
        <f>(G135-Math!E$14)/Math!E$15</f>
        <v>-1.008157862247663</v>
      </c>
      <c r="U135" s="64">
        <f>(H135-Math!F$14)/Math!F$15</f>
        <v>0.45923235090905751</v>
      </c>
      <c r="V135" s="64">
        <f>(I135-Math!G$14)/Math!G$15</f>
        <v>-1.2400291533239061</v>
      </c>
      <c r="W135" s="64">
        <f>(J135-Math!H$14)/Math!H$15</f>
        <v>-1.0878286463899152</v>
      </c>
      <c r="X135" s="64">
        <f>(-1)*(K135-Math!I$14)/Math!I$15</f>
        <v>-0.86998529650046597</v>
      </c>
      <c r="Y135" s="64">
        <f>(L135-Math!J$14)/Math!J$15</f>
        <v>0.65102420350653134</v>
      </c>
    </row>
    <row r="136" spans="1:25">
      <c r="A136" s="64" t="str">
        <f>IF((LEN('Bball ref'!B153)-LEN(SUBSTITUTE('Bball ref'!B153," ","")))&lt;2,'Bball ref'!B153,LEFT('Bball ref'!B153,FIND(" ",'Bball ref'!B153,FIND(" ",'Bball ref'!B153)+1)-1))</f>
        <v>Justise Winslow</v>
      </c>
      <c r="B136" s="64">
        <f>'Bball ref'!A153</f>
        <v>135</v>
      </c>
      <c r="C136" s="64">
        <f>'Bball ref'!E153</f>
        <v>70</v>
      </c>
      <c r="D136" s="64">
        <f>VALUE(LEFT('Bball ref'!G153,FIND("(",'Bball ref'!G153)-1))</f>
        <v>0.44</v>
      </c>
      <c r="E136" s="64">
        <f>VALUE(LEFT('Bball ref'!H153,(FIND("(",'Bball ref'!H153)-1)))</f>
        <v>0.61</v>
      </c>
      <c r="F136" s="64">
        <f>'Bball ref'!I153</f>
        <v>1.6</v>
      </c>
      <c r="G136" s="64">
        <f>'Bball ref'!K153</f>
        <v>5.9</v>
      </c>
      <c r="H136" s="64">
        <f>'Bball ref'!L153</f>
        <v>4.7</v>
      </c>
      <c r="I136" s="64">
        <f>'Bball ref'!M153</f>
        <v>1.1000000000000001</v>
      </c>
      <c r="J136" s="64">
        <f>'Bball ref'!N153</f>
        <v>0.3</v>
      </c>
      <c r="K136" s="64">
        <f>'Bball ref'!O153</f>
        <v>2.2999999999999998</v>
      </c>
      <c r="L136" s="64">
        <f>'Bball ref'!J153</f>
        <v>13.9</v>
      </c>
      <c r="M136" s="64">
        <f>VALUE(MID('Bball ref'!G153,FIND("(",'Bball ref'!G153)+1,FIND("/",'Bball ref'!G153)-FIND("(",'Bball ref'!G153)-1))</f>
        <v>5.4</v>
      </c>
      <c r="N136" s="64">
        <f>VALUE(MID('Bball ref'!G153,FIND("/",'Bball ref'!G153)+1,FIND(")",'Bball ref'!G153)-FIND("/",'Bball ref'!G153)-1))</f>
        <v>12.4</v>
      </c>
      <c r="O136" s="64">
        <f>VALUE(MID('Bball ref'!H153,FIND("(",'Bball ref'!H153)+1,FIND("/",'Bball ref'!H153)-FIND("(",'Bball ref'!H153)-1))</f>
        <v>1.4</v>
      </c>
      <c r="P136" s="64">
        <f>VALUE(MID('Bball ref'!H153,FIND("/",'Bball ref'!H153)+1,FIND(")",'Bball ref'!H153)-FIND("/",'Bball ref'!H153)-1))</f>
        <v>2.2999999999999998</v>
      </c>
      <c r="Q136" s="64">
        <f>(D136-Math!B$14)/Math!B$15</f>
        <v>-0.69041261950814947</v>
      </c>
      <c r="R136" s="64">
        <f>(E136-Math!C$14)/Math!C$15</f>
        <v>-2.062370825136334</v>
      </c>
      <c r="S136" s="64">
        <f>(F136-Math!D$14)/Math!D$15</f>
        <v>0.15535958593122062</v>
      </c>
      <c r="T136" s="64">
        <f>(G136-Math!E$14)/Math!E$15</f>
        <v>1.7280535969963231E-2</v>
      </c>
      <c r="U136" s="64">
        <f>(H136-Math!F$14)/Math!F$15</f>
        <v>0.7100419363318089</v>
      </c>
      <c r="V136" s="64">
        <f>(I136-Math!G$14)/Math!G$15</f>
        <v>0.34298678708959057</v>
      </c>
      <c r="W136" s="64">
        <f>(J136-Math!H$14)/Math!H$15</f>
        <v>-0.71969712476896219</v>
      </c>
      <c r="X136" s="64">
        <f>(-1)*(K136-Math!I$14)/Math!I$15</f>
        <v>-0.73583181978489676</v>
      </c>
      <c r="Y136" s="64">
        <f>(L136-Math!J$14)/Math!J$15</f>
        <v>-0.27127679314577663</v>
      </c>
    </row>
    <row r="137" spans="1:25">
      <c r="A137" s="64" t="str">
        <f>IF((LEN('Bball ref'!B154)-LEN(SUBSTITUTE('Bball ref'!B154," ","")))&lt;2,'Bball ref'!B154,LEFT('Bball ref'!B154,FIND(" ",'Bball ref'!B154,FIND(" ",'Bball ref'!B154)+1)-1))</f>
        <v>Eric Gordon</v>
      </c>
      <c r="B137" s="64">
        <f>'Bball ref'!A154</f>
        <v>136</v>
      </c>
      <c r="C137" s="64">
        <f>'Bball ref'!E154</f>
        <v>70</v>
      </c>
      <c r="D137" s="64">
        <f>VALUE(LEFT('Bball ref'!G154,FIND("(",'Bball ref'!G154)-1))</f>
        <v>0.43</v>
      </c>
      <c r="E137" s="64">
        <f>VALUE(LEFT('Bball ref'!H154,(FIND("(",'Bball ref'!H154)-1)))</f>
        <v>0.82</v>
      </c>
      <c r="F137" s="64">
        <f>'Bball ref'!I154</f>
        <v>3.2</v>
      </c>
      <c r="G137" s="64">
        <f>'Bball ref'!K154</f>
        <v>2.2000000000000002</v>
      </c>
      <c r="H137" s="64">
        <f>'Bball ref'!L154</f>
        <v>1.9</v>
      </c>
      <c r="I137" s="64">
        <f>'Bball ref'!M154</f>
        <v>0.6</v>
      </c>
      <c r="J137" s="64">
        <f>'Bball ref'!N154</f>
        <v>0.4</v>
      </c>
      <c r="K137" s="64">
        <f>'Bball ref'!O154</f>
        <v>1.2</v>
      </c>
      <c r="L137" s="64">
        <f>'Bball ref'!J154</f>
        <v>16.2</v>
      </c>
      <c r="M137" s="64">
        <f>VALUE(MID('Bball ref'!G154,FIND("(",'Bball ref'!G154)+1,FIND("/",'Bball ref'!G154)-FIND("(",'Bball ref'!G154)-1))</f>
        <v>5.6</v>
      </c>
      <c r="N137" s="64">
        <f>VALUE(MID('Bball ref'!G154,FIND("/",'Bball ref'!G154)+1,FIND(")",'Bball ref'!G154)-FIND("/",'Bball ref'!G154)-1))</f>
        <v>13</v>
      </c>
      <c r="O137" s="64">
        <f>VALUE(MID('Bball ref'!H154,FIND("(",'Bball ref'!H154)+1,FIND("/",'Bball ref'!H154)-FIND("(",'Bball ref'!H154)-1))</f>
        <v>1.8</v>
      </c>
      <c r="P137" s="64">
        <f>VALUE(MID('Bball ref'!H154,FIND("/",'Bball ref'!H154)+1,FIND(")",'Bball ref'!H154)-FIND("/",'Bball ref'!H154)-1))</f>
        <v>2.2000000000000002</v>
      </c>
      <c r="Q137" s="64">
        <f>(D137-Math!B$14)/Math!B$15</f>
        <v>-0.87526204909533856</v>
      </c>
      <c r="R137" s="64">
        <f>(E137-Math!C$14)/Math!C$15</f>
        <v>0.48227002843963551</v>
      </c>
      <c r="S137" s="64">
        <f>(F137-Math!D$14)/Math!D$15</f>
        <v>1.8815772073892234</v>
      </c>
      <c r="T137" s="64">
        <f>(G137-Math!E$14)/Math!E$15</f>
        <v>-1.3879498615875245</v>
      </c>
      <c r="U137" s="64">
        <f>(H137-Math!F$14)/Math!F$15</f>
        <v>-0.69449174203559916</v>
      </c>
      <c r="V137" s="64">
        <f>(I137-Math!G$14)/Math!G$15</f>
        <v>-0.97619316325498995</v>
      </c>
      <c r="W137" s="64">
        <f>(J137-Math!H$14)/Math!H$15</f>
        <v>-0.53563136395848565</v>
      </c>
      <c r="X137" s="64">
        <f>(-1)*(K137-Math!I$14)/Math!I$15</f>
        <v>0.73985642408636254</v>
      </c>
      <c r="Y137" s="64">
        <f>(L137-Math!J$14)/Math!J$15</f>
        <v>0.18987370518037716</v>
      </c>
    </row>
    <row r="138" spans="1:25">
      <c r="A138" s="64" t="str">
        <f>IF((LEN('Bball ref'!B155)-LEN(SUBSTITUTE('Bball ref'!B155," ","")))&lt;2,'Bball ref'!B155,LEFT('Bball ref'!B155,FIND(" ",'Bball ref'!B155,FIND(" ",'Bball ref'!B155)+1)-1))</f>
        <v>Spencer Dinwiddie</v>
      </c>
      <c r="B138" s="64">
        <f>'Bball ref'!A155</f>
        <v>137</v>
      </c>
      <c r="C138" s="64">
        <f>'Bball ref'!E155</f>
        <v>72</v>
      </c>
      <c r="D138" s="64">
        <f>VALUE(LEFT('Bball ref'!G155,FIND("(",'Bball ref'!G155)-1))</f>
        <v>0.44</v>
      </c>
      <c r="E138" s="64">
        <f>VALUE(LEFT('Bball ref'!H155,(FIND("(",'Bball ref'!H155)-1)))</f>
        <v>0.8</v>
      </c>
      <c r="F138" s="64">
        <f>'Bball ref'!I155</f>
        <v>1.8</v>
      </c>
      <c r="G138" s="64">
        <f>'Bball ref'!K155</f>
        <v>2.4</v>
      </c>
      <c r="H138" s="64">
        <f>'Bball ref'!L155</f>
        <v>4.5</v>
      </c>
      <c r="I138" s="64">
        <f>'Bball ref'!M155</f>
        <v>0.6</v>
      </c>
      <c r="J138" s="64">
        <f>'Bball ref'!N155</f>
        <v>0.3</v>
      </c>
      <c r="K138" s="64">
        <f>'Bball ref'!O155</f>
        <v>2</v>
      </c>
      <c r="L138" s="64">
        <f>'Bball ref'!J155</f>
        <v>15.5</v>
      </c>
      <c r="M138" s="64">
        <f>VALUE(MID('Bball ref'!G155,FIND("(",'Bball ref'!G155)+1,FIND("/",'Bball ref'!G155)-FIND("(",'Bball ref'!G155)-1))</f>
        <v>4.8</v>
      </c>
      <c r="N138" s="64">
        <f>VALUE(MID('Bball ref'!G155,FIND("/",'Bball ref'!G155)+1,FIND(")",'Bball ref'!G155)-FIND("/",'Bball ref'!G155)-1))</f>
        <v>10.8</v>
      </c>
      <c r="O138" s="64">
        <f>VALUE(MID('Bball ref'!H155,FIND("(",'Bball ref'!H155)+1,FIND("/",'Bball ref'!H155)-FIND("(",'Bball ref'!H155)-1))</f>
        <v>4.0999999999999996</v>
      </c>
      <c r="P138" s="64">
        <f>VALUE(MID('Bball ref'!H155,FIND("/",'Bball ref'!H155)+1,FIND(")",'Bball ref'!H155)-FIND("/",'Bball ref'!H155)-1))</f>
        <v>5.0999999999999996</v>
      </c>
      <c r="Q138" s="64">
        <f>(D138-Math!B$14)/Math!B$15</f>
        <v>-0.69041261950814947</v>
      </c>
      <c r="R138" s="64">
        <f>(E138-Math!C$14)/Math!C$15</f>
        <v>0.23992328048002048</v>
      </c>
      <c r="S138" s="64">
        <f>(F138-Math!D$14)/Math!D$15</f>
        <v>0.37113678861347094</v>
      </c>
      <c r="T138" s="64">
        <f>(G138-Math!E$14)/Math!E$15</f>
        <v>-1.3119914617195523</v>
      </c>
      <c r="U138" s="64">
        <f>(H138-Math!F$14)/Math!F$15</f>
        <v>0.60971810216270828</v>
      </c>
      <c r="V138" s="64">
        <f>(I138-Math!G$14)/Math!G$15</f>
        <v>-0.97619316325498995</v>
      </c>
      <c r="W138" s="64">
        <f>(J138-Math!H$14)/Math!H$15</f>
        <v>-0.71969712476896219</v>
      </c>
      <c r="X138" s="64">
        <f>(-1)*(K138-Math!I$14)/Math!I$15</f>
        <v>-0.33337138963818985</v>
      </c>
      <c r="Y138" s="64">
        <f>(L138-Math!J$14)/Math!J$15</f>
        <v>4.9523553515895651E-2</v>
      </c>
    </row>
    <row r="139" spans="1:25">
      <c r="A139" s="64" t="str">
        <f>IF((LEN('Bball ref'!B156)-LEN(SUBSTITUTE('Bball ref'!B156," ","")))&lt;2,'Bball ref'!B156,LEFT('Bball ref'!B156,FIND(" ",'Bball ref'!B156,FIND(" ",'Bball ref'!B156)+1)-1))</f>
        <v>Andrew Wiggins</v>
      </c>
      <c r="B139" s="64">
        <f>'Bball ref'!A156</f>
        <v>138</v>
      </c>
      <c r="C139" s="64">
        <f>'Bball ref'!E156</f>
        <v>70</v>
      </c>
      <c r="D139" s="64">
        <f>VALUE(LEFT('Bball ref'!G156,FIND("(",'Bball ref'!G156)-1))</f>
        <v>0.45</v>
      </c>
      <c r="E139" s="64">
        <f>VALUE(LEFT('Bball ref'!H156,(FIND("(",'Bball ref'!H156)-1)))</f>
        <v>0.71</v>
      </c>
      <c r="F139" s="64">
        <f>'Bball ref'!I156</f>
        <v>1.5</v>
      </c>
      <c r="G139" s="64">
        <f>'Bball ref'!K156</f>
        <v>4.5999999999999996</v>
      </c>
      <c r="H139" s="64">
        <f>'Bball ref'!L156</f>
        <v>2.4</v>
      </c>
      <c r="I139" s="64">
        <f>'Bball ref'!M156</f>
        <v>0.9</v>
      </c>
      <c r="J139" s="64">
        <f>'Bball ref'!N156</f>
        <v>0.7</v>
      </c>
      <c r="K139" s="64">
        <f>'Bball ref'!O156</f>
        <v>1.7</v>
      </c>
      <c r="L139" s="64">
        <f>'Bball ref'!J156</f>
        <v>17.5</v>
      </c>
      <c r="M139" s="64">
        <f>VALUE(MID('Bball ref'!G156,FIND("(",'Bball ref'!G156)+1,FIND("/",'Bball ref'!G156)-FIND("(",'Bball ref'!G156)-1))</f>
        <v>6.6</v>
      </c>
      <c r="N139" s="64">
        <f>VALUE(MID('Bball ref'!G156,FIND("/",'Bball ref'!G156)+1,FIND(")",'Bball ref'!G156)-FIND("/",'Bball ref'!G156)-1))</f>
        <v>14.8</v>
      </c>
      <c r="O139" s="64">
        <f>VALUE(MID('Bball ref'!H156,FIND("(",'Bball ref'!H156)+1,FIND("/",'Bball ref'!H156)-FIND("(",'Bball ref'!H156)-1))</f>
        <v>2.7</v>
      </c>
      <c r="P139" s="64">
        <f>VALUE(MID('Bball ref'!H156,FIND("/",'Bball ref'!H156)+1,FIND(")",'Bball ref'!H156)-FIND("/",'Bball ref'!H156)-1))</f>
        <v>3.8</v>
      </c>
      <c r="Q139" s="64">
        <f>(D139-Math!B$14)/Math!B$15</f>
        <v>-0.50556318992096039</v>
      </c>
      <c r="R139" s="64">
        <f>(E139-Math!C$14)/Math!C$15</f>
        <v>-0.85063708533825322</v>
      </c>
      <c r="S139" s="64">
        <f>(F139-Math!D$14)/Math!D$15</f>
        <v>4.7470984590095355E-2</v>
      </c>
      <c r="T139" s="64">
        <f>(G139-Math!E$14)/Math!E$15</f>
        <v>-0.47644906317185703</v>
      </c>
      <c r="U139" s="64">
        <f>(H139-Math!F$14)/Math!F$15</f>
        <v>-0.44368215661284777</v>
      </c>
      <c r="V139" s="64">
        <f>(I139-Math!G$14)/Math!G$15</f>
        <v>-0.18468519304824169</v>
      </c>
      <c r="W139" s="64">
        <f>(J139-Math!H$14)/Math!H$15</f>
        <v>1.6565918472943714E-2</v>
      </c>
      <c r="X139" s="64">
        <f>(-1)*(K139-Math!I$14)/Math!I$15</f>
        <v>6.9089040508517302E-2</v>
      </c>
      <c r="Y139" s="64">
        <f>(L139-Math!J$14)/Math!J$15</f>
        <v>0.45052398684298611</v>
      </c>
    </row>
    <row r="140" spans="1:25">
      <c r="A140" s="64" t="str">
        <f>IF((LEN('Bball ref'!B157)-LEN(SUBSTITUTE('Bball ref'!B157," ","")))&lt;2,'Bball ref'!B157,LEFT('Bball ref'!B157,FIND(" ",'Bball ref'!B157,FIND(" ",'Bball ref'!B157)+1)-1))</f>
        <v>Nerlens Noel</v>
      </c>
      <c r="B140" s="64">
        <f>'Bball ref'!A157</f>
        <v>139</v>
      </c>
      <c r="C140" s="64">
        <f>'Bball ref'!E157</f>
        <v>78</v>
      </c>
      <c r="D140" s="64">
        <f>VALUE(LEFT('Bball ref'!G157,FIND("(",'Bball ref'!G157)-1))</f>
        <v>0.59</v>
      </c>
      <c r="E140" s="64">
        <f>VALUE(LEFT('Bball ref'!H157,(FIND("(",'Bball ref'!H157)-1)))</f>
        <v>0.75</v>
      </c>
      <c r="F140" s="64">
        <f>'Bball ref'!I157</f>
        <v>0</v>
      </c>
      <c r="G140" s="64">
        <f>'Bball ref'!K157</f>
        <v>5.2</v>
      </c>
      <c r="H140" s="64">
        <f>'Bball ref'!L157</f>
        <v>0.7</v>
      </c>
      <c r="I140" s="64">
        <f>'Bball ref'!M157</f>
        <v>1.1000000000000001</v>
      </c>
      <c r="J140" s="64">
        <f>'Bball ref'!N157</f>
        <v>1.5</v>
      </c>
      <c r="K140" s="64">
        <f>'Bball ref'!O157</f>
        <v>0.7</v>
      </c>
      <c r="L140" s="64">
        <f>'Bball ref'!J157</f>
        <v>6</v>
      </c>
      <c r="M140" s="64">
        <f>VALUE(MID('Bball ref'!G157,FIND("(",'Bball ref'!G157)+1,FIND("/",'Bball ref'!G157)-FIND("(",'Bball ref'!G157)-1))</f>
        <v>2.6</v>
      </c>
      <c r="N140" s="64">
        <f>VALUE(MID('Bball ref'!G157,FIND("/",'Bball ref'!G157)+1,FIND(")",'Bball ref'!G157)-FIND("/",'Bball ref'!G157)-1))</f>
        <v>4.4000000000000004</v>
      </c>
      <c r="O140" s="64">
        <f>VALUE(MID('Bball ref'!H157,FIND("(",'Bball ref'!H157)+1,FIND("/",'Bball ref'!H157)-FIND("(",'Bball ref'!H157)-1))</f>
        <v>0.9</v>
      </c>
      <c r="P140" s="64">
        <f>VALUE(MID('Bball ref'!H157,FIND("/",'Bball ref'!H157)+1,FIND(")",'Bball ref'!H157)-FIND("/",'Bball ref'!H157)-1))</f>
        <v>1.2</v>
      </c>
      <c r="Q140" s="64">
        <f>(D140-Math!B$14)/Math!B$15</f>
        <v>2.0823288242996836</v>
      </c>
      <c r="R140" s="64">
        <f>(E140-Math!C$14)/Math!C$15</f>
        <v>-0.3659435894190205</v>
      </c>
      <c r="S140" s="64">
        <f>(F140-Math!D$14)/Math!D$15</f>
        <v>-1.5708580355267823</v>
      </c>
      <c r="T140" s="64">
        <f>(G140-Math!E$14)/Math!E$15</f>
        <v>-0.2485738635679399</v>
      </c>
      <c r="U140" s="64">
        <f>(H140-Math!F$14)/Math!F$15</f>
        <v>-1.2964347470502027</v>
      </c>
      <c r="V140" s="64">
        <f>(I140-Math!G$14)/Math!G$15</f>
        <v>0.34298678708959057</v>
      </c>
      <c r="W140" s="64">
        <f>(J140-Math!H$14)/Math!H$15</f>
        <v>1.4890920049567555</v>
      </c>
      <c r="X140" s="64">
        <f>(-1)*(K140-Math!I$14)/Math!I$15</f>
        <v>1.4106238076642077</v>
      </c>
      <c r="Y140" s="64">
        <f>(L140-Math!J$14)/Math!J$15</f>
        <v>-1.8552285047877841</v>
      </c>
    </row>
    <row r="141" spans="1:25">
      <c r="A141" s="64" t="str">
        <f>IF((LEN('Bball ref'!B158)-LEN(SUBSTITUTE('Bball ref'!B158," ","")))&lt;2,'Bball ref'!B158,LEFT('Bball ref'!B158,FIND(" ",'Bball ref'!B158,FIND(" ",'Bball ref'!B158)+1)-1))</f>
        <v>Harrison Barnes</v>
      </c>
      <c r="B141" s="64">
        <f>'Bball ref'!A158</f>
        <v>140</v>
      </c>
      <c r="C141" s="64">
        <f>'Bball ref'!E158</f>
        <v>74</v>
      </c>
      <c r="D141" s="64">
        <f>VALUE(LEFT('Bball ref'!G158,FIND("(",'Bball ref'!G158)-1))</f>
        <v>0.42</v>
      </c>
      <c r="E141" s="64">
        <f>VALUE(LEFT('Bball ref'!H158,(FIND("(",'Bball ref'!H158)-1)))</f>
        <v>0.84</v>
      </c>
      <c r="F141" s="64">
        <f>'Bball ref'!I158</f>
        <v>2.4</v>
      </c>
      <c r="G141" s="64">
        <f>'Bball ref'!K158</f>
        <v>4.7</v>
      </c>
      <c r="H141" s="64">
        <f>'Bball ref'!L158</f>
        <v>1.5</v>
      </c>
      <c r="I141" s="64">
        <f>'Bball ref'!M158</f>
        <v>0.6</v>
      </c>
      <c r="J141" s="64">
        <f>'Bball ref'!N158</f>
        <v>0.2</v>
      </c>
      <c r="K141" s="64">
        <f>'Bball ref'!O158</f>
        <v>1.3</v>
      </c>
      <c r="L141" s="64">
        <f>'Bball ref'!J158</f>
        <v>16.899999999999999</v>
      </c>
      <c r="M141" s="64">
        <f>VALUE(MID('Bball ref'!G158,FIND("(",'Bball ref'!G158)+1,FIND("/",'Bball ref'!G158)-FIND("(",'Bball ref'!G158)-1))</f>
        <v>5.7</v>
      </c>
      <c r="N141" s="64">
        <f>VALUE(MID('Bball ref'!G158,FIND("/",'Bball ref'!G158)+1,FIND(")",'Bball ref'!G158)-FIND("/",'Bball ref'!G158)-1))</f>
        <v>13.6</v>
      </c>
      <c r="O141" s="64">
        <f>VALUE(MID('Bball ref'!H158,FIND("(",'Bball ref'!H158)+1,FIND("/",'Bball ref'!H158)-FIND("(",'Bball ref'!H158)-1))</f>
        <v>3.1</v>
      </c>
      <c r="P141" s="64">
        <f>VALUE(MID('Bball ref'!H158,FIND("/",'Bball ref'!H158)+1,FIND(")",'Bball ref'!H158)-FIND("/",'Bball ref'!H158)-1))</f>
        <v>3.7</v>
      </c>
      <c r="Q141" s="64">
        <f>(D141-Math!B$14)/Math!B$15</f>
        <v>-1.0601114786825276</v>
      </c>
      <c r="R141" s="64">
        <f>(E141-Math!C$14)/Math!C$15</f>
        <v>0.72461677639925193</v>
      </c>
      <c r="S141" s="64">
        <f>(F141-Math!D$14)/Math!D$15</f>
        <v>1.0184683966602219</v>
      </c>
      <c r="T141" s="64">
        <f>(G141-Math!E$14)/Math!E$15</f>
        <v>-0.43846986323787068</v>
      </c>
      <c r="U141" s="64">
        <f>(H141-Math!F$14)/Math!F$15</f>
        <v>-0.89513941037380029</v>
      </c>
      <c r="V141" s="64">
        <f>(I141-Math!G$14)/Math!G$15</f>
        <v>-0.97619316325498995</v>
      </c>
      <c r="W141" s="64">
        <f>(J141-Math!H$14)/Math!H$15</f>
        <v>-0.90376288557943862</v>
      </c>
      <c r="X141" s="64">
        <f>(-1)*(K141-Math!I$14)/Math!I$15</f>
        <v>0.60570294737079333</v>
      </c>
      <c r="Y141" s="64">
        <f>(L141-Math!J$14)/Math!J$15</f>
        <v>0.33022385684485867</v>
      </c>
    </row>
    <row r="142" spans="1:25">
      <c r="A142" s="64" t="str">
        <f>IF((LEN('Bball ref'!B159)-LEN(SUBSTITUTE('Bball ref'!B159," ","")))&lt;2,'Bball ref'!B159,LEFT('Bball ref'!B159,FIND(" ",'Bball ref'!B159,FIND(" ",'Bball ref'!B159)+1)-1))</f>
        <v>Jarrett Culver</v>
      </c>
      <c r="B142" s="64">
        <f>'Bball ref'!A159</f>
        <v>141</v>
      </c>
      <c r="C142" s="64">
        <f>'Bball ref'!E159</f>
        <v>72</v>
      </c>
      <c r="D142" s="64">
        <f>VALUE(LEFT('Bball ref'!G159,FIND("(",'Bball ref'!G159)-1))</f>
        <v>0.44</v>
      </c>
      <c r="E142" s="64">
        <f>VALUE(LEFT('Bball ref'!H159,(FIND("(",'Bball ref'!H159)-1)))</f>
        <v>0.72</v>
      </c>
      <c r="F142" s="64">
        <f>'Bball ref'!I159</f>
        <v>1.5</v>
      </c>
      <c r="G142" s="64">
        <f>'Bball ref'!K159</f>
        <v>5.0999999999999996</v>
      </c>
      <c r="H142" s="64">
        <f>'Bball ref'!L159</f>
        <v>3.2</v>
      </c>
      <c r="I142" s="64">
        <f>'Bball ref'!M159</f>
        <v>1.3</v>
      </c>
      <c r="J142" s="64">
        <f>'Bball ref'!N159</f>
        <v>0.3</v>
      </c>
      <c r="K142" s="64">
        <f>'Bball ref'!O159</f>
        <v>1.8</v>
      </c>
      <c r="L142" s="64">
        <f>'Bball ref'!J159</f>
        <v>12.9</v>
      </c>
      <c r="M142" s="64">
        <f>VALUE(MID('Bball ref'!G159,FIND("(",'Bball ref'!G159)+1,FIND("/",'Bball ref'!G159)-FIND("(",'Bball ref'!G159)-1))</f>
        <v>4.4000000000000004</v>
      </c>
      <c r="N142" s="64">
        <f>VALUE(MID('Bball ref'!G159,FIND("/",'Bball ref'!G159)+1,FIND(")",'Bball ref'!G159)-FIND("/",'Bball ref'!G159)-1))</f>
        <v>10.1</v>
      </c>
      <c r="O142" s="64">
        <f>VALUE(MID('Bball ref'!H159,FIND("(",'Bball ref'!H159)+1,FIND("/",'Bball ref'!H159)-FIND("(",'Bball ref'!H159)-1))</f>
        <v>2.6</v>
      </c>
      <c r="P142" s="64">
        <f>VALUE(MID('Bball ref'!H159,FIND("/",'Bball ref'!H159)+1,FIND(")",'Bball ref'!H159)-FIND("/",'Bball ref'!H159)-1))</f>
        <v>3.6</v>
      </c>
      <c r="Q142" s="64">
        <f>(D142-Math!B$14)/Math!B$15</f>
        <v>-0.69041261950814947</v>
      </c>
      <c r="R142" s="64">
        <f>(E142-Math!C$14)/Math!C$15</f>
        <v>-0.72946371135844501</v>
      </c>
      <c r="S142" s="64">
        <f>(F142-Math!D$14)/Math!D$15</f>
        <v>4.7470984590095355E-2</v>
      </c>
      <c r="T142" s="64">
        <f>(G142-Math!E$14)/Math!E$15</f>
        <v>-0.28655306350192628</v>
      </c>
      <c r="U142" s="64">
        <f>(H142-Math!F$14)/Math!F$15</f>
        <v>-4.2386819936445337E-2</v>
      </c>
      <c r="V142" s="64">
        <f>(I142-Math!G$14)/Math!G$15</f>
        <v>0.87065876722742253</v>
      </c>
      <c r="W142" s="64">
        <f>(J142-Math!H$14)/Math!H$15</f>
        <v>-0.71969712476896219</v>
      </c>
      <c r="X142" s="64">
        <f>(-1)*(K142-Math!I$14)/Math!I$15</f>
        <v>-6.5064436207051865E-2</v>
      </c>
      <c r="Y142" s="64">
        <f>(L142-Math!J$14)/Math!J$15</f>
        <v>-0.47177700980932186</v>
      </c>
    </row>
    <row r="143" spans="1:25">
      <c r="A143" s="64" t="str">
        <f>IF((LEN('Bball ref'!B160)-LEN(SUBSTITUTE('Bball ref'!B160," ","")))&lt;2,'Bball ref'!B160,LEFT('Bball ref'!B160,FIND(" ",'Bball ref'!B160,FIND(" ",'Bball ref'!B160)+1)-1))</f>
        <v>Reggie Jackson</v>
      </c>
      <c r="B143" s="64">
        <f>'Bball ref'!A160</f>
        <v>142</v>
      </c>
      <c r="C143" s="64">
        <f>'Bball ref'!E160</f>
        <v>74</v>
      </c>
      <c r="D143" s="64">
        <f>VALUE(LEFT('Bball ref'!G160,FIND("(",'Bball ref'!G160)-1))</f>
        <v>0.42</v>
      </c>
      <c r="E143" s="64">
        <f>VALUE(LEFT('Bball ref'!H160,(FIND("(",'Bball ref'!H160)-1)))</f>
        <v>0.89</v>
      </c>
      <c r="F143" s="64">
        <f>'Bball ref'!I160</f>
        <v>2.1</v>
      </c>
      <c r="G143" s="64">
        <f>'Bball ref'!K160</f>
        <v>2.5</v>
      </c>
      <c r="H143" s="64">
        <f>'Bball ref'!L160</f>
        <v>4.0999999999999996</v>
      </c>
      <c r="I143" s="64">
        <f>'Bball ref'!M160</f>
        <v>0.7</v>
      </c>
      <c r="J143" s="64">
        <f>'Bball ref'!N160</f>
        <v>0.1</v>
      </c>
      <c r="K143" s="64">
        <f>'Bball ref'!O160</f>
        <v>1.7</v>
      </c>
      <c r="L143" s="64">
        <f>'Bball ref'!J160</f>
        <v>15.1</v>
      </c>
      <c r="M143" s="64">
        <f>VALUE(MID('Bball ref'!G160,FIND("(",'Bball ref'!G160)+1,FIND("/",'Bball ref'!G160)-FIND("(",'Bball ref'!G160)-1))</f>
        <v>5.3</v>
      </c>
      <c r="N143" s="64">
        <f>VALUE(MID('Bball ref'!G160,FIND("/",'Bball ref'!G160)+1,FIND(")",'Bball ref'!G160)-FIND("/",'Bball ref'!G160)-1))</f>
        <v>12.5</v>
      </c>
      <c r="O143" s="64">
        <f>VALUE(MID('Bball ref'!H160,FIND("(",'Bball ref'!H160)+1,FIND("/",'Bball ref'!H160)-FIND("(",'Bball ref'!H160)-1))</f>
        <v>2.5</v>
      </c>
      <c r="P143" s="64">
        <f>VALUE(MID('Bball ref'!H160,FIND("/",'Bball ref'!H160)+1,FIND(")",'Bball ref'!H160)-FIND("/",'Bball ref'!H160)-1))</f>
        <v>2.8</v>
      </c>
      <c r="Q143" s="64">
        <f>(D143-Math!B$14)/Math!B$15</f>
        <v>-1.0601114786825276</v>
      </c>
      <c r="R143" s="64">
        <f>(E143-Math!C$14)/Math!C$15</f>
        <v>1.330483646298293</v>
      </c>
      <c r="S143" s="64">
        <f>(F143-Math!D$14)/Math!D$15</f>
        <v>0.69480259263684652</v>
      </c>
      <c r="T143" s="64">
        <f>(G143-Math!E$14)/Math!E$15</f>
        <v>-1.274012261785566</v>
      </c>
      <c r="U143" s="64">
        <f>(H143-Math!F$14)/Math!F$15</f>
        <v>0.40907043382450697</v>
      </c>
      <c r="V143" s="64">
        <f>(I143-Math!G$14)/Math!G$15</f>
        <v>-0.71235717318607394</v>
      </c>
      <c r="W143" s="64">
        <f>(J143-Math!H$14)/Math!H$15</f>
        <v>-1.0878286463899152</v>
      </c>
      <c r="X143" s="64">
        <f>(-1)*(K143-Math!I$14)/Math!I$15</f>
        <v>6.9089040508517302E-2</v>
      </c>
      <c r="Y143" s="64">
        <f>(L143-Math!J$14)/Math!J$15</f>
        <v>-3.0676533149522515E-2</v>
      </c>
    </row>
    <row r="144" spans="1:25">
      <c r="A144" s="64" t="str">
        <f>IF((LEN('Bball ref'!B161)-LEN(SUBSTITUTE('Bball ref'!B161," ","")))&lt;2,'Bball ref'!B161,LEFT('Bball ref'!B161,FIND(" ",'Bball ref'!B161,FIND(" ",'Bball ref'!B161)+1)-1))</f>
        <v>Dario Saric</v>
      </c>
      <c r="B144" s="64">
        <f>'Bball ref'!A161</f>
        <v>143</v>
      </c>
      <c r="C144" s="64">
        <f>'Bball ref'!E161</f>
        <v>72</v>
      </c>
      <c r="D144" s="64">
        <f>VALUE(LEFT('Bball ref'!G161,FIND("(",'Bball ref'!G161)-1))</f>
        <v>0.45</v>
      </c>
      <c r="E144" s="64">
        <f>VALUE(LEFT('Bball ref'!H161,(FIND("(",'Bball ref'!H161)-1)))</f>
        <v>0.86</v>
      </c>
      <c r="F144" s="64">
        <f>'Bball ref'!I161</f>
        <v>1.8</v>
      </c>
      <c r="G144" s="64">
        <f>'Bball ref'!K161</f>
        <v>6.6</v>
      </c>
      <c r="H144" s="64">
        <f>'Bball ref'!L161</f>
        <v>1.9</v>
      </c>
      <c r="I144" s="64">
        <f>'Bball ref'!M161</f>
        <v>0.7</v>
      </c>
      <c r="J144" s="64">
        <f>'Bball ref'!N161</f>
        <v>0.1</v>
      </c>
      <c r="K144" s="64">
        <f>'Bball ref'!O161</f>
        <v>1.3</v>
      </c>
      <c r="L144" s="64">
        <f>'Bball ref'!J161</f>
        <v>12.6</v>
      </c>
      <c r="M144" s="64">
        <f>VALUE(MID('Bball ref'!G161,FIND("(",'Bball ref'!G161)+1,FIND("/",'Bball ref'!G161)-FIND("(",'Bball ref'!G161)-1))</f>
        <v>4.5</v>
      </c>
      <c r="N144" s="64">
        <f>VALUE(MID('Bball ref'!G161,FIND("/",'Bball ref'!G161)+1,FIND(")",'Bball ref'!G161)-FIND("/",'Bball ref'!G161)-1))</f>
        <v>10.1</v>
      </c>
      <c r="O144" s="64">
        <f>VALUE(MID('Bball ref'!H161,FIND("(",'Bball ref'!H161)+1,FIND("/",'Bball ref'!H161)-FIND("(",'Bball ref'!H161)-1))</f>
        <v>1.9</v>
      </c>
      <c r="P144" s="64">
        <f>VALUE(MID('Bball ref'!H161,FIND("/",'Bball ref'!H161)+1,FIND(")",'Bball ref'!H161)-FIND("/",'Bball ref'!H161)-1))</f>
        <v>2.2000000000000002</v>
      </c>
      <c r="Q144" s="64">
        <f>(D144-Math!B$14)/Math!B$15</f>
        <v>-0.50556318992096039</v>
      </c>
      <c r="R144" s="64">
        <f>(E144-Math!C$14)/Math!C$15</f>
        <v>0.96696352435886834</v>
      </c>
      <c r="S144" s="64">
        <f>(F144-Math!D$14)/Math!D$15</f>
        <v>0.37113678861347094</v>
      </c>
      <c r="T144" s="64">
        <f>(G144-Math!E$14)/Math!E$15</f>
        <v>0.283134935507866</v>
      </c>
      <c r="U144" s="64">
        <f>(H144-Math!F$14)/Math!F$15</f>
        <v>-0.69449174203559916</v>
      </c>
      <c r="V144" s="64">
        <f>(I144-Math!G$14)/Math!G$15</f>
        <v>-0.71235717318607394</v>
      </c>
      <c r="W144" s="64">
        <f>(J144-Math!H$14)/Math!H$15</f>
        <v>-1.0878286463899152</v>
      </c>
      <c r="X144" s="64">
        <f>(-1)*(K144-Math!I$14)/Math!I$15</f>
        <v>0.60570294737079333</v>
      </c>
      <c r="Y144" s="64">
        <f>(L144-Math!J$14)/Math!J$15</f>
        <v>-0.53192707480838564</v>
      </c>
    </row>
    <row r="145" spans="1:25">
      <c r="A145" s="64" t="str">
        <f>IF((LEN('Bball ref'!B162)-LEN(SUBSTITUTE('Bball ref'!B162," ","")))&lt;2,'Bball ref'!B162,LEFT('Bball ref'!B162,FIND(" ",'Bball ref'!B162,FIND(" ",'Bball ref'!B162)+1)-1))</f>
        <v>PJ Tucker</v>
      </c>
      <c r="B145" s="64">
        <f>'Bball ref'!A162</f>
        <v>144</v>
      </c>
      <c r="C145" s="64">
        <f>'Bball ref'!E162</f>
        <v>80</v>
      </c>
      <c r="D145" s="64">
        <f>VALUE(LEFT('Bball ref'!G162,FIND("(",'Bball ref'!G162)-1))</f>
        <v>0.4</v>
      </c>
      <c r="E145" s="64">
        <f>VALUE(LEFT('Bball ref'!H162,(FIND("(",'Bball ref'!H162)-1)))</f>
        <v>0.71</v>
      </c>
      <c r="F145" s="64">
        <f>'Bball ref'!I162</f>
        <v>1.8</v>
      </c>
      <c r="G145" s="64">
        <f>'Bball ref'!K162</f>
        <v>5.8</v>
      </c>
      <c r="H145" s="64">
        <f>'Bball ref'!L162</f>
        <v>1.2</v>
      </c>
      <c r="I145" s="64">
        <f>'Bball ref'!M162</f>
        <v>1.5</v>
      </c>
      <c r="J145" s="64">
        <f>'Bball ref'!N162</f>
        <v>0.5</v>
      </c>
      <c r="K145" s="64">
        <f>'Bball ref'!O162</f>
        <v>0.7</v>
      </c>
      <c r="L145" s="64">
        <f>'Bball ref'!J162</f>
        <v>7.2</v>
      </c>
      <c r="M145" s="64">
        <f>VALUE(MID('Bball ref'!G162,FIND("(",'Bball ref'!G162)+1,FIND("/",'Bball ref'!G162)-FIND("(",'Bball ref'!G162)-1))</f>
        <v>2.5</v>
      </c>
      <c r="N145" s="64">
        <f>VALUE(MID('Bball ref'!G162,FIND("/",'Bball ref'!G162)+1,FIND(")",'Bball ref'!G162)-FIND("/",'Bball ref'!G162)-1))</f>
        <v>6.3</v>
      </c>
      <c r="O145" s="64">
        <f>VALUE(MID('Bball ref'!H162,FIND("(",'Bball ref'!H162)+1,FIND("/",'Bball ref'!H162)-FIND("(",'Bball ref'!H162)-1))</f>
        <v>0.5</v>
      </c>
      <c r="P145" s="64">
        <f>VALUE(MID('Bball ref'!H162,FIND("/",'Bball ref'!H162)+1,FIND(")",'Bball ref'!H162)-FIND("/",'Bball ref'!H162)-1))</f>
        <v>0.7</v>
      </c>
      <c r="Q145" s="64">
        <f>(D145-Math!B$14)/Math!B$15</f>
        <v>-1.4298103378569049</v>
      </c>
      <c r="R145" s="64">
        <f>(E145-Math!C$14)/Math!C$15</f>
        <v>-0.85063708533825322</v>
      </c>
      <c r="S145" s="64">
        <f>(F145-Math!D$14)/Math!D$15</f>
        <v>0.37113678861347094</v>
      </c>
      <c r="T145" s="64">
        <f>(G145-Math!E$14)/Math!E$15</f>
        <v>-2.0698663964023124E-2</v>
      </c>
      <c r="U145" s="64">
        <f>(H145-Math!F$14)/Math!F$15</f>
        <v>-1.0456251616274512</v>
      </c>
      <c r="V145" s="64">
        <f>(I145-Math!G$14)/Math!G$15</f>
        <v>1.3983307473652546</v>
      </c>
      <c r="W145" s="64">
        <f>(J145-Math!H$14)/Math!H$15</f>
        <v>-0.35156560314800916</v>
      </c>
      <c r="X145" s="64">
        <f>(-1)*(K145-Math!I$14)/Math!I$15</f>
        <v>1.4106238076642077</v>
      </c>
      <c r="Y145" s="64">
        <f>(L145-Math!J$14)/Math!J$15</f>
        <v>-1.6146282447915299</v>
      </c>
    </row>
    <row r="146" spans="1:25">
      <c r="A146" s="64" t="str">
        <f>IF((LEN('Bball ref'!B164)-LEN(SUBSTITUTE('Bball ref'!B164," ","")))&lt;2,'Bball ref'!B164,LEFT('Bball ref'!B164,FIND(" ",'Bball ref'!B164,FIND(" ",'Bball ref'!B164)+1)-1))</f>
        <v>Tim Hardaway</v>
      </c>
      <c r="B146" s="64">
        <f>'Bball ref'!A164</f>
        <v>145</v>
      </c>
      <c r="C146" s="64">
        <f>'Bball ref'!E164</f>
        <v>66</v>
      </c>
      <c r="D146" s="64">
        <f>VALUE(LEFT('Bball ref'!G164,FIND("(",'Bball ref'!G164)-1))</f>
        <v>0.41</v>
      </c>
      <c r="E146" s="64">
        <f>VALUE(LEFT('Bball ref'!H164,(FIND("(",'Bball ref'!H164)-1)))</f>
        <v>0.87</v>
      </c>
      <c r="F146" s="64">
        <f>'Bball ref'!I164</f>
        <v>2.2999999999999998</v>
      </c>
      <c r="G146" s="64">
        <f>'Bball ref'!K164</f>
        <v>3.2</v>
      </c>
      <c r="H146" s="64">
        <f>'Bball ref'!L164</f>
        <v>2.2000000000000002</v>
      </c>
      <c r="I146" s="64">
        <f>'Bball ref'!M164</f>
        <v>0.7</v>
      </c>
      <c r="J146" s="64">
        <f>'Bball ref'!N164</f>
        <v>0.1</v>
      </c>
      <c r="K146" s="64">
        <f>'Bball ref'!O164</f>
        <v>1.4</v>
      </c>
      <c r="L146" s="64">
        <f>'Bball ref'!J164</f>
        <v>16.899999999999999</v>
      </c>
      <c r="M146" s="64">
        <f>VALUE(MID('Bball ref'!G164,FIND("(",'Bball ref'!G164)+1,FIND("/",'Bball ref'!G164)-FIND("(",'Bball ref'!G164)-1))</f>
        <v>5.6</v>
      </c>
      <c r="N146" s="64">
        <f>VALUE(MID('Bball ref'!G164,FIND("/",'Bball ref'!G164)+1,FIND(")",'Bball ref'!G164)-FIND("/",'Bball ref'!G164)-1))</f>
        <v>13.6</v>
      </c>
      <c r="O146" s="64">
        <f>VALUE(MID('Bball ref'!H164,FIND("(",'Bball ref'!H164)+1,FIND("/",'Bball ref'!H164)-FIND("(",'Bball ref'!H164)-1))</f>
        <v>3.4</v>
      </c>
      <c r="P146" s="64">
        <f>VALUE(MID('Bball ref'!H164,FIND("/",'Bball ref'!H164)+1,FIND(")",'Bball ref'!H164)-FIND("/",'Bball ref'!H164)-1))</f>
        <v>3.9</v>
      </c>
      <c r="Q146" s="64">
        <f>(D146-Math!B$14)/Math!B$15</f>
        <v>-1.2449609082697168</v>
      </c>
      <c r="R146" s="64">
        <f>(E146-Math!C$14)/Math!C$15</f>
        <v>1.0881368983386766</v>
      </c>
      <c r="S146" s="64">
        <f>(F146-Math!D$14)/Math!D$15</f>
        <v>0.91057979531909661</v>
      </c>
      <c r="T146" s="64">
        <f>(G146-Math!E$14)/Math!E$15</f>
        <v>-1.008157862247663</v>
      </c>
      <c r="U146" s="64">
        <f>(H146-Math!F$14)/Math!F$15</f>
        <v>-0.54400599078194822</v>
      </c>
      <c r="V146" s="64">
        <f>(I146-Math!G$14)/Math!G$15</f>
        <v>-0.71235717318607394</v>
      </c>
      <c r="W146" s="64">
        <f>(J146-Math!H$14)/Math!H$15</f>
        <v>-1.0878286463899152</v>
      </c>
      <c r="X146" s="64">
        <f>(-1)*(K146-Math!I$14)/Math!I$15</f>
        <v>0.47154947065522446</v>
      </c>
      <c r="Y146" s="64">
        <f>(L146-Math!J$14)/Math!J$15</f>
        <v>0.33022385684485867</v>
      </c>
    </row>
    <row r="147" spans="1:25">
      <c r="A147" s="64" t="str">
        <f>IF((LEN('Bball ref'!B165)-LEN(SUBSTITUTE('Bball ref'!B165," ","")))&lt;2,'Bball ref'!B165,LEFT('Bball ref'!B165,FIND(" ",'Bball ref'!B165,FIND(" ",'Bball ref'!B165)+1)-1))</f>
        <v>Ivica Zubac</v>
      </c>
      <c r="B147" s="64">
        <f>'Bball ref'!A165</f>
        <v>146</v>
      </c>
      <c r="C147" s="64">
        <f>'Bball ref'!E165</f>
        <v>68</v>
      </c>
      <c r="D147" s="64">
        <f>VALUE(LEFT('Bball ref'!G165,FIND("(",'Bball ref'!G165)-1))</f>
        <v>0.53</v>
      </c>
      <c r="E147" s="64">
        <f>VALUE(LEFT('Bball ref'!H165,(FIND("(",'Bball ref'!H165)-1)))</f>
        <v>0.76</v>
      </c>
      <c r="F147" s="64">
        <f>'Bball ref'!I165</f>
        <v>0</v>
      </c>
      <c r="G147" s="64">
        <f>'Bball ref'!K165</f>
        <v>8.1999999999999993</v>
      </c>
      <c r="H147" s="64">
        <f>'Bball ref'!L165</f>
        <v>1.5</v>
      </c>
      <c r="I147" s="64">
        <f>'Bball ref'!M165</f>
        <v>0.4</v>
      </c>
      <c r="J147" s="64">
        <f>'Bball ref'!N165</f>
        <v>1</v>
      </c>
      <c r="K147" s="64">
        <f>'Bball ref'!O165</f>
        <v>1.6</v>
      </c>
      <c r="L147" s="64">
        <f>'Bball ref'!J165</f>
        <v>10.1</v>
      </c>
      <c r="M147" s="64">
        <f>VALUE(MID('Bball ref'!G165,FIND("(",'Bball ref'!G165)+1,FIND("/",'Bball ref'!G165)-FIND("(",'Bball ref'!G165)-1))</f>
        <v>3.9</v>
      </c>
      <c r="N147" s="64">
        <f>VALUE(MID('Bball ref'!G165,FIND("/",'Bball ref'!G165)+1,FIND(")",'Bball ref'!G165)-FIND("/",'Bball ref'!G165)-1))</f>
        <v>7.3</v>
      </c>
      <c r="O147" s="64">
        <f>VALUE(MID('Bball ref'!H165,FIND("(",'Bball ref'!H165)+1,FIND("/",'Bball ref'!H165)-FIND("(",'Bball ref'!H165)-1))</f>
        <v>2.2000000000000002</v>
      </c>
      <c r="P147" s="64">
        <f>VALUE(MID('Bball ref'!H165,FIND("/",'Bball ref'!H165)+1,FIND(")",'Bball ref'!H165)-FIND("/",'Bball ref'!H165)-1))</f>
        <v>2.9</v>
      </c>
      <c r="Q147" s="64">
        <f>(D147-Math!B$14)/Math!B$15</f>
        <v>0.97323224677655129</v>
      </c>
      <c r="R147" s="64">
        <f>(E147-Math!C$14)/Math!C$15</f>
        <v>-0.24477021543921229</v>
      </c>
      <c r="S147" s="64">
        <f>(F147-Math!D$14)/Math!D$15</f>
        <v>-1.5708580355267823</v>
      </c>
      <c r="T147" s="64">
        <f>(G147-Math!E$14)/Math!E$15</f>
        <v>0.89080213445164436</v>
      </c>
      <c r="U147" s="64">
        <f>(H147-Math!F$14)/Math!F$15</f>
        <v>-0.89513941037380029</v>
      </c>
      <c r="V147" s="64">
        <f>(I147-Math!G$14)/Math!G$15</f>
        <v>-1.5038651433928218</v>
      </c>
      <c r="W147" s="64">
        <f>(J147-Math!H$14)/Math!H$15</f>
        <v>0.56876320090437327</v>
      </c>
      <c r="X147" s="64">
        <f>(-1)*(K147-Math!I$14)/Math!I$15</f>
        <v>0.20324251722408615</v>
      </c>
      <c r="Y147" s="64">
        <f>(L147-Math!J$14)/Math!J$15</f>
        <v>-1.0331776164672486</v>
      </c>
    </row>
    <row r="148" spans="1:25">
      <c r="A148" s="64" t="str">
        <f>IF((LEN('Bball ref'!B166)-LEN(SUBSTITUTE('Bball ref'!B166," ","")))&lt;2,'Bball ref'!B166,LEFT('Bball ref'!B166,FIND(" ",'Bball ref'!B166,FIND(" ",'Bball ref'!B166)+1)-1))</f>
        <v>De'Andre Hunter</v>
      </c>
      <c r="B148" s="64">
        <f>'Bball ref'!A166</f>
        <v>147</v>
      </c>
      <c r="C148" s="64">
        <f>'Bball ref'!E166</f>
        <v>72</v>
      </c>
      <c r="D148" s="64">
        <f>VALUE(LEFT('Bball ref'!G166,FIND("(",'Bball ref'!G166)-1))</f>
        <v>0.46</v>
      </c>
      <c r="E148" s="64">
        <f>VALUE(LEFT('Bball ref'!H166,(FIND("(",'Bball ref'!H166)-1)))</f>
        <v>0.75</v>
      </c>
      <c r="F148" s="64">
        <f>'Bball ref'!I166</f>
        <v>1.6</v>
      </c>
      <c r="G148" s="64">
        <f>'Bball ref'!K166</f>
        <v>4.5999999999999996</v>
      </c>
      <c r="H148" s="64">
        <f>'Bball ref'!L166</f>
        <v>2.2000000000000002</v>
      </c>
      <c r="I148" s="64">
        <f>'Bball ref'!M166</f>
        <v>1.1000000000000001</v>
      </c>
      <c r="J148" s="64">
        <f>'Bball ref'!N166</f>
        <v>0.3</v>
      </c>
      <c r="K148" s="64">
        <f>'Bball ref'!O166</f>
        <v>1.3</v>
      </c>
      <c r="L148" s="64">
        <f>'Bball ref'!J166</f>
        <v>12.1</v>
      </c>
      <c r="M148" s="64">
        <f>VALUE(MID('Bball ref'!G166,FIND("(",'Bball ref'!G166)+1,FIND("/",'Bball ref'!G166)-FIND("(",'Bball ref'!G166)-1))</f>
        <v>4.0999999999999996</v>
      </c>
      <c r="N148" s="64">
        <f>VALUE(MID('Bball ref'!G166,FIND("/",'Bball ref'!G166)+1,FIND(")",'Bball ref'!G166)-FIND("/",'Bball ref'!G166)-1))</f>
        <v>8.9</v>
      </c>
      <c r="O148" s="64">
        <f>VALUE(MID('Bball ref'!H166,FIND("(",'Bball ref'!H166)+1,FIND("/",'Bball ref'!H166)-FIND("(",'Bball ref'!H166)-1))</f>
        <v>2.4</v>
      </c>
      <c r="P148" s="64">
        <f>VALUE(MID('Bball ref'!H166,FIND("/",'Bball ref'!H166)+1,FIND(")",'Bball ref'!H166)-FIND("/",'Bball ref'!H166)-1))</f>
        <v>3.2</v>
      </c>
      <c r="Q148" s="64">
        <f>(D148-Math!B$14)/Math!B$15</f>
        <v>-0.3207137603337713</v>
      </c>
      <c r="R148" s="64">
        <f>(E148-Math!C$14)/Math!C$15</f>
        <v>-0.3659435894190205</v>
      </c>
      <c r="S148" s="64">
        <f>(F148-Math!D$14)/Math!D$15</f>
        <v>0.15535958593122062</v>
      </c>
      <c r="T148" s="64">
        <f>(G148-Math!E$14)/Math!E$15</f>
        <v>-0.47644906317185703</v>
      </c>
      <c r="U148" s="64">
        <f>(H148-Math!F$14)/Math!F$15</f>
        <v>-0.54400599078194822</v>
      </c>
      <c r="V148" s="64">
        <f>(I148-Math!G$14)/Math!G$15</f>
        <v>0.34298678708959057</v>
      </c>
      <c r="W148" s="64">
        <f>(J148-Math!H$14)/Math!H$15</f>
        <v>-0.71969712476896219</v>
      </c>
      <c r="X148" s="64">
        <f>(-1)*(K148-Math!I$14)/Math!I$15</f>
        <v>0.60570294737079333</v>
      </c>
      <c r="Y148" s="64">
        <f>(L148-Math!J$14)/Math!J$15</f>
        <v>-0.63217718314015814</v>
      </c>
    </row>
    <row r="149" spans="1:25">
      <c r="A149" s="64" t="str">
        <f>IF((LEN('Bball ref'!B167)-LEN(SUBSTITUTE('Bball ref'!B167," ","")))&lt;2,'Bball ref'!B167,LEFT('Bball ref'!B167,FIND(" ",'Bball ref'!B167,FIND(" ",'Bball ref'!B167)+1)-1))</f>
        <v>JaMychal Green</v>
      </c>
      <c r="B149" s="64">
        <f>'Bball ref'!A167</f>
        <v>148</v>
      </c>
      <c r="C149" s="64">
        <f>'Bball ref'!E167</f>
        <v>68</v>
      </c>
      <c r="D149" s="64">
        <f>VALUE(LEFT('Bball ref'!G167,FIND("(",'Bball ref'!G167)-1))</f>
        <v>0.49</v>
      </c>
      <c r="E149" s="64">
        <f>VALUE(LEFT('Bball ref'!H167,(FIND("(",'Bball ref'!H167)-1)))</f>
        <v>0.74</v>
      </c>
      <c r="F149" s="64">
        <f>'Bball ref'!I167</f>
        <v>1.3</v>
      </c>
      <c r="G149" s="64">
        <f>'Bball ref'!K167</f>
        <v>7</v>
      </c>
      <c r="H149" s="64">
        <f>'Bball ref'!L167</f>
        <v>1</v>
      </c>
      <c r="I149" s="64">
        <f>'Bball ref'!M167</f>
        <v>0.8</v>
      </c>
      <c r="J149" s="64">
        <f>'Bball ref'!N167</f>
        <v>0.6</v>
      </c>
      <c r="K149" s="64">
        <f>'Bball ref'!O167</f>
        <v>1.5</v>
      </c>
      <c r="L149" s="64">
        <f>'Bball ref'!J167</f>
        <v>10.199999999999999</v>
      </c>
      <c r="M149" s="64">
        <f>VALUE(MID('Bball ref'!G167,FIND("(",'Bball ref'!G167)+1,FIND("/",'Bball ref'!G167)-FIND("(",'Bball ref'!G167)-1))</f>
        <v>3.7</v>
      </c>
      <c r="N149" s="64">
        <f>VALUE(MID('Bball ref'!G167,FIND("/",'Bball ref'!G167)+1,FIND(")",'Bball ref'!G167)-FIND("/",'Bball ref'!G167)-1))</f>
        <v>7.6</v>
      </c>
      <c r="O149" s="64">
        <f>VALUE(MID('Bball ref'!H167,FIND("(",'Bball ref'!H167)+1,FIND("/",'Bball ref'!H167)-FIND("(",'Bball ref'!H167)-1))</f>
        <v>1.4</v>
      </c>
      <c r="P149" s="64">
        <f>VALUE(MID('Bball ref'!H167,FIND("/",'Bball ref'!H167)+1,FIND(")",'Bball ref'!H167)-FIND("/",'Bball ref'!H167)-1))</f>
        <v>1.9</v>
      </c>
      <c r="Q149" s="64">
        <f>(D149-Math!B$14)/Math!B$15</f>
        <v>0.23383452842779492</v>
      </c>
      <c r="R149" s="64">
        <f>(E149-Math!C$14)/Math!C$15</f>
        <v>-0.48711696339882865</v>
      </c>
      <c r="S149" s="64">
        <f>(F149-Math!D$14)/Math!D$15</f>
        <v>-0.16830621809215493</v>
      </c>
      <c r="T149" s="64">
        <f>(G149-Math!E$14)/Math!E$15</f>
        <v>0.4350517352438108</v>
      </c>
      <c r="U149" s="64">
        <f>(H149-Math!F$14)/Math!F$15</f>
        <v>-1.1459489957965516</v>
      </c>
      <c r="V149" s="64">
        <f>(I149-Math!G$14)/Math!G$15</f>
        <v>-0.44852118311715766</v>
      </c>
      <c r="W149" s="64">
        <f>(J149-Math!H$14)/Math!H$15</f>
        <v>-0.16749984233753273</v>
      </c>
      <c r="X149" s="64">
        <f>(-1)*(K149-Math!I$14)/Math!I$15</f>
        <v>0.3373959939396553</v>
      </c>
      <c r="Y149" s="64">
        <f>(L149-Math!J$14)/Math!J$15</f>
        <v>-1.0131275948008942</v>
      </c>
    </row>
    <row r="150" spans="1:25">
      <c r="A150" s="64" t="str">
        <f>IF((LEN('Bball ref'!B168)-LEN(SUBSTITUTE('Bball ref'!B168," ","")))&lt;2,'Bball ref'!B168,LEFT('Bball ref'!B168,FIND(" ",'Bball ref'!B168,FIND(" ",'Bball ref'!B168)+1)-1))</f>
        <v>Jakob Poeltl</v>
      </c>
      <c r="B150" s="64">
        <f>'Bball ref'!A168</f>
        <v>149</v>
      </c>
      <c r="C150" s="64">
        <f>'Bball ref'!E168</f>
        <v>70</v>
      </c>
      <c r="D150" s="64">
        <f>VALUE(LEFT('Bball ref'!G168,FIND("(",'Bball ref'!G168)-1))</f>
        <v>0.63</v>
      </c>
      <c r="E150" s="64">
        <f>VALUE(LEFT('Bball ref'!H168,(FIND("(",'Bball ref'!H168)-1)))</f>
        <v>0.5</v>
      </c>
      <c r="F150" s="64">
        <f>'Bball ref'!I168</f>
        <v>0</v>
      </c>
      <c r="G150" s="64">
        <f>'Bball ref'!K168</f>
        <v>8.3000000000000007</v>
      </c>
      <c r="H150" s="64">
        <f>'Bball ref'!L168</f>
        <v>1.8</v>
      </c>
      <c r="I150" s="64">
        <f>'Bball ref'!M168</f>
        <v>0.6</v>
      </c>
      <c r="J150" s="64">
        <f>'Bball ref'!N168</f>
        <v>1.3</v>
      </c>
      <c r="K150" s="64">
        <f>'Bball ref'!O168</f>
        <v>0.8</v>
      </c>
      <c r="L150" s="64">
        <f>'Bball ref'!J168</f>
        <v>7.9</v>
      </c>
      <c r="M150" s="64">
        <f>VALUE(MID('Bball ref'!G168,FIND("(",'Bball ref'!G168)+1,FIND("/",'Bball ref'!G168)-FIND("(",'Bball ref'!G168)-1))</f>
        <v>3.5</v>
      </c>
      <c r="N150" s="64">
        <f>VALUE(MID('Bball ref'!G168,FIND("/",'Bball ref'!G168)+1,FIND(")",'Bball ref'!G168)-FIND("/",'Bball ref'!G168)-1))</f>
        <v>5.6</v>
      </c>
      <c r="O150" s="64">
        <f>VALUE(MID('Bball ref'!H168,FIND("(",'Bball ref'!H168)+1,FIND("/",'Bball ref'!H168)-FIND("(",'Bball ref'!H168)-1))</f>
        <v>0.9</v>
      </c>
      <c r="P150" s="64">
        <f>VALUE(MID('Bball ref'!H168,FIND("/",'Bball ref'!H168)+1,FIND(")",'Bball ref'!H168)-FIND("/",'Bball ref'!H168)-1))</f>
        <v>1.8</v>
      </c>
      <c r="Q150" s="64">
        <f>(D150-Math!B$14)/Math!B$15</f>
        <v>2.8217265426484399</v>
      </c>
      <c r="R150" s="64">
        <f>(E150-Math!C$14)/Math!C$15</f>
        <v>-3.3952779389142225</v>
      </c>
      <c r="S150" s="64">
        <f>(F150-Math!D$14)/Math!D$15</f>
        <v>-1.5708580355267823</v>
      </c>
      <c r="T150" s="64">
        <f>(G150-Math!E$14)/Math!E$15</f>
        <v>0.92878133438563104</v>
      </c>
      <c r="U150" s="64">
        <f>(H150-Math!F$14)/Math!F$15</f>
        <v>-0.74465365912014936</v>
      </c>
      <c r="V150" s="64">
        <f>(I150-Math!G$14)/Math!G$15</f>
        <v>-0.97619316325498995</v>
      </c>
      <c r="W150" s="64">
        <f>(J150-Math!H$14)/Math!H$15</f>
        <v>1.1209604833358027</v>
      </c>
      <c r="X150" s="64">
        <f>(-1)*(K150-Math!I$14)/Math!I$15</f>
        <v>1.2764703309486385</v>
      </c>
      <c r="Y150" s="64">
        <f>(L150-Math!J$14)/Math!J$15</f>
        <v>-1.4742780931270481</v>
      </c>
    </row>
    <row r="151" spans="1:25">
      <c r="A151" s="64" t="str">
        <f>IF((LEN('Bball ref'!B169)-LEN(SUBSTITUTE('Bball ref'!B169," ","")))&lt;2,'Bball ref'!B169,LEFT('Bball ref'!B169,FIND(" ",'Bball ref'!B169,FIND(" ",'Bball ref'!B169)+1)-1))</f>
        <v>Brandon Ingram</v>
      </c>
      <c r="B151" s="64">
        <f>'Bball ref'!A169</f>
        <v>150</v>
      </c>
      <c r="C151" s="64">
        <f>'Bball ref'!E169</f>
        <v>60</v>
      </c>
      <c r="D151" s="64">
        <f>VALUE(LEFT('Bball ref'!G169,FIND("(",'Bball ref'!G169)-1))</f>
        <v>0.49</v>
      </c>
      <c r="E151" s="64">
        <f>VALUE(LEFT('Bball ref'!H169,(FIND("(",'Bball ref'!H169)-1)))</f>
        <v>0.69</v>
      </c>
      <c r="F151" s="64">
        <f>'Bball ref'!I169</f>
        <v>0.6</v>
      </c>
      <c r="G151" s="64">
        <f>'Bball ref'!K169</f>
        <v>5.4</v>
      </c>
      <c r="H151" s="64">
        <f>'Bball ref'!L169</f>
        <v>3.3</v>
      </c>
      <c r="I151" s="64">
        <f>'Bball ref'!M169</f>
        <v>0.8</v>
      </c>
      <c r="J151" s="64">
        <f>'Bball ref'!N169</f>
        <v>0.9</v>
      </c>
      <c r="K151" s="64">
        <f>'Bball ref'!O169</f>
        <v>2.2999999999999998</v>
      </c>
      <c r="L151" s="64">
        <f>'Bball ref'!J169</f>
        <v>17.399999999999999</v>
      </c>
      <c r="M151" s="64">
        <f>VALUE(MID('Bball ref'!G169,FIND("(",'Bball ref'!G169)+1,FIND("/",'Bball ref'!G169)-FIND("(",'Bball ref'!G169)-1))</f>
        <v>6.6</v>
      </c>
      <c r="N151" s="64">
        <f>VALUE(MID('Bball ref'!G169,FIND("/",'Bball ref'!G169)+1,FIND(")",'Bball ref'!G169)-FIND("/",'Bball ref'!G169)-1))</f>
        <v>13.4</v>
      </c>
      <c r="O151" s="64">
        <f>VALUE(MID('Bball ref'!H169,FIND("(",'Bball ref'!H169)+1,FIND("/",'Bball ref'!H169)-FIND("(",'Bball ref'!H169)-1))</f>
        <v>3.7</v>
      </c>
      <c r="P151" s="64">
        <f>VALUE(MID('Bball ref'!H169,FIND("/",'Bball ref'!H169)+1,FIND(")",'Bball ref'!H169)-FIND("/",'Bball ref'!H169)-1))</f>
        <v>5.4</v>
      </c>
      <c r="Q151" s="64">
        <f>(D151-Math!B$14)/Math!B$15</f>
        <v>0.23383452842779492</v>
      </c>
      <c r="R151" s="64">
        <f>(E151-Math!C$14)/Math!C$15</f>
        <v>-1.0929838332978696</v>
      </c>
      <c r="S151" s="64">
        <f>(F151-Math!D$14)/Math!D$15</f>
        <v>-0.92352642748003122</v>
      </c>
      <c r="T151" s="64">
        <f>(G151-Math!E$14)/Math!E$15</f>
        <v>-0.17261546369996753</v>
      </c>
      <c r="U151" s="64">
        <f>(H151-Math!F$14)/Math!F$15</f>
        <v>7.7750971481047723E-3</v>
      </c>
      <c r="V151" s="64">
        <f>(I151-Math!G$14)/Math!G$15</f>
        <v>-0.44852118311715766</v>
      </c>
      <c r="W151" s="64">
        <f>(J151-Math!H$14)/Math!H$15</f>
        <v>0.38469744009389678</v>
      </c>
      <c r="X151" s="64">
        <f>(-1)*(K151-Math!I$14)/Math!I$15</f>
        <v>-0.73583181978489676</v>
      </c>
      <c r="Y151" s="64">
        <f>(L151-Math!J$14)/Math!J$15</f>
        <v>0.43047396517663128</v>
      </c>
    </row>
    <row r="152" spans="1:25">
      <c r="A152" s="64" t="str">
        <f>IF((LEN('Bball ref'!B170)-LEN(SUBSTITUTE('Bball ref'!B170," ","")))&lt;2,'Bball ref'!B170,LEFT('Bball ref'!B170,FIND(" ",'Bball ref'!B170,FIND(" ",'Bball ref'!B170)+1)-1))</f>
        <v>Norman Powell</v>
      </c>
      <c r="B152" s="64">
        <f>'Bball ref'!A170</f>
        <v>151</v>
      </c>
      <c r="C152" s="64">
        <f>'Bball ref'!E170</f>
        <v>68</v>
      </c>
      <c r="D152" s="64">
        <f>VALUE(LEFT('Bball ref'!G170,FIND("(",'Bball ref'!G170)-1))</f>
        <v>0.48</v>
      </c>
      <c r="E152" s="64">
        <f>VALUE(LEFT('Bball ref'!H170,(FIND("(",'Bball ref'!H170)-1)))</f>
        <v>0.79</v>
      </c>
      <c r="F152" s="64">
        <f>'Bball ref'!I170</f>
        <v>1.6</v>
      </c>
      <c r="G152" s="64">
        <f>'Bball ref'!K170</f>
        <v>3.5</v>
      </c>
      <c r="H152" s="64">
        <f>'Bball ref'!L170</f>
        <v>2.2000000000000002</v>
      </c>
      <c r="I152" s="64">
        <f>'Bball ref'!M170</f>
        <v>1</v>
      </c>
      <c r="J152" s="64">
        <f>'Bball ref'!N170</f>
        <v>0.3</v>
      </c>
      <c r="K152" s="64">
        <f>'Bball ref'!O170</f>
        <v>1.5</v>
      </c>
      <c r="L152" s="64">
        <f>'Bball ref'!J170</f>
        <v>12.4</v>
      </c>
      <c r="M152" s="64">
        <f>VALUE(MID('Bball ref'!G170,FIND("(",'Bball ref'!G170)+1,FIND("/",'Bball ref'!G170)-FIND("(",'Bball ref'!G170)-1))</f>
        <v>4.7</v>
      </c>
      <c r="N152" s="64">
        <f>VALUE(MID('Bball ref'!G170,FIND("/",'Bball ref'!G170)+1,FIND(")",'Bball ref'!G170)-FIND("/",'Bball ref'!G170)-1))</f>
        <v>9.6999999999999993</v>
      </c>
      <c r="O152" s="64">
        <f>VALUE(MID('Bball ref'!H170,FIND("(",'Bball ref'!H170)+1,FIND("/",'Bball ref'!H170)-FIND("(",'Bball ref'!H170)-1))</f>
        <v>1.5</v>
      </c>
      <c r="P152" s="64">
        <f>VALUE(MID('Bball ref'!H170,FIND("/",'Bball ref'!H170)+1,FIND(")",'Bball ref'!H170)-FIND("/",'Bball ref'!H170)-1))</f>
        <v>1.9</v>
      </c>
      <c r="Q152" s="64">
        <f>(D152-Math!B$14)/Math!B$15</f>
        <v>4.8985098840605826E-2</v>
      </c>
      <c r="R152" s="64">
        <f>(E152-Math!C$14)/Math!C$15</f>
        <v>0.11874990650021229</v>
      </c>
      <c r="S152" s="64">
        <f>(F152-Math!D$14)/Math!D$15</f>
        <v>0.15535958593122062</v>
      </c>
      <c r="T152" s="64">
        <f>(G152-Math!E$14)/Math!E$15</f>
        <v>-0.89422026244570452</v>
      </c>
      <c r="U152" s="64">
        <f>(H152-Math!F$14)/Math!F$15</f>
        <v>-0.54400599078194822</v>
      </c>
      <c r="V152" s="64">
        <f>(I152-Math!G$14)/Math!G$15</f>
        <v>7.9150797020674304E-2</v>
      </c>
      <c r="W152" s="64">
        <f>(J152-Math!H$14)/Math!H$15</f>
        <v>-0.71969712476896219</v>
      </c>
      <c r="X152" s="64">
        <f>(-1)*(K152-Math!I$14)/Math!I$15</f>
        <v>0.3373959939396553</v>
      </c>
      <c r="Y152" s="64">
        <f>(L152-Math!J$14)/Math!J$15</f>
        <v>-0.57202711814109453</v>
      </c>
    </row>
    <row r="153" spans="1:25">
      <c r="A153" s="64" t="str">
        <f>IF((LEN('Bball ref'!B171)-LEN(SUBSTITUTE('Bball ref'!B171," ","")))&lt;2,'Bball ref'!B171,LEFT('Bball ref'!B171,FIND(" ",'Bball ref'!B171,FIND(" ",'Bball ref'!B171)+1)-1))</f>
        <v>Moe Harkless</v>
      </c>
      <c r="B153" s="64">
        <f>'Bball ref'!A171</f>
        <v>152</v>
      </c>
      <c r="C153" s="64">
        <f>'Bball ref'!E171</f>
        <v>66</v>
      </c>
      <c r="D153" s="64">
        <f>VALUE(LEFT('Bball ref'!G171,FIND("(",'Bball ref'!G171)-1))</f>
        <v>0.48</v>
      </c>
      <c r="E153" s="64">
        <f>VALUE(LEFT('Bball ref'!H171,(FIND("(",'Bball ref'!H171)-1)))</f>
        <v>0.69</v>
      </c>
      <c r="F153" s="64">
        <f>'Bball ref'!I171</f>
        <v>1</v>
      </c>
      <c r="G153" s="64">
        <f>'Bball ref'!K171</f>
        <v>5.0999999999999996</v>
      </c>
      <c r="H153" s="64">
        <f>'Bball ref'!L171</f>
        <v>1.4</v>
      </c>
      <c r="I153" s="64">
        <f>'Bball ref'!M171</f>
        <v>1</v>
      </c>
      <c r="J153" s="64">
        <f>'Bball ref'!N171</f>
        <v>0.9</v>
      </c>
      <c r="K153" s="64">
        <f>'Bball ref'!O171</f>
        <v>0.9</v>
      </c>
      <c r="L153" s="64">
        <f>'Bball ref'!J171</f>
        <v>9.3000000000000007</v>
      </c>
      <c r="M153" s="64">
        <f>VALUE(MID('Bball ref'!G171,FIND("(",'Bball ref'!G171)+1,FIND("/",'Bball ref'!G171)-FIND("(",'Bball ref'!G171)-1))</f>
        <v>3.7</v>
      </c>
      <c r="N153" s="64">
        <f>VALUE(MID('Bball ref'!G171,FIND("/",'Bball ref'!G171)+1,FIND(")",'Bball ref'!G171)-FIND("/",'Bball ref'!G171)-1))</f>
        <v>7.7</v>
      </c>
      <c r="O153" s="64">
        <f>VALUE(MID('Bball ref'!H171,FIND("(",'Bball ref'!H171)+1,FIND("/",'Bball ref'!H171)-FIND("(",'Bball ref'!H171)-1))</f>
        <v>0.9</v>
      </c>
      <c r="P153" s="64">
        <f>VALUE(MID('Bball ref'!H171,FIND("/",'Bball ref'!H171)+1,FIND(")",'Bball ref'!H171)-FIND("/",'Bball ref'!H171)-1))</f>
        <v>1.3</v>
      </c>
      <c r="Q153" s="64">
        <f>(D153-Math!B$14)/Math!B$15</f>
        <v>4.8985098840605826E-2</v>
      </c>
      <c r="R153" s="64">
        <f>(E153-Math!C$14)/Math!C$15</f>
        <v>-1.0929838332978696</v>
      </c>
      <c r="S153" s="64">
        <f>(F153-Math!D$14)/Math!D$15</f>
        <v>-0.49197202211553048</v>
      </c>
      <c r="T153" s="64">
        <f>(G153-Math!E$14)/Math!E$15</f>
        <v>-0.28655306350192628</v>
      </c>
      <c r="U153" s="64">
        <f>(H153-Math!F$14)/Math!F$15</f>
        <v>-0.9453013274583506</v>
      </c>
      <c r="V153" s="64">
        <f>(I153-Math!G$14)/Math!G$15</f>
        <v>7.9150797020674304E-2</v>
      </c>
      <c r="W153" s="64">
        <f>(J153-Math!H$14)/Math!H$15</f>
        <v>0.38469744009389678</v>
      </c>
      <c r="X153" s="64">
        <f>(-1)*(K153-Math!I$14)/Math!I$15</f>
        <v>1.1423168542330695</v>
      </c>
      <c r="Y153" s="64">
        <f>(L153-Math!J$14)/Math!J$15</f>
        <v>-1.1935777897980846</v>
      </c>
    </row>
    <row r="154" spans="1:25">
      <c r="A154" s="64" t="str">
        <f>IF((LEN('Bball ref'!B172)-LEN(SUBSTITUTE('Bball ref'!B172," ","")))&lt;2,'Bball ref'!B172,LEFT('Bball ref'!B172,FIND(" ",'Bball ref'!B172,FIND(" ",'Bball ref'!B172)+1)-1))</f>
        <v>Kyle Kuzma</v>
      </c>
      <c r="B154" s="64">
        <f>'Bball ref'!A172</f>
        <v>153</v>
      </c>
      <c r="C154" s="64">
        <f>'Bball ref'!E172</f>
        <v>76</v>
      </c>
      <c r="D154" s="64">
        <f>VALUE(LEFT('Bball ref'!G172,FIND("(",'Bball ref'!G172)-1))</f>
        <v>0.46</v>
      </c>
      <c r="E154" s="64">
        <f>VALUE(LEFT('Bball ref'!H172,(FIND("(",'Bball ref'!H172)-1)))</f>
        <v>0.76</v>
      </c>
      <c r="F154" s="64">
        <f>'Bball ref'!I172</f>
        <v>1.7</v>
      </c>
      <c r="G154" s="64">
        <f>'Bball ref'!K172</f>
        <v>5.0999999999999996</v>
      </c>
      <c r="H154" s="64">
        <f>'Bball ref'!L172</f>
        <v>2.2999999999999998</v>
      </c>
      <c r="I154" s="64">
        <f>'Bball ref'!M172</f>
        <v>0.5</v>
      </c>
      <c r="J154" s="64">
        <f>'Bball ref'!N172</f>
        <v>0.4</v>
      </c>
      <c r="K154" s="64">
        <f>'Bball ref'!O172</f>
        <v>1.7</v>
      </c>
      <c r="L154" s="64">
        <f>'Bball ref'!J172</f>
        <v>17.3</v>
      </c>
      <c r="M154" s="64">
        <f>VALUE(MID('Bball ref'!G172,FIND("(",'Bball ref'!G172)+1,FIND("/",'Bball ref'!G172)-FIND("(",'Bball ref'!G172)-1))</f>
        <v>6.6</v>
      </c>
      <c r="N154" s="64">
        <f>VALUE(MID('Bball ref'!G172,FIND("/",'Bball ref'!G172)+1,FIND(")",'Bball ref'!G172)-FIND("/",'Bball ref'!G172)-1))</f>
        <v>14.3</v>
      </c>
      <c r="O154" s="64">
        <f>VALUE(MID('Bball ref'!H172,FIND("(",'Bball ref'!H172)+1,FIND("/",'Bball ref'!H172)-FIND("(",'Bball ref'!H172)-1))</f>
        <v>2.5</v>
      </c>
      <c r="P154" s="64">
        <f>VALUE(MID('Bball ref'!H172,FIND("/",'Bball ref'!H172)+1,FIND(")",'Bball ref'!H172)-FIND("/",'Bball ref'!H172)-1))</f>
        <v>3.3</v>
      </c>
      <c r="Q154" s="64">
        <f>(D154-Math!B$14)/Math!B$15</f>
        <v>-0.3207137603337713</v>
      </c>
      <c r="R154" s="64">
        <f>(E154-Math!C$14)/Math!C$15</f>
        <v>-0.24477021543921229</v>
      </c>
      <c r="S154" s="64">
        <f>(F154-Math!D$14)/Math!D$15</f>
        <v>0.26324818727234567</v>
      </c>
      <c r="T154" s="64">
        <f>(G154-Math!E$14)/Math!E$15</f>
        <v>-0.28655306350192628</v>
      </c>
      <c r="U154" s="64">
        <f>(H154-Math!F$14)/Math!F$15</f>
        <v>-0.49384407369739808</v>
      </c>
      <c r="V154" s="64">
        <f>(I154-Math!G$14)/Math!G$15</f>
        <v>-1.2400291533239061</v>
      </c>
      <c r="W154" s="64">
        <f>(J154-Math!H$14)/Math!H$15</f>
        <v>-0.53563136395848565</v>
      </c>
      <c r="X154" s="64">
        <f>(-1)*(K154-Math!I$14)/Math!I$15</f>
        <v>6.9089040508517302E-2</v>
      </c>
      <c r="Y154" s="64">
        <f>(L154-Math!J$14)/Math!J$15</f>
        <v>0.41042394351027722</v>
      </c>
    </row>
    <row r="155" spans="1:25">
      <c r="A155" s="64" t="str">
        <f>IF((LEN('Bball ref'!B173)-LEN(SUBSTITUTE('Bball ref'!B173," ","")))&lt;2,'Bball ref'!B173,LEFT('Bball ref'!B173,FIND(" ",'Bball ref'!B173,FIND(" ",'Bball ref'!B173)+1)-1))</f>
        <v>Derrick Rose</v>
      </c>
      <c r="B155" s="64">
        <f>'Bball ref'!A173</f>
        <v>154</v>
      </c>
      <c r="C155" s="64">
        <f>'Bball ref'!E173</f>
        <v>56</v>
      </c>
      <c r="D155" s="64">
        <f>VALUE(LEFT('Bball ref'!G173,FIND("(",'Bball ref'!G173)-1))</f>
        <v>0.44</v>
      </c>
      <c r="E155" s="64">
        <f>VALUE(LEFT('Bball ref'!H173,(FIND("(",'Bball ref'!H173)-1)))</f>
        <v>0.87</v>
      </c>
      <c r="F155" s="64">
        <f>'Bball ref'!I173</f>
        <v>1.1000000000000001</v>
      </c>
      <c r="G155" s="64">
        <f>'Bball ref'!K173</f>
        <v>2.7</v>
      </c>
      <c r="H155" s="64">
        <f>'Bball ref'!L173</f>
        <v>4.3</v>
      </c>
      <c r="I155" s="64">
        <f>'Bball ref'!M173</f>
        <v>0.6</v>
      </c>
      <c r="J155" s="64">
        <f>'Bball ref'!N173</f>
        <v>0.2</v>
      </c>
      <c r="K155" s="64">
        <f>'Bball ref'!O173</f>
        <v>1.5</v>
      </c>
      <c r="L155" s="64">
        <f>'Bball ref'!J173</f>
        <v>14.7</v>
      </c>
      <c r="M155" s="64">
        <f>VALUE(MID('Bball ref'!G173,FIND("(",'Bball ref'!G173)+1,FIND("/",'Bball ref'!G173)-FIND("(",'Bball ref'!G173)-1))</f>
        <v>5.4</v>
      </c>
      <c r="N155" s="64">
        <f>VALUE(MID('Bball ref'!G173,FIND("/",'Bball ref'!G173)+1,FIND(")",'Bball ref'!G173)-FIND("/",'Bball ref'!G173)-1))</f>
        <v>12.3</v>
      </c>
      <c r="O155" s="64">
        <f>VALUE(MID('Bball ref'!H173,FIND("(",'Bball ref'!H173)+1,FIND("/",'Bball ref'!H173)-FIND("(",'Bball ref'!H173)-1))</f>
        <v>2.7</v>
      </c>
      <c r="P155" s="64">
        <f>VALUE(MID('Bball ref'!H173,FIND("/",'Bball ref'!H173)+1,FIND(")",'Bball ref'!H173)-FIND("/",'Bball ref'!H173)-1))</f>
        <v>3.1</v>
      </c>
      <c r="Q155" s="64">
        <f>(D155-Math!B$14)/Math!B$15</f>
        <v>-0.69041261950814947</v>
      </c>
      <c r="R155" s="64">
        <f>(E155-Math!C$14)/Math!C$15</f>
        <v>1.0881368983386766</v>
      </c>
      <c r="S155" s="64">
        <f>(F155-Math!D$14)/Math!D$15</f>
        <v>-0.38408342077440522</v>
      </c>
      <c r="T155" s="64">
        <f>(G155-Math!E$14)/Math!E$15</f>
        <v>-1.1980538619175938</v>
      </c>
      <c r="U155" s="64">
        <f>(H155-Math!F$14)/Math!F$15</f>
        <v>0.50939426799360765</v>
      </c>
      <c r="V155" s="64">
        <f>(I155-Math!G$14)/Math!G$15</f>
        <v>-0.97619316325498995</v>
      </c>
      <c r="W155" s="64">
        <f>(J155-Math!H$14)/Math!H$15</f>
        <v>-0.90376288557943862</v>
      </c>
      <c r="X155" s="64">
        <f>(-1)*(K155-Math!I$14)/Math!I$15</f>
        <v>0.3373959939396553</v>
      </c>
      <c r="Y155" s="64">
        <f>(L155-Math!J$14)/Math!J$15</f>
        <v>-0.11087661981494068</v>
      </c>
    </row>
    <row r="156" spans="1:25">
      <c r="A156" s="64" t="str">
        <f>IF((LEN('Bball ref'!B174)-LEN(SUBSTITUTE('Bball ref'!B174," ","")))&lt;2,'Bball ref'!B174,LEFT('Bball ref'!B174,FIND(" ",'Bball ref'!B174,FIND(" ",'Bball ref'!B174)+1)-1))</f>
        <v>Tyler Herro</v>
      </c>
      <c r="B156" s="64">
        <f>'Bball ref'!A174</f>
        <v>155</v>
      </c>
      <c r="C156" s="64">
        <f>'Bball ref'!E174</f>
        <v>74</v>
      </c>
      <c r="D156" s="64">
        <f>VALUE(LEFT('Bball ref'!G174,FIND("(",'Bball ref'!G174)-1))</f>
        <v>0.45</v>
      </c>
      <c r="E156" s="64">
        <f>VALUE(LEFT('Bball ref'!H174,(FIND("(",'Bball ref'!H174)-1)))</f>
        <v>0.83</v>
      </c>
      <c r="F156" s="64">
        <f>'Bball ref'!I174</f>
        <v>1.9</v>
      </c>
      <c r="G156" s="64">
        <f>'Bball ref'!K174</f>
        <v>3.5</v>
      </c>
      <c r="H156" s="64">
        <f>'Bball ref'!L174</f>
        <v>2</v>
      </c>
      <c r="I156" s="64">
        <f>'Bball ref'!M174</f>
        <v>0.8</v>
      </c>
      <c r="J156" s="64">
        <f>'Bball ref'!N174</f>
        <v>0.3</v>
      </c>
      <c r="K156" s="64">
        <f>'Bball ref'!O174</f>
        <v>1.2</v>
      </c>
      <c r="L156" s="64">
        <f>'Bball ref'!J174</f>
        <v>12.9</v>
      </c>
      <c r="M156" s="64">
        <f>VALUE(MID('Bball ref'!G174,FIND("(",'Bball ref'!G174)+1,FIND("/",'Bball ref'!G174)-FIND("(",'Bball ref'!G174)-1))</f>
        <v>4.5999999999999996</v>
      </c>
      <c r="N156" s="64">
        <f>VALUE(MID('Bball ref'!G174,FIND("/",'Bball ref'!G174)+1,FIND(")",'Bball ref'!G174)-FIND("/",'Bball ref'!G174)-1))</f>
        <v>10.3</v>
      </c>
      <c r="O156" s="64">
        <f>VALUE(MID('Bball ref'!H174,FIND("(",'Bball ref'!H174)+1,FIND("/",'Bball ref'!H174)-FIND("(",'Bball ref'!H174)-1))</f>
        <v>1.9</v>
      </c>
      <c r="P156" s="64">
        <f>VALUE(MID('Bball ref'!H174,FIND("/",'Bball ref'!H174)+1,FIND(")",'Bball ref'!H174)-FIND("/",'Bball ref'!H174)-1))</f>
        <v>2.2999999999999998</v>
      </c>
      <c r="Q156" s="64">
        <f>(D156-Math!B$14)/Math!B$15</f>
        <v>-0.50556318992096039</v>
      </c>
      <c r="R156" s="64">
        <f>(E156-Math!C$14)/Math!C$15</f>
        <v>0.60344340241944372</v>
      </c>
      <c r="S156" s="64">
        <f>(F156-Math!D$14)/Math!D$15</f>
        <v>0.47902538995459598</v>
      </c>
      <c r="T156" s="64">
        <f>(G156-Math!E$14)/Math!E$15</f>
        <v>-0.89422026244570452</v>
      </c>
      <c r="U156" s="64">
        <f>(H156-Math!F$14)/Math!F$15</f>
        <v>-0.64432982495104885</v>
      </c>
      <c r="V156" s="64">
        <f>(I156-Math!G$14)/Math!G$15</f>
        <v>-0.44852118311715766</v>
      </c>
      <c r="W156" s="64">
        <f>(J156-Math!H$14)/Math!H$15</f>
        <v>-0.71969712476896219</v>
      </c>
      <c r="X156" s="64">
        <f>(-1)*(K156-Math!I$14)/Math!I$15</f>
        <v>0.73985642408636254</v>
      </c>
      <c r="Y156" s="64">
        <f>(L156-Math!J$14)/Math!J$15</f>
        <v>-0.47177700980932186</v>
      </c>
    </row>
    <row r="157" spans="1:25">
      <c r="A157" s="64" t="str">
        <f>IF((LEN('Bball ref'!B175)-LEN(SUBSTITUTE('Bball ref'!B175," ","")))&lt;2,'Bball ref'!B175,LEFT('Bball ref'!B175,FIND(" ",'Bball ref'!B175,FIND(" ",'Bball ref'!B175)+1)-1))</f>
        <v>Goran Dragic</v>
      </c>
      <c r="B157" s="64">
        <f>'Bball ref'!A175</f>
        <v>156</v>
      </c>
      <c r="C157" s="64">
        <f>'Bball ref'!E175</f>
        <v>68</v>
      </c>
      <c r="D157" s="64">
        <f>VALUE(LEFT('Bball ref'!G175,FIND("(",'Bball ref'!G175)-1))</f>
        <v>0.45</v>
      </c>
      <c r="E157" s="64">
        <f>VALUE(LEFT('Bball ref'!H175,(FIND("(",'Bball ref'!H175)-1)))</f>
        <v>0.79</v>
      </c>
      <c r="F157" s="64">
        <f>'Bball ref'!I175</f>
        <v>1.6</v>
      </c>
      <c r="G157" s="64">
        <f>'Bball ref'!K175</f>
        <v>3.1</v>
      </c>
      <c r="H157" s="64">
        <f>'Bball ref'!L175</f>
        <v>4.8</v>
      </c>
      <c r="I157" s="64">
        <f>'Bball ref'!M175</f>
        <v>0.8</v>
      </c>
      <c r="J157" s="64">
        <f>'Bball ref'!N175</f>
        <v>0.1</v>
      </c>
      <c r="K157" s="64">
        <f>'Bball ref'!O175</f>
        <v>1.9</v>
      </c>
      <c r="L157" s="64">
        <f>'Bball ref'!J175</f>
        <v>13.8</v>
      </c>
      <c r="M157" s="64">
        <f>VALUE(MID('Bball ref'!G175,FIND("(",'Bball ref'!G175)+1,FIND("/",'Bball ref'!G175)-FIND("(",'Bball ref'!G175)-1))</f>
        <v>5</v>
      </c>
      <c r="N157" s="64">
        <f>VALUE(MID('Bball ref'!G175,FIND("/",'Bball ref'!G175)+1,FIND(")",'Bball ref'!G175)-FIND("/",'Bball ref'!G175)-1))</f>
        <v>11.2</v>
      </c>
      <c r="O157" s="64">
        <f>VALUE(MID('Bball ref'!H175,FIND("(",'Bball ref'!H175)+1,FIND("/",'Bball ref'!H175)-FIND("(",'Bball ref'!H175)-1))</f>
        <v>2.2000000000000002</v>
      </c>
      <c r="P157" s="64">
        <f>VALUE(MID('Bball ref'!H175,FIND("/",'Bball ref'!H175)+1,FIND(")",'Bball ref'!H175)-FIND("/",'Bball ref'!H175)-1))</f>
        <v>2.8</v>
      </c>
      <c r="Q157" s="64">
        <f>(D157-Math!B$14)/Math!B$15</f>
        <v>-0.50556318992096039</v>
      </c>
      <c r="R157" s="64">
        <f>(E157-Math!C$14)/Math!C$15</f>
        <v>0.11874990650021229</v>
      </c>
      <c r="S157" s="64">
        <f>(F157-Math!D$14)/Math!D$15</f>
        <v>0.15535958593122062</v>
      </c>
      <c r="T157" s="64">
        <f>(G157-Math!E$14)/Math!E$15</f>
        <v>-1.046137062181649</v>
      </c>
      <c r="U157" s="64">
        <f>(H157-Math!F$14)/Math!F$15</f>
        <v>0.7602038534163591</v>
      </c>
      <c r="V157" s="64">
        <f>(I157-Math!G$14)/Math!G$15</f>
        <v>-0.44852118311715766</v>
      </c>
      <c r="W157" s="64">
        <f>(J157-Math!H$14)/Math!H$15</f>
        <v>-1.0878286463899152</v>
      </c>
      <c r="X157" s="64">
        <f>(-1)*(K157-Math!I$14)/Math!I$15</f>
        <v>-0.19921791292262073</v>
      </c>
      <c r="Y157" s="64">
        <f>(L157-Math!J$14)/Math!J$15</f>
        <v>-0.29132681481213107</v>
      </c>
    </row>
    <row r="158" spans="1:25">
      <c r="A158" s="64" t="str">
        <f>IF((LEN('Bball ref'!B177)-LEN(SUBSTITUTE('Bball ref'!B177," ","")))&lt;2,'Bball ref'!B177,LEFT('Bball ref'!B177,FIND(" ",'Bball ref'!B177,FIND(" ",'Bball ref'!B177)+1)-1))</f>
        <v>Danuel House</v>
      </c>
      <c r="B158" s="64">
        <f>'Bball ref'!A177</f>
        <v>157</v>
      </c>
      <c r="C158" s="64">
        <f>'Bball ref'!E177</f>
        <v>70</v>
      </c>
      <c r="D158" s="64">
        <f>VALUE(LEFT('Bball ref'!G177,FIND("(",'Bball ref'!G177)-1))</f>
        <v>0.47</v>
      </c>
      <c r="E158" s="64">
        <f>VALUE(LEFT('Bball ref'!H177,(FIND("(",'Bball ref'!H177)-1)))</f>
        <v>0.78</v>
      </c>
      <c r="F158" s="64">
        <f>'Bball ref'!I177</f>
        <v>2.2000000000000002</v>
      </c>
      <c r="G158" s="64">
        <f>'Bball ref'!K177</f>
        <v>4.5</v>
      </c>
      <c r="H158" s="64">
        <f>'Bball ref'!L177</f>
        <v>1.3</v>
      </c>
      <c r="I158" s="64">
        <f>'Bball ref'!M177</f>
        <v>0.6</v>
      </c>
      <c r="J158" s="64">
        <f>'Bball ref'!N177</f>
        <v>0.4</v>
      </c>
      <c r="K158" s="64">
        <f>'Bball ref'!O177</f>
        <v>1.1000000000000001</v>
      </c>
      <c r="L158" s="64">
        <f>'Bball ref'!J177</f>
        <v>11.7</v>
      </c>
      <c r="M158" s="64">
        <f>VALUE(MID('Bball ref'!G177,FIND("(",'Bball ref'!G177)+1,FIND("/",'Bball ref'!G177)-FIND("(",'Bball ref'!G177)-1))</f>
        <v>3.9</v>
      </c>
      <c r="N158" s="64">
        <f>VALUE(MID('Bball ref'!G177,FIND("/",'Bball ref'!G177)+1,FIND(")",'Bball ref'!G177)-FIND("/",'Bball ref'!G177)-1))</f>
        <v>8.3000000000000007</v>
      </c>
      <c r="O158" s="64">
        <f>VALUE(MID('Bball ref'!H177,FIND("(",'Bball ref'!H177)+1,FIND("/",'Bball ref'!H177)-FIND("(",'Bball ref'!H177)-1))</f>
        <v>1.8</v>
      </c>
      <c r="P158" s="64">
        <f>VALUE(MID('Bball ref'!H177,FIND("/",'Bball ref'!H177)+1,FIND(")",'Bball ref'!H177)-FIND("/",'Bball ref'!H177)-1))</f>
        <v>2.2999999999999998</v>
      </c>
      <c r="Q158" s="64">
        <f>(D158-Math!B$14)/Math!B$15</f>
        <v>-0.13586433074658327</v>
      </c>
      <c r="R158" s="64">
        <f>(E158-Math!C$14)/Math!C$15</f>
        <v>-2.4234674795958946E-3</v>
      </c>
      <c r="S158" s="64">
        <f>(F158-Math!D$14)/Math!D$15</f>
        <v>0.80269119397797173</v>
      </c>
      <c r="T158" s="64">
        <f>(G158-Math!E$14)/Math!E$15</f>
        <v>-0.514428263105843</v>
      </c>
      <c r="U158" s="64">
        <f>(H158-Math!F$14)/Math!F$15</f>
        <v>-0.9954632445429008</v>
      </c>
      <c r="V158" s="64">
        <f>(I158-Math!G$14)/Math!G$15</f>
        <v>-0.97619316325498995</v>
      </c>
      <c r="W158" s="64">
        <f>(J158-Math!H$14)/Math!H$15</f>
        <v>-0.53563136395848565</v>
      </c>
      <c r="X158" s="64">
        <f>(-1)*(K158-Math!I$14)/Math!I$15</f>
        <v>0.87400990080193131</v>
      </c>
      <c r="Y158" s="64">
        <f>(L158-Math!J$14)/Math!J$15</f>
        <v>-0.71237726980557636</v>
      </c>
    </row>
    <row r="159" spans="1:25">
      <c r="A159" s="64" t="str">
        <f>IF((LEN('Bball ref'!B178)-LEN(SUBSTITUTE('Bball ref'!B178," ","")))&lt;2,'Bball ref'!B178,LEFT('Bball ref'!B178,FIND(" ",'Bball ref'!B178,FIND(" ",'Bball ref'!B178)+1)-1))</f>
        <v>Darius Garland</v>
      </c>
      <c r="B159" s="64">
        <f>'Bball ref'!A178</f>
        <v>158</v>
      </c>
      <c r="C159" s="64">
        <f>'Bball ref'!E178</f>
        <v>70</v>
      </c>
      <c r="D159" s="64">
        <f>VALUE(LEFT('Bball ref'!G178,FIND("(",'Bball ref'!G178)-1))</f>
        <v>0.46</v>
      </c>
      <c r="E159" s="64">
        <f>VALUE(LEFT('Bball ref'!H178,(FIND("(",'Bball ref'!H178)-1)))</f>
        <v>0.8</v>
      </c>
      <c r="F159" s="64">
        <f>'Bball ref'!I178</f>
        <v>2.1</v>
      </c>
      <c r="G159" s="64">
        <f>'Bball ref'!K178</f>
        <v>3.6</v>
      </c>
      <c r="H159" s="64">
        <f>'Bball ref'!L178</f>
        <v>2.9</v>
      </c>
      <c r="I159" s="64">
        <f>'Bball ref'!M178</f>
        <v>0.8</v>
      </c>
      <c r="J159" s="64">
        <f>'Bball ref'!N178</f>
        <v>0.1</v>
      </c>
      <c r="K159" s="64">
        <f>'Bball ref'!O178</f>
        <v>2.2999999999999998</v>
      </c>
      <c r="L159" s="64">
        <f>'Bball ref'!J178</f>
        <v>15.1</v>
      </c>
      <c r="M159" s="64">
        <f>VALUE(MID('Bball ref'!G178,FIND("(",'Bball ref'!G178)+1,FIND("/",'Bball ref'!G178)-FIND("(",'Bball ref'!G178)-1))</f>
        <v>5.2</v>
      </c>
      <c r="N159" s="64">
        <f>VALUE(MID('Bball ref'!G178,FIND("/",'Bball ref'!G178)+1,FIND(")",'Bball ref'!G178)-FIND("/",'Bball ref'!G178)-1))</f>
        <v>11.4</v>
      </c>
      <c r="O159" s="64">
        <f>VALUE(MID('Bball ref'!H178,FIND("(",'Bball ref'!H178)+1,FIND("/",'Bball ref'!H178)-FIND("(",'Bball ref'!H178)-1))</f>
        <v>2.8</v>
      </c>
      <c r="P159" s="64">
        <f>VALUE(MID('Bball ref'!H178,FIND("/",'Bball ref'!H178)+1,FIND(")",'Bball ref'!H178)-FIND("/",'Bball ref'!H178)-1))</f>
        <v>3.5</v>
      </c>
      <c r="Q159" s="64">
        <f>(D159-Math!B$14)/Math!B$15</f>
        <v>-0.3207137603337713</v>
      </c>
      <c r="R159" s="64">
        <f>(E159-Math!C$14)/Math!C$15</f>
        <v>0.23992328048002048</v>
      </c>
      <c r="S159" s="64">
        <f>(F159-Math!D$14)/Math!D$15</f>
        <v>0.69480259263684652</v>
      </c>
      <c r="T159" s="64">
        <f>(G159-Math!E$14)/Math!E$15</f>
        <v>-0.85624106251171839</v>
      </c>
      <c r="U159" s="64">
        <f>(H159-Math!F$14)/Math!F$15</f>
        <v>-0.19287257119009632</v>
      </c>
      <c r="V159" s="64">
        <f>(I159-Math!G$14)/Math!G$15</f>
        <v>-0.44852118311715766</v>
      </c>
      <c r="W159" s="64">
        <f>(J159-Math!H$14)/Math!H$15</f>
        <v>-1.0878286463899152</v>
      </c>
      <c r="X159" s="64">
        <f>(-1)*(K159-Math!I$14)/Math!I$15</f>
        <v>-0.73583181978489676</v>
      </c>
      <c r="Y159" s="64">
        <f>(L159-Math!J$14)/Math!J$15</f>
        <v>-3.0676533149522515E-2</v>
      </c>
    </row>
    <row r="160" spans="1:25">
      <c r="A160" s="64" t="str">
        <f>IF((LEN('Bball ref'!B179)-LEN(SUBSTITUTE('Bball ref'!B179," ","")))&lt;2,'Bball ref'!B179,LEFT('Bball ref'!B179,FIND(" ",'Bball ref'!B179,FIND(" ",'Bball ref'!B179)+1)-1))</f>
        <v>James Johnson</v>
      </c>
      <c r="B160" s="64">
        <f>'Bball ref'!A179</f>
        <v>159</v>
      </c>
      <c r="C160" s="64">
        <f>'Bball ref'!E179</f>
        <v>70</v>
      </c>
      <c r="D160" s="64">
        <f>VALUE(LEFT('Bball ref'!G179,FIND("(",'Bball ref'!G179)-1))</f>
        <v>0.46</v>
      </c>
      <c r="E160" s="64">
        <f>VALUE(LEFT('Bball ref'!H179,(FIND("(",'Bball ref'!H179)-1)))</f>
        <v>0.72</v>
      </c>
      <c r="F160" s="64">
        <f>'Bball ref'!I179</f>
        <v>1.3</v>
      </c>
      <c r="G160" s="64">
        <f>'Bball ref'!K179</f>
        <v>4.4000000000000004</v>
      </c>
      <c r="H160" s="64">
        <f>'Bball ref'!L179</f>
        <v>3.5</v>
      </c>
      <c r="I160" s="64">
        <f>'Bball ref'!M179</f>
        <v>0.8</v>
      </c>
      <c r="J160" s="64">
        <f>'Bball ref'!N179</f>
        <v>0.7</v>
      </c>
      <c r="K160" s="64">
        <f>'Bball ref'!O179</f>
        <v>1.7</v>
      </c>
      <c r="L160" s="64">
        <f>'Bball ref'!J179</f>
        <v>10.9</v>
      </c>
      <c r="M160" s="64">
        <f>VALUE(MID('Bball ref'!G179,FIND("(",'Bball ref'!G179)+1,FIND("/",'Bball ref'!G179)-FIND("(",'Bball ref'!G179)-1))</f>
        <v>4.2</v>
      </c>
      <c r="N160" s="64">
        <f>VALUE(MID('Bball ref'!G179,FIND("/",'Bball ref'!G179)+1,FIND(")",'Bball ref'!G179)-FIND("/",'Bball ref'!G179)-1))</f>
        <v>9.1</v>
      </c>
      <c r="O160" s="64">
        <f>VALUE(MID('Bball ref'!H179,FIND("(",'Bball ref'!H179)+1,FIND("/",'Bball ref'!H179)-FIND("(",'Bball ref'!H179)-1))</f>
        <v>1.3</v>
      </c>
      <c r="P160" s="64">
        <f>VALUE(MID('Bball ref'!H179,FIND("/",'Bball ref'!H179)+1,FIND(")",'Bball ref'!H179)-FIND("/",'Bball ref'!H179)-1))</f>
        <v>1.8</v>
      </c>
      <c r="Q160" s="64">
        <f>(D160-Math!B$14)/Math!B$15</f>
        <v>-0.3207137603337713</v>
      </c>
      <c r="R160" s="64">
        <f>(E160-Math!C$14)/Math!C$15</f>
        <v>-0.72946371135844501</v>
      </c>
      <c r="S160" s="64">
        <f>(F160-Math!D$14)/Math!D$15</f>
        <v>-0.16830621809215493</v>
      </c>
      <c r="T160" s="64">
        <f>(G160-Math!E$14)/Math!E$15</f>
        <v>-0.55240746303982902</v>
      </c>
      <c r="U160" s="64">
        <f>(H160-Math!F$14)/Math!F$15</f>
        <v>0.10809893131720544</v>
      </c>
      <c r="V160" s="64">
        <f>(I160-Math!G$14)/Math!G$15</f>
        <v>-0.44852118311715766</v>
      </c>
      <c r="W160" s="64">
        <f>(J160-Math!H$14)/Math!H$15</f>
        <v>1.6565918472943714E-2</v>
      </c>
      <c r="X160" s="64">
        <f>(-1)*(K160-Math!I$14)/Math!I$15</f>
        <v>6.9089040508517302E-2</v>
      </c>
      <c r="Y160" s="64">
        <f>(L160-Math!J$14)/Math!J$15</f>
        <v>-0.87277744313641237</v>
      </c>
    </row>
    <row r="161" spans="1:25">
      <c r="A161" s="64" t="str">
        <f>IF((LEN('Bball ref'!B180)-LEN(SUBSTITUTE('Bball ref'!B180," ","")))&lt;2,'Bball ref'!B180,LEFT('Bball ref'!B180,FIND(" ",'Bball ref'!B180,FIND(" ",'Bball ref'!B180)+1)-1))</f>
        <v>Marvin Williams</v>
      </c>
      <c r="B161" s="64">
        <f>'Bball ref'!A180</f>
        <v>160</v>
      </c>
      <c r="C161" s="64">
        <f>'Bball ref'!E180</f>
        <v>75</v>
      </c>
      <c r="D161" s="64">
        <f>VALUE(LEFT('Bball ref'!G180,FIND("(",'Bball ref'!G180)-1))</f>
        <v>0.43</v>
      </c>
      <c r="E161" s="64">
        <f>VALUE(LEFT('Bball ref'!H180,(FIND("(",'Bball ref'!H180)-1)))</f>
        <v>0.8</v>
      </c>
      <c r="F161" s="64">
        <f>'Bball ref'!I180</f>
        <v>1.8</v>
      </c>
      <c r="G161" s="64">
        <f>'Bball ref'!K180</f>
        <v>5</v>
      </c>
      <c r="H161" s="64">
        <f>'Bball ref'!L180</f>
        <v>1.1000000000000001</v>
      </c>
      <c r="I161" s="64">
        <f>'Bball ref'!M180</f>
        <v>0.8</v>
      </c>
      <c r="J161" s="64">
        <f>'Bball ref'!N180</f>
        <v>0.7</v>
      </c>
      <c r="K161" s="64">
        <f>'Bball ref'!O180</f>
        <v>0.5</v>
      </c>
      <c r="L161" s="64">
        <f>'Bball ref'!J180</f>
        <v>9.5</v>
      </c>
      <c r="M161" s="64">
        <f>VALUE(MID('Bball ref'!G180,FIND("(",'Bball ref'!G180)+1,FIND("/",'Bball ref'!G180)-FIND("(",'Bball ref'!G180)-1))</f>
        <v>3.4</v>
      </c>
      <c r="N161" s="64">
        <f>VALUE(MID('Bball ref'!G180,FIND("/",'Bball ref'!G180)+1,FIND(")",'Bball ref'!G180)-FIND("/",'Bball ref'!G180)-1))</f>
        <v>8</v>
      </c>
      <c r="O161" s="64">
        <f>VALUE(MID('Bball ref'!H180,FIND("(",'Bball ref'!H180)+1,FIND("/",'Bball ref'!H180)-FIND("(",'Bball ref'!H180)-1))</f>
        <v>0.8</v>
      </c>
      <c r="P161" s="64">
        <f>VALUE(MID('Bball ref'!H180,FIND("/",'Bball ref'!H180)+1,FIND(")",'Bball ref'!H180)-FIND("/",'Bball ref'!H180)-1))</f>
        <v>1</v>
      </c>
      <c r="Q161" s="64">
        <f>(D161-Math!B$14)/Math!B$15</f>
        <v>-0.87526204909533856</v>
      </c>
      <c r="R161" s="64">
        <f>(E161-Math!C$14)/Math!C$15</f>
        <v>0.23992328048002048</v>
      </c>
      <c r="S161" s="64">
        <f>(F161-Math!D$14)/Math!D$15</f>
        <v>0.37113678861347094</v>
      </c>
      <c r="T161" s="64">
        <f>(G161-Math!E$14)/Math!E$15</f>
        <v>-0.32453226343591229</v>
      </c>
      <c r="U161" s="64">
        <f>(H161-Math!F$14)/Math!F$15</f>
        <v>-1.0957870787120014</v>
      </c>
      <c r="V161" s="64">
        <f>(I161-Math!G$14)/Math!G$15</f>
        <v>-0.44852118311715766</v>
      </c>
      <c r="W161" s="64">
        <f>(J161-Math!H$14)/Math!H$15</f>
        <v>1.6565918472943714E-2</v>
      </c>
      <c r="X161" s="64">
        <f>(-1)*(K161-Math!I$14)/Math!I$15</f>
        <v>1.6789307610953457</v>
      </c>
      <c r="Y161" s="64">
        <f>(L161-Math!J$14)/Math!J$15</f>
        <v>-1.1534777464653758</v>
      </c>
    </row>
    <row r="162" spans="1:25">
      <c r="A162" s="64" t="str">
        <f>IF((LEN('Bball ref'!B181)-LEN(SUBSTITUTE('Bball ref'!B181," ","")))&lt;2,'Bball ref'!B181,LEFT('Bball ref'!B181,FIND(" ",'Bball ref'!B181,FIND(" ",'Bball ref'!B181)+1)-1))</f>
        <v>Cedi Osman</v>
      </c>
      <c r="B162" s="64">
        <f>'Bball ref'!A181</f>
        <v>161</v>
      </c>
      <c r="C162" s="64">
        <f>'Bball ref'!E181</f>
        <v>76</v>
      </c>
      <c r="D162" s="64">
        <f>VALUE(LEFT('Bball ref'!G181,FIND("(",'Bball ref'!G181)-1))</f>
        <v>0.44</v>
      </c>
      <c r="E162" s="64">
        <f>VALUE(LEFT('Bball ref'!H181,(FIND("(",'Bball ref'!H181)-1)))</f>
        <v>0.77</v>
      </c>
      <c r="F162" s="64">
        <f>'Bball ref'!I181</f>
        <v>1.8</v>
      </c>
      <c r="G162" s="64">
        <f>'Bball ref'!K181</f>
        <v>4.9000000000000004</v>
      </c>
      <c r="H162" s="64">
        <f>'Bball ref'!L181</f>
        <v>2.7</v>
      </c>
      <c r="I162" s="64">
        <f>'Bball ref'!M181</f>
        <v>0.8</v>
      </c>
      <c r="J162" s="64">
        <f>'Bball ref'!N181</f>
        <v>0.1</v>
      </c>
      <c r="K162" s="64">
        <f>'Bball ref'!O181</f>
        <v>1.5</v>
      </c>
      <c r="L162" s="64">
        <f>'Bball ref'!J181</f>
        <v>13.6</v>
      </c>
      <c r="M162" s="64">
        <f>VALUE(MID('Bball ref'!G181,FIND("(",'Bball ref'!G181)+1,FIND("/",'Bball ref'!G181)-FIND("(",'Bball ref'!G181)-1))</f>
        <v>4.9000000000000004</v>
      </c>
      <c r="N162" s="64">
        <f>VALUE(MID('Bball ref'!G181,FIND("/",'Bball ref'!G181)+1,FIND(")",'Bball ref'!G181)-FIND("/",'Bball ref'!G181)-1))</f>
        <v>11.1</v>
      </c>
      <c r="O162" s="64">
        <f>VALUE(MID('Bball ref'!H181,FIND("(",'Bball ref'!H181)+1,FIND("/",'Bball ref'!H181)-FIND("(",'Bball ref'!H181)-1))</f>
        <v>2</v>
      </c>
      <c r="P162" s="64">
        <f>VALUE(MID('Bball ref'!H181,FIND("/",'Bball ref'!H181)+1,FIND(")",'Bball ref'!H181)-FIND("/",'Bball ref'!H181)-1))</f>
        <v>2.6</v>
      </c>
      <c r="Q162" s="64">
        <f>(D162-Math!B$14)/Math!B$15</f>
        <v>-0.69041261950814947</v>
      </c>
      <c r="R162" s="64">
        <f>(E162-Math!C$14)/Math!C$15</f>
        <v>-0.12359684145940408</v>
      </c>
      <c r="S162" s="64">
        <f>(F162-Math!D$14)/Math!D$15</f>
        <v>0.37113678861347094</v>
      </c>
      <c r="T162" s="64">
        <f>(G162-Math!E$14)/Math!E$15</f>
        <v>-0.36251146336989831</v>
      </c>
      <c r="U162" s="64">
        <f>(H162-Math!F$14)/Math!F$15</f>
        <v>-0.29319640535919678</v>
      </c>
      <c r="V162" s="64">
        <f>(I162-Math!G$14)/Math!G$15</f>
        <v>-0.44852118311715766</v>
      </c>
      <c r="W162" s="64">
        <f>(J162-Math!H$14)/Math!H$15</f>
        <v>-1.0878286463899152</v>
      </c>
      <c r="X162" s="64">
        <f>(-1)*(K162-Math!I$14)/Math!I$15</f>
        <v>0.3373959939396553</v>
      </c>
      <c r="Y162" s="64">
        <f>(L162-Math!J$14)/Math!J$15</f>
        <v>-0.33142685814484035</v>
      </c>
    </row>
    <row r="163" spans="1:25">
      <c r="A163" s="64" t="str">
        <f>IF((LEN('Bball ref'!B182)-LEN(SUBSTITUTE('Bball ref'!B182," ","")))&lt;2,'Bball ref'!B182,LEFT('Bball ref'!B182,FIND(" ",'Bball ref'!B182,FIND(" ",'Bball ref'!B182)+1)-1))</f>
        <v>Seth Curry</v>
      </c>
      <c r="B163" s="64">
        <f>'Bball ref'!A182</f>
        <v>162</v>
      </c>
      <c r="C163" s="64">
        <f>'Bball ref'!E182</f>
        <v>72</v>
      </c>
      <c r="D163" s="64">
        <f>VALUE(LEFT('Bball ref'!G182,FIND("(",'Bball ref'!G182)-1))</f>
        <v>0.46</v>
      </c>
      <c r="E163" s="64">
        <f>VALUE(LEFT('Bball ref'!H182,(FIND("(",'Bball ref'!H182)-1)))</f>
        <v>0.82</v>
      </c>
      <c r="F163" s="64">
        <f>'Bball ref'!I182</f>
        <v>2.2999999999999998</v>
      </c>
      <c r="G163" s="64">
        <f>'Bball ref'!K182</f>
        <v>2.6</v>
      </c>
      <c r="H163" s="64">
        <f>'Bball ref'!L182</f>
        <v>1.4</v>
      </c>
      <c r="I163" s="64">
        <f>'Bball ref'!M182</f>
        <v>0.7</v>
      </c>
      <c r="J163" s="64">
        <f>'Bball ref'!N182</f>
        <v>0.3</v>
      </c>
      <c r="K163" s="64">
        <f>'Bball ref'!O182</f>
        <v>1.2</v>
      </c>
      <c r="L163" s="64">
        <f>'Bball ref'!J182</f>
        <v>12.3</v>
      </c>
      <c r="M163" s="64">
        <f>VALUE(MID('Bball ref'!G182,FIND("(",'Bball ref'!G182)+1,FIND("/",'Bball ref'!G182)-FIND("(",'Bball ref'!G182)-1))</f>
        <v>4.5</v>
      </c>
      <c r="N163" s="64">
        <f>VALUE(MID('Bball ref'!G182,FIND("/",'Bball ref'!G182)+1,FIND(")",'Bball ref'!G182)-FIND("/",'Bball ref'!G182)-1))</f>
        <v>9.8000000000000007</v>
      </c>
      <c r="O163" s="64">
        <f>VALUE(MID('Bball ref'!H182,FIND("(",'Bball ref'!H182)+1,FIND("/",'Bball ref'!H182)-FIND("(",'Bball ref'!H182)-1))</f>
        <v>0.9</v>
      </c>
      <c r="P163" s="64">
        <f>VALUE(MID('Bball ref'!H182,FIND("/",'Bball ref'!H182)+1,FIND(")",'Bball ref'!H182)-FIND("/",'Bball ref'!H182)-1))</f>
        <v>1.1000000000000001</v>
      </c>
      <c r="Q163" s="64">
        <f>(D163-Math!B$14)/Math!B$15</f>
        <v>-0.3207137603337713</v>
      </c>
      <c r="R163" s="64">
        <f>(E163-Math!C$14)/Math!C$15</f>
        <v>0.48227002843963551</v>
      </c>
      <c r="S163" s="64">
        <f>(F163-Math!D$14)/Math!D$15</f>
        <v>0.91057979531909661</v>
      </c>
      <c r="T163" s="64">
        <f>(G163-Math!E$14)/Math!E$15</f>
        <v>-1.23603306185158</v>
      </c>
      <c r="U163" s="64">
        <f>(H163-Math!F$14)/Math!F$15</f>
        <v>-0.9453013274583506</v>
      </c>
      <c r="V163" s="64">
        <f>(I163-Math!G$14)/Math!G$15</f>
        <v>-0.71235717318607394</v>
      </c>
      <c r="W163" s="64">
        <f>(J163-Math!H$14)/Math!H$15</f>
        <v>-0.71969712476896219</v>
      </c>
      <c r="X163" s="64">
        <f>(-1)*(K163-Math!I$14)/Math!I$15</f>
        <v>0.73985642408636254</v>
      </c>
      <c r="Y163" s="64">
        <f>(L163-Math!J$14)/Math!J$15</f>
        <v>-0.59207713980744892</v>
      </c>
    </row>
    <row r="164" spans="1:25">
      <c r="A164" s="64" t="str">
        <f>IF((LEN('Bball ref'!B183)-LEN(SUBSTITUTE('Bball ref'!B183," ","")))&lt;2,'Bball ref'!B183,LEFT('Bball ref'!B183,FIND(" ",'Bball ref'!B183,FIND(" ",'Bball ref'!B183)+1)-1))</f>
        <v>Jaylen Brown</v>
      </c>
      <c r="B164" s="64">
        <f>'Bball ref'!A183</f>
        <v>163</v>
      </c>
      <c r="C164" s="64">
        <f>'Bball ref'!E183</f>
        <v>72</v>
      </c>
      <c r="D164" s="64">
        <f>VALUE(LEFT('Bball ref'!G183,FIND("(",'Bball ref'!G183)-1))</f>
        <v>0.47</v>
      </c>
      <c r="E164" s="64">
        <f>VALUE(LEFT('Bball ref'!H183,(FIND("(",'Bball ref'!H183)-1)))</f>
        <v>0.66</v>
      </c>
      <c r="F164" s="64">
        <f>'Bball ref'!I183</f>
        <v>1.5</v>
      </c>
      <c r="G164" s="64">
        <f>'Bball ref'!K183</f>
        <v>4.9000000000000004</v>
      </c>
      <c r="H164" s="64">
        <f>'Bball ref'!L183</f>
        <v>1.6</v>
      </c>
      <c r="I164" s="64">
        <f>'Bball ref'!M183</f>
        <v>1</v>
      </c>
      <c r="J164" s="64">
        <f>'Bball ref'!N183</f>
        <v>0.5</v>
      </c>
      <c r="K164" s="64">
        <f>'Bball ref'!O183</f>
        <v>1.5</v>
      </c>
      <c r="L164" s="64">
        <f>'Bball ref'!J183</f>
        <v>15.5</v>
      </c>
      <c r="M164" s="64">
        <f>VALUE(MID('Bball ref'!G183,FIND("(",'Bball ref'!G183)+1,FIND("/",'Bball ref'!G183)-FIND("(",'Bball ref'!G183)-1))</f>
        <v>5.9</v>
      </c>
      <c r="N164" s="64">
        <f>VALUE(MID('Bball ref'!G183,FIND("/",'Bball ref'!G183)+1,FIND(")",'Bball ref'!G183)-FIND("/",'Bball ref'!G183)-1))</f>
        <v>12.6</v>
      </c>
      <c r="O164" s="64">
        <f>VALUE(MID('Bball ref'!H183,FIND("(",'Bball ref'!H183)+1,FIND("/",'Bball ref'!H183)-FIND("(",'Bball ref'!H183)-1))</f>
        <v>2.1</v>
      </c>
      <c r="P164" s="64">
        <f>VALUE(MID('Bball ref'!H183,FIND("/",'Bball ref'!H183)+1,FIND(")",'Bball ref'!H183)-FIND("/",'Bball ref'!H183)-1))</f>
        <v>3.2</v>
      </c>
      <c r="Q164" s="64">
        <f>(D164-Math!B$14)/Math!B$15</f>
        <v>-0.13586433074658327</v>
      </c>
      <c r="R164" s="64">
        <f>(E164-Math!C$14)/Math!C$15</f>
        <v>-1.4565039552372929</v>
      </c>
      <c r="S164" s="64">
        <f>(F164-Math!D$14)/Math!D$15</f>
        <v>4.7470984590095355E-2</v>
      </c>
      <c r="T164" s="64">
        <f>(G164-Math!E$14)/Math!E$15</f>
        <v>-0.36251146336989831</v>
      </c>
      <c r="U164" s="64">
        <f>(H164-Math!F$14)/Math!F$15</f>
        <v>-0.84497749328924998</v>
      </c>
      <c r="V164" s="64">
        <f>(I164-Math!G$14)/Math!G$15</f>
        <v>7.9150797020674304E-2</v>
      </c>
      <c r="W164" s="64">
        <f>(J164-Math!H$14)/Math!H$15</f>
        <v>-0.35156560314800916</v>
      </c>
      <c r="X164" s="64">
        <f>(-1)*(K164-Math!I$14)/Math!I$15</f>
        <v>0.3373959939396553</v>
      </c>
      <c r="Y164" s="64">
        <f>(L164-Math!J$14)/Math!J$15</f>
        <v>4.9523553515895651E-2</v>
      </c>
    </row>
    <row r="165" spans="1:25">
      <c r="A165" s="64" t="str">
        <f>IF((LEN('Bball ref'!B184)-LEN(SUBSTITUTE('Bball ref'!B184," ","")))&lt;2,'Bball ref'!B184,LEFT('Bball ref'!B184,FIND(" ",'Bball ref'!B184,FIND(" ",'Bball ref'!B184)+1)-1))</f>
        <v>Tyus Jones</v>
      </c>
      <c r="B165" s="64">
        <f>'Bball ref'!A184</f>
        <v>164</v>
      </c>
      <c r="C165" s="64">
        <f>'Bball ref'!E184</f>
        <v>74</v>
      </c>
      <c r="D165" s="64">
        <f>VALUE(LEFT('Bball ref'!G184,FIND("(",'Bball ref'!G184)-1))</f>
        <v>0.44</v>
      </c>
      <c r="E165" s="64">
        <f>VALUE(LEFT('Bball ref'!H184,(FIND("(",'Bball ref'!H184)-1)))</f>
        <v>0.91</v>
      </c>
      <c r="F165" s="64">
        <f>'Bball ref'!I184</f>
        <v>0.7</v>
      </c>
      <c r="G165" s="64">
        <f>'Bball ref'!K184</f>
        <v>2.1</v>
      </c>
      <c r="H165" s="64">
        <f>'Bball ref'!L184</f>
        <v>5.0999999999999996</v>
      </c>
      <c r="I165" s="64">
        <f>'Bball ref'!M184</f>
        <v>1.3</v>
      </c>
      <c r="J165" s="64">
        <f>'Bball ref'!N184</f>
        <v>0.1</v>
      </c>
      <c r="K165" s="64">
        <f>'Bball ref'!O184</f>
        <v>0.7</v>
      </c>
      <c r="L165" s="64">
        <f>'Bball ref'!J184</f>
        <v>8</v>
      </c>
      <c r="M165" s="64">
        <f>VALUE(MID('Bball ref'!G184,FIND("(",'Bball ref'!G184)+1,FIND("/",'Bball ref'!G184)-FIND("(",'Bball ref'!G184)-1))</f>
        <v>3.2</v>
      </c>
      <c r="N165" s="64">
        <f>VALUE(MID('Bball ref'!G184,FIND("/",'Bball ref'!G184)+1,FIND(")",'Bball ref'!G184)-FIND("/",'Bball ref'!G184)-1))</f>
        <v>7.3</v>
      </c>
      <c r="O165" s="64">
        <f>VALUE(MID('Bball ref'!H184,FIND("(",'Bball ref'!H184)+1,FIND("/",'Bball ref'!H184)-FIND("(",'Bball ref'!H184)-1))</f>
        <v>1</v>
      </c>
      <c r="P165" s="64">
        <f>VALUE(MID('Bball ref'!H184,FIND("/",'Bball ref'!H184)+1,FIND(")",'Bball ref'!H184)-FIND("/",'Bball ref'!H184)-1))</f>
        <v>1.1000000000000001</v>
      </c>
      <c r="Q165" s="64">
        <f>(D165-Math!B$14)/Math!B$15</f>
        <v>-0.69041261950814947</v>
      </c>
      <c r="R165" s="64">
        <f>(E165-Math!C$14)/Math!C$15</f>
        <v>1.5728303942579092</v>
      </c>
      <c r="S165" s="64">
        <f>(F165-Math!D$14)/Math!D$15</f>
        <v>-0.81563782613890612</v>
      </c>
      <c r="T165" s="64">
        <f>(G165-Math!E$14)/Math!E$15</f>
        <v>-1.4259290615215108</v>
      </c>
      <c r="U165" s="64">
        <f>(H165-Math!F$14)/Math!F$15</f>
        <v>0.91068960467000981</v>
      </c>
      <c r="V165" s="64">
        <f>(I165-Math!G$14)/Math!G$15</f>
        <v>0.87065876722742253</v>
      </c>
      <c r="W165" s="64">
        <f>(J165-Math!H$14)/Math!H$15</f>
        <v>-1.0878286463899152</v>
      </c>
      <c r="X165" s="64">
        <f>(-1)*(K165-Math!I$14)/Math!I$15</f>
        <v>1.4106238076642077</v>
      </c>
      <c r="Y165" s="64">
        <f>(L165-Math!J$14)/Math!J$15</f>
        <v>-1.4542280714606937</v>
      </c>
    </row>
    <row r="166" spans="1:25">
      <c r="A166" s="64" t="str">
        <f>IF((LEN('Bball ref'!B185)-LEN(SUBSTITUTE('Bball ref'!B185," ","")))&lt;2,'Bball ref'!B185,LEFT('Bball ref'!B185,FIND(" ",'Bball ref'!B185,FIND(" ",'Bball ref'!B185)+1)-1))</f>
        <v>Malik Monk</v>
      </c>
      <c r="B166" s="64">
        <f>'Bball ref'!A185</f>
        <v>165</v>
      </c>
      <c r="C166" s="64">
        <f>'Bball ref'!E185</f>
        <v>74</v>
      </c>
      <c r="D166" s="64">
        <f>VALUE(LEFT('Bball ref'!G185,FIND("(",'Bball ref'!G185)-1))</f>
        <v>0.41</v>
      </c>
      <c r="E166" s="64">
        <f>VALUE(LEFT('Bball ref'!H185,(FIND("(",'Bball ref'!H185)-1)))</f>
        <v>0.86</v>
      </c>
      <c r="F166" s="64">
        <f>'Bball ref'!I185</f>
        <v>2.2999999999999998</v>
      </c>
      <c r="G166" s="64">
        <f>'Bball ref'!K185</f>
        <v>2.7</v>
      </c>
      <c r="H166" s="64">
        <f>'Bball ref'!L185</f>
        <v>2.4</v>
      </c>
      <c r="I166" s="64">
        <f>'Bball ref'!M185</f>
        <v>0.7</v>
      </c>
      <c r="J166" s="64">
        <f>'Bball ref'!N185</f>
        <v>0.5</v>
      </c>
      <c r="K166" s="64">
        <f>'Bball ref'!O185</f>
        <v>1.7</v>
      </c>
      <c r="L166" s="64">
        <f>'Bball ref'!J185</f>
        <v>12.9</v>
      </c>
      <c r="M166" s="64">
        <f>VALUE(MID('Bball ref'!G185,FIND("(",'Bball ref'!G185)+1,FIND("/",'Bball ref'!G185)-FIND("(",'Bball ref'!G185)-1))</f>
        <v>4.4000000000000004</v>
      </c>
      <c r="N166" s="64">
        <f>VALUE(MID('Bball ref'!G185,FIND("/",'Bball ref'!G185)+1,FIND(")",'Bball ref'!G185)-FIND("/",'Bball ref'!G185)-1))</f>
        <v>10.8</v>
      </c>
      <c r="O166" s="64">
        <f>VALUE(MID('Bball ref'!H185,FIND("(",'Bball ref'!H185)+1,FIND("/",'Bball ref'!H185)-FIND("(",'Bball ref'!H185)-1))</f>
        <v>1.8</v>
      </c>
      <c r="P166" s="64">
        <f>VALUE(MID('Bball ref'!H185,FIND("/",'Bball ref'!H185)+1,FIND(")",'Bball ref'!H185)-FIND("/",'Bball ref'!H185)-1))</f>
        <v>2.1</v>
      </c>
      <c r="Q166" s="64">
        <f>(D166-Math!B$14)/Math!B$15</f>
        <v>-1.2449609082697168</v>
      </c>
      <c r="R166" s="64">
        <f>(E166-Math!C$14)/Math!C$15</f>
        <v>0.96696352435886834</v>
      </c>
      <c r="S166" s="64">
        <f>(F166-Math!D$14)/Math!D$15</f>
        <v>0.91057979531909661</v>
      </c>
      <c r="T166" s="64">
        <f>(G166-Math!E$14)/Math!E$15</f>
        <v>-1.1980538619175938</v>
      </c>
      <c r="U166" s="64">
        <f>(H166-Math!F$14)/Math!F$15</f>
        <v>-0.44368215661284777</v>
      </c>
      <c r="V166" s="64">
        <f>(I166-Math!G$14)/Math!G$15</f>
        <v>-0.71235717318607394</v>
      </c>
      <c r="W166" s="64">
        <f>(J166-Math!H$14)/Math!H$15</f>
        <v>-0.35156560314800916</v>
      </c>
      <c r="X166" s="64">
        <f>(-1)*(K166-Math!I$14)/Math!I$15</f>
        <v>6.9089040508517302E-2</v>
      </c>
      <c r="Y166" s="64">
        <f>(L166-Math!J$14)/Math!J$15</f>
        <v>-0.47177700980932186</v>
      </c>
    </row>
    <row r="167" spans="1:25">
      <c r="A167" s="64" t="str">
        <f>IF((LEN('Bball ref'!B186)-LEN(SUBSTITUTE('Bball ref'!B186," ","")))&lt;2,'Bball ref'!B186,LEFT('Bball ref'!B186,FIND(" ",'Bball ref'!B186,FIND(" ",'Bball ref'!B186)+1)-1))</f>
        <v>Wesley Matthews</v>
      </c>
      <c r="B167" s="64">
        <f>'Bball ref'!A186</f>
        <v>166</v>
      </c>
      <c r="C167" s="64">
        <f>'Bball ref'!E186</f>
        <v>66</v>
      </c>
      <c r="D167" s="64">
        <f>VALUE(LEFT('Bball ref'!G186,FIND("(",'Bball ref'!G186)-1))</f>
        <v>0.44</v>
      </c>
      <c r="E167" s="64">
        <f>VALUE(LEFT('Bball ref'!H186,(FIND("(",'Bball ref'!H186)-1)))</f>
        <v>0.83</v>
      </c>
      <c r="F167" s="64">
        <f>'Bball ref'!I186</f>
        <v>2.4</v>
      </c>
      <c r="G167" s="64">
        <f>'Bball ref'!K186</f>
        <v>2.4</v>
      </c>
      <c r="H167" s="64">
        <f>'Bball ref'!L186</f>
        <v>2.2000000000000002</v>
      </c>
      <c r="I167" s="64">
        <f>'Bball ref'!M186</f>
        <v>0.7</v>
      </c>
      <c r="J167" s="64">
        <f>'Bball ref'!N186</f>
        <v>0.2</v>
      </c>
      <c r="K167" s="64">
        <f>'Bball ref'!O186</f>
        <v>1.2</v>
      </c>
      <c r="L167" s="64">
        <f>'Bball ref'!J186</f>
        <v>14.1</v>
      </c>
      <c r="M167" s="64">
        <f>VALUE(MID('Bball ref'!G186,FIND("(",'Bball ref'!G186)+1,FIND("/",'Bball ref'!G186)-FIND("(",'Bball ref'!G186)-1))</f>
        <v>4.9000000000000004</v>
      </c>
      <c r="N167" s="64">
        <f>VALUE(MID('Bball ref'!G186,FIND("/",'Bball ref'!G186)+1,FIND(")",'Bball ref'!G186)-FIND("/",'Bball ref'!G186)-1))</f>
        <v>11.1</v>
      </c>
      <c r="O167" s="64">
        <f>VALUE(MID('Bball ref'!H186,FIND("(",'Bball ref'!H186)+1,FIND("/",'Bball ref'!H186)-FIND("(",'Bball ref'!H186)-1))</f>
        <v>1.9</v>
      </c>
      <c r="P167" s="64">
        <f>VALUE(MID('Bball ref'!H186,FIND("/",'Bball ref'!H186)+1,FIND(")",'Bball ref'!H186)-FIND("/",'Bball ref'!H186)-1))</f>
        <v>2.2999999999999998</v>
      </c>
      <c r="Q167" s="64">
        <f>(D167-Math!B$14)/Math!B$15</f>
        <v>-0.69041261950814947</v>
      </c>
      <c r="R167" s="64">
        <f>(E167-Math!C$14)/Math!C$15</f>
        <v>0.60344340241944372</v>
      </c>
      <c r="S167" s="64">
        <f>(F167-Math!D$14)/Math!D$15</f>
        <v>1.0184683966602219</v>
      </c>
      <c r="T167" s="64">
        <f>(G167-Math!E$14)/Math!E$15</f>
        <v>-1.3119914617195523</v>
      </c>
      <c r="U167" s="64">
        <f>(H167-Math!F$14)/Math!F$15</f>
        <v>-0.54400599078194822</v>
      </c>
      <c r="V167" s="64">
        <f>(I167-Math!G$14)/Math!G$15</f>
        <v>-0.71235717318607394</v>
      </c>
      <c r="W167" s="64">
        <f>(J167-Math!H$14)/Math!H$15</f>
        <v>-0.90376288557943862</v>
      </c>
      <c r="X167" s="64">
        <f>(-1)*(K167-Math!I$14)/Math!I$15</f>
        <v>0.73985642408636254</v>
      </c>
      <c r="Y167" s="64">
        <f>(L167-Math!J$14)/Math!J$15</f>
        <v>-0.23117674981306774</v>
      </c>
    </row>
    <row r="168" spans="1:25">
      <c r="A168" s="64" t="str">
        <f>IF((LEN('Bball ref'!B187)-LEN(SUBSTITUTE('Bball ref'!B187," ","")))&lt;2,'Bball ref'!B187,LEFT('Bball ref'!B187,FIND(" ",'Bball ref'!B187,FIND(" ",'Bball ref'!B187)+1)-1))</f>
        <v>Daniel Theis</v>
      </c>
      <c r="B168" s="64">
        <f>'Bball ref'!A187</f>
        <v>167</v>
      </c>
      <c r="C168" s="64">
        <f>'Bball ref'!E187</f>
        <v>60</v>
      </c>
      <c r="D168" s="64">
        <f>VALUE(LEFT('Bball ref'!G187,FIND("(",'Bball ref'!G187)-1))</f>
        <v>0.55000000000000004</v>
      </c>
      <c r="E168" s="64">
        <f>VALUE(LEFT('Bball ref'!H187,(FIND("(",'Bball ref'!H187)-1)))</f>
        <v>0.65</v>
      </c>
      <c r="F168" s="64">
        <f>'Bball ref'!I187</f>
        <v>0.7</v>
      </c>
      <c r="G168" s="64">
        <f>'Bball ref'!K187</f>
        <v>5.7</v>
      </c>
      <c r="H168" s="64">
        <f>'Bball ref'!L187</f>
        <v>1.7</v>
      </c>
      <c r="I168" s="64">
        <f>'Bball ref'!M187</f>
        <v>0.5</v>
      </c>
      <c r="J168" s="64">
        <f>'Bball ref'!N187</f>
        <v>1</v>
      </c>
      <c r="K168" s="64">
        <f>'Bball ref'!O187</f>
        <v>0.8</v>
      </c>
      <c r="L168" s="64">
        <f>'Bball ref'!J187</f>
        <v>9.4</v>
      </c>
      <c r="M168" s="64">
        <f>VALUE(MID('Bball ref'!G187,FIND("(",'Bball ref'!G187)+1,FIND("/",'Bball ref'!G187)-FIND("(",'Bball ref'!G187)-1))</f>
        <v>3.7</v>
      </c>
      <c r="N168" s="64">
        <f>VALUE(MID('Bball ref'!G187,FIND("/",'Bball ref'!G187)+1,FIND(")",'Bball ref'!G187)-FIND("/",'Bball ref'!G187)-1))</f>
        <v>6.7</v>
      </c>
      <c r="O168" s="64">
        <f>VALUE(MID('Bball ref'!H187,FIND("(",'Bball ref'!H187)+1,FIND("/",'Bball ref'!H187)-FIND("(",'Bball ref'!H187)-1))</f>
        <v>1.3</v>
      </c>
      <c r="P168" s="64">
        <f>VALUE(MID('Bball ref'!H187,FIND("/",'Bball ref'!H187)+1,FIND(")",'Bball ref'!H187)-FIND("/",'Bball ref'!H187)-1))</f>
        <v>2</v>
      </c>
      <c r="Q168" s="64">
        <f>(D168-Math!B$14)/Math!B$15</f>
        <v>1.3429311059509295</v>
      </c>
      <c r="R168" s="64">
        <f>(E168-Math!C$14)/Math!C$15</f>
        <v>-1.5776773292171011</v>
      </c>
      <c r="S168" s="64">
        <f>(F168-Math!D$14)/Math!D$15</f>
        <v>-0.81563782613890612</v>
      </c>
      <c r="T168" s="64">
        <f>(G168-Math!E$14)/Math!E$15</f>
        <v>-5.8677863898009143E-2</v>
      </c>
      <c r="U168" s="64">
        <f>(H168-Math!F$14)/Math!F$15</f>
        <v>-0.79481557620469967</v>
      </c>
      <c r="V168" s="64">
        <f>(I168-Math!G$14)/Math!G$15</f>
        <v>-1.2400291533239061</v>
      </c>
      <c r="W168" s="64">
        <f>(J168-Math!H$14)/Math!H$15</f>
        <v>0.56876320090437327</v>
      </c>
      <c r="X168" s="64">
        <f>(-1)*(K168-Math!I$14)/Math!I$15</f>
        <v>1.2764703309486385</v>
      </c>
      <c r="Y168" s="64">
        <f>(L168-Math!J$14)/Math!J$15</f>
        <v>-1.1735277681317302</v>
      </c>
    </row>
    <row r="169" spans="1:25">
      <c r="A169" s="64" t="str">
        <f>IF((LEN('Bball ref'!B188)-LEN(SUBSTITUTE('Bball ref'!B188," ","")))&lt;2,'Bball ref'!B188,LEFT('Bball ref'!B188,FIND(" ",'Bball ref'!B188,FIND(" ",'Bball ref'!B188)+1)-1))</f>
        <v>Rodions Kurucs</v>
      </c>
      <c r="B169" s="64">
        <f>'Bball ref'!A188</f>
        <v>168</v>
      </c>
      <c r="C169" s="64">
        <f>'Bball ref'!E188</f>
        <v>76</v>
      </c>
      <c r="D169" s="64">
        <f>VALUE(LEFT('Bball ref'!G188,FIND("(",'Bball ref'!G188)-1))</f>
        <v>0.46</v>
      </c>
      <c r="E169" s="64">
        <f>VALUE(LEFT('Bball ref'!H188,(FIND("(",'Bball ref'!H188)-1)))</f>
        <v>0.83</v>
      </c>
      <c r="F169" s="64">
        <f>'Bball ref'!I188</f>
        <v>1.3</v>
      </c>
      <c r="G169" s="64">
        <f>'Bball ref'!K188</f>
        <v>4.8</v>
      </c>
      <c r="H169" s="64">
        <f>'Bball ref'!L188</f>
        <v>1</v>
      </c>
      <c r="I169" s="64">
        <f>'Bball ref'!M188</f>
        <v>0.9</v>
      </c>
      <c r="J169" s="64">
        <f>'Bball ref'!N188</f>
        <v>0.6</v>
      </c>
      <c r="K169" s="64">
        <f>'Bball ref'!O188</f>
        <v>1.4</v>
      </c>
      <c r="L169" s="64">
        <f>'Bball ref'!J188</f>
        <v>11.9</v>
      </c>
      <c r="M169" s="64">
        <f>VALUE(MID('Bball ref'!G188,FIND("(",'Bball ref'!G188)+1,FIND("/",'Bball ref'!G188)-FIND("(",'Bball ref'!G188)-1))</f>
        <v>4.5999999999999996</v>
      </c>
      <c r="N169" s="64">
        <f>VALUE(MID('Bball ref'!G188,FIND("/",'Bball ref'!G188)+1,FIND(")",'Bball ref'!G188)-FIND("/",'Bball ref'!G188)-1))</f>
        <v>10</v>
      </c>
      <c r="O169" s="64">
        <f>VALUE(MID('Bball ref'!H188,FIND("(",'Bball ref'!H188)+1,FIND("/",'Bball ref'!H188)-FIND("(",'Bball ref'!H188)-1))</f>
        <v>1.5</v>
      </c>
      <c r="P169" s="64">
        <f>VALUE(MID('Bball ref'!H188,FIND("/",'Bball ref'!H188)+1,FIND(")",'Bball ref'!H188)-FIND("/",'Bball ref'!H188)-1))</f>
        <v>1.8</v>
      </c>
      <c r="Q169" s="64">
        <f>(D169-Math!B$14)/Math!B$15</f>
        <v>-0.3207137603337713</v>
      </c>
      <c r="R169" s="64">
        <f>(E169-Math!C$14)/Math!C$15</f>
        <v>0.60344340241944372</v>
      </c>
      <c r="S169" s="64">
        <f>(F169-Math!D$14)/Math!D$15</f>
        <v>-0.16830621809215493</v>
      </c>
      <c r="T169" s="64">
        <f>(G169-Math!E$14)/Math!E$15</f>
        <v>-0.40049066330388466</v>
      </c>
      <c r="U169" s="64">
        <f>(H169-Math!F$14)/Math!F$15</f>
        <v>-1.1459489957965516</v>
      </c>
      <c r="V169" s="64">
        <f>(I169-Math!G$14)/Math!G$15</f>
        <v>-0.18468519304824169</v>
      </c>
      <c r="W169" s="64">
        <f>(J169-Math!H$14)/Math!H$15</f>
        <v>-0.16749984233753273</v>
      </c>
      <c r="X169" s="64">
        <f>(-1)*(K169-Math!I$14)/Math!I$15</f>
        <v>0.47154947065522446</v>
      </c>
      <c r="Y169" s="64">
        <f>(L169-Math!J$14)/Math!J$15</f>
        <v>-0.67227722647286714</v>
      </c>
    </row>
    <row r="170" spans="1:25">
      <c r="A170" s="64" t="str">
        <f>IF((LEN('Bball ref'!B190)-LEN(SUBSTITUTE('Bball ref'!B190," ","")))&lt;2,'Bball ref'!B190,LEFT('Bball ref'!B190,FIND(" ",'Bball ref'!B190,FIND(" ",'Bball ref'!B190)+1)-1))</f>
        <v>Rui Hachimura</v>
      </c>
      <c r="B170" s="64">
        <f>'Bball ref'!A190</f>
        <v>169</v>
      </c>
      <c r="C170" s="64">
        <f>'Bball ref'!E190</f>
        <v>72</v>
      </c>
      <c r="D170" s="64">
        <f>VALUE(LEFT('Bball ref'!G190,FIND("(",'Bball ref'!G190)-1))</f>
        <v>0.47</v>
      </c>
      <c r="E170" s="64">
        <f>VALUE(LEFT('Bball ref'!H190,(FIND("(",'Bball ref'!H190)-1)))</f>
        <v>0.74</v>
      </c>
      <c r="F170" s="64">
        <f>'Bball ref'!I190</f>
        <v>0.5</v>
      </c>
      <c r="G170" s="64">
        <f>'Bball ref'!K190</f>
        <v>5.7</v>
      </c>
      <c r="H170" s="64">
        <f>'Bball ref'!L190</f>
        <v>1.7</v>
      </c>
      <c r="I170" s="64">
        <f>'Bball ref'!M190</f>
        <v>1</v>
      </c>
      <c r="J170" s="64">
        <f>'Bball ref'!N190</f>
        <v>0.7</v>
      </c>
      <c r="K170" s="64">
        <f>'Bball ref'!O190</f>
        <v>1.5</v>
      </c>
      <c r="L170" s="64">
        <f>'Bball ref'!J190</f>
        <v>13.7</v>
      </c>
      <c r="M170" s="64">
        <f>VALUE(MID('Bball ref'!G190,FIND("(",'Bball ref'!G190)+1,FIND("/",'Bball ref'!G190)-FIND("(",'Bball ref'!G190)-1))</f>
        <v>5.3</v>
      </c>
      <c r="N170" s="64">
        <f>VALUE(MID('Bball ref'!G190,FIND("/",'Bball ref'!G190)+1,FIND(")",'Bball ref'!G190)-FIND("/",'Bball ref'!G190)-1))</f>
        <v>11.3</v>
      </c>
      <c r="O170" s="64">
        <f>VALUE(MID('Bball ref'!H190,FIND("(",'Bball ref'!H190)+1,FIND("/",'Bball ref'!H190)-FIND("(",'Bball ref'!H190)-1))</f>
        <v>2.6</v>
      </c>
      <c r="P170" s="64">
        <f>VALUE(MID('Bball ref'!H190,FIND("/",'Bball ref'!H190)+1,FIND(")",'Bball ref'!H190)-FIND("/",'Bball ref'!H190)-1))</f>
        <v>3.5</v>
      </c>
      <c r="Q170" s="64">
        <f>(D170-Math!B$14)/Math!B$15</f>
        <v>-0.13586433074658327</v>
      </c>
      <c r="R170" s="64">
        <f>(E170-Math!C$14)/Math!C$15</f>
        <v>-0.48711696339882865</v>
      </c>
      <c r="S170" s="64">
        <f>(F170-Math!D$14)/Math!D$15</f>
        <v>-1.0314150288211563</v>
      </c>
      <c r="T170" s="64">
        <f>(G170-Math!E$14)/Math!E$15</f>
        <v>-5.8677863898009143E-2</v>
      </c>
      <c r="U170" s="64">
        <f>(H170-Math!F$14)/Math!F$15</f>
        <v>-0.79481557620469967</v>
      </c>
      <c r="V170" s="64">
        <f>(I170-Math!G$14)/Math!G$15</f>
        <v>7.9150797020674304E-2</v>
      </c>
      <c r="W170" s="64">
        <f>(J170-Math!H$14)/Math!H$15</f>
        <v>1.6565918472943714E-2</v>
      </c>
      <c r="X170" s="64">
        <f>(-1)*(K170-Math!I$14)/Math!I$15</f>
        <v>0.3373959939396553</v>
      </c>
      <c r="Y170" s="64">
        <f>(L170-Math!J$14)/Math!J$15</f>
        <v>-0.31137683647848591</v>
      </c>
    </row>
    <row r="171" spans="1:25">
      <c r="A171" s="64" t="str">
        <f>IF((LEN('Bball ref'!B191)-LEN(SUBSTITUTE('Bball ref'!B191," ","")))&lt;2,'Bball ref'!B191,LEFT('Bball ref'!B191,FIND(" ",'Bball ref'!B191,FIND(" ",'Bball ref'!B191)+1)-1))</f>
        <v>Alec Burks</v>
      </c>
      <c r="B171" s="64">
        <f>'Bball ref'!A191</f>
        <v>170</v>
      </c>
      <c r="C171" s="64">
        <f>'Bball ref'!E191</f>
        <v>68</v>
      </c>
      <c r="D171" s="64">
        <f>VALUE(LEFT('Bball ref'!G191,FIND("(",'Bball ref'!G191)-1))</f>
        <v>0.41</v>
      </c>
      <c r="E171" s="64">
        <f>VALUE(LEFT('Bball ref'!H191,(FIND("(",'Bball ref'!H191)-1)))</f>
        <v>0.83</v>
      </c>
      <c r="F171" s="64">
        <f>'Bball ref'!I191</f>
        <v>1.4</v>
      </c>
      <c r="G171" s="64">
        <f>'Bball ref'!K191</f>
        <v>5.0999999999999996</v>
      </c>
      <c r="H171" s="64">
        <f>'Bball ref'!L191</f>
        <v>2.7</v>
      </c>
      <c r="I171" s="64">
        <f>'Bball ref'!M191</f>
        <v>0.8</v>
      </c>
      <c r="J171" s="64">
        <f>'Bball ref'!N191</f>
        <v>0.4</v>
      </c>
      <c r="K171" s="64">
        <f>'Bball ref'!O191</f>
        <v>1.3</v>
      </c>
      <c r="L171" s="64">
        <f>'Bball ref'!J191</f>
        <v>12.1</v>
      </c>
      <c r="M171" s="64">
        <f>VALUE(MID('Bball ref'!G191,FIND("(",'Bball ref'!G191)+1,FIND("/",'Bball ref'!G191)-FIND("(",'Bball ref'!G191)-1))</f>
        <v>4.0999999999999996</v>
      </c>
      <c r="N171" s="64">
        <f>VALUE(MID('Bball ref'!G191,FIND("/",'Bball ref'!G191)+1,FIND(")",'Bball ref'!G191)-FIND("/",'Bball ref'!G191)-1))</f>
        <v>10.1</v>
      </c>
      <c r="O171" s="64">
        <f>VALUE(MID('Bball ref'!H191,FIND("(",'Bball ref'!H191)+1,FIND("/",'Bball ref'!H191)-FIND("(",'Bball ref'!H191)-1))</f>
        <v>2.5</v>
      </c>
      <c r="P171" s="64">
        <f>VALUE(MID('Bball ref'!H191,FIND("/",'Bball ref'!H191)+1,FIND(")",'Bball ref'!H191)-FIND("/",'Bball ref'!H191)-1))</f>
        <v>3</v>
      </c>
      <c r="Q171" s="64">
        <f>(D171-Math!B$14)/Math!B$15</f>
        <v>-1.2449609082697168</v>
      </c>
      <c r="R171" s="64">
        <f>(E171-Math!C$14)/Math!C$15</f>
        <v>0.60344340241944372</v>
      </c>
      <c r="S171" s="64">
        <f>(F171-Math!D$14)/Math!D$15</f>
        <v>-6.0417616751029912E-2</v>
      </c>
      <c r="T171" s="64">
        <f>(G171-Math!E$14)/Math!E$15</f>
        <v>-0.28655306350192628</v>
      </c>
      <c r="U171" s="64">
        <f>(H171-Math!F$14)/Math!F$15</f>
        <v>-0.29319640535919678</v>
      </c>
      <c r="V171" s="64">
        <f>(I171-Math!G$14)/Math!G$15</f>
        <v>-0.44852118311715766</v>
      </c>
      <c r="W171" s="64">
        <f>(J171-Math!H$14)/Math!H$15</f>
        <v>-0.53563136395848565</v>
      </c>
      <c r="X171" s="64">
        <f>(-1)*(K171-Math!I$14)/Math!I$15</f>
        <v>0.60570294737079333</v>
      </c>
      <c r="Y171" s="64">
        <f>(L171-Math!J$14)/Math!J$15</f>
        <v>-0.63217718314015814</v>
      </c>
    </row>
    <row r="172" spans="1:25">
      <c r="A172" s="64" t="str">
        <f>IF((LEN('Bball ref'!B192)-LEN(SUBSTITUTE('Bball ref'!B192," ","")))&lt;2,'Bball ref'!B192,LEFT('Bball ref'!B192,FIND(" ",'Bball ref'!B192,FIND(" ",'Bball ref'!B192)+1)-1))</f>
        <v>Dwayne Bacon</v>
      </c>
      <c r="B172" s="64">
        <f>'Bball ref'!A192</f>
        <v>171</v>
      </c>
      <c r="C172" s="64">
        <f>'Bball ref'!E192</f>
        <v>60</v>
      </c>
      <c r="D172" s="64">
        <f>VALUE(LEFT('Bball ref'!G192,FIND("(",'Bball ref'!G192)-1))</f>
        <v>0.47</v>
      </c>
      <c r="E172" s="64">
        <f>VALUE(LEFT('Bball ref'!H192,(FIND("(",'Bball ref'!H192)-1)))</f>
        <v>0.7</v>
      </c>
      <c r="F172" s="64">
        <f>'Bball ref'!I192</f>
        <v>1.6</v>
      </c>
      <c r="G172" s="64">
        <f>'Bball ref'!K192</f>
        <v>3.8</v>
      </c>
      <c r="H172" s="64">
        <f>'Bball ref'!L192</f>
        <v>2</v>
      </c>
      <c r="I172" s="64">
        <f>'Bball ref'!M192</f>
        <v>0.7</v>
      </c>
      <c r="J172" s="64">
        <f>'Bball ref'!N192</f>
        <v>0.2</v>
      </c>
      <c r="K172" s="64">
        <f>'Bball ref'!O192</f>
        <v>0.7</v>
      </c>
      <c r="L172" s="64">
        <f>'Bball ref'!J192</f>
        <v>16.100000000000001</v>
      </c>
      <c r="M172" s="64">
        <f>VALUE(MID('Bball ref'!G192,FIND("(",'Bball ref'!G192)+1,FIND("/",'Bball ref'!G192)-FIND("(",'Bball ref'!G192)-1))</f>
        <v>6.5</v>
      </c>
      <c r="N172" s="64">
        <f>VALUE(MID('Bball ref'!G192,FIND("/",'Bball ref'!G192)+1,FIND(")",'Bball ref'!G192)-FIND("/",'Bball ref'!G192)-1))</f>
        <v>13.9</v>
      </c>
      <c r="O172" s="64">
        <f>VALUE(MID('Bball ref'!H192,FIND("(",'Bball ref'!H192)+1,FIND("/",'Bball ref'!H192)-FIND("(",'Bball ref'!H192)-1))</f>
        <v>1.4</v>
      </c>
      <c r="P172" s="64">
        <f>VALUE(MID('Bball ref'!H192,FIND("/",'Bball ref'!H192)+1,FIND(")",'Bball ref'!H192)-FIND("/",'Bball ref'!H192)-1))</f>
        <v>2</v>
      </c>
      <c r="Q172" s="64">
        <f>(D172-Math!B$14)/Math!B$15</f>
        <v>-0.13586433074658327</v>
      </c>
      <c r="R172" s="64">
        <f>(E172-Math!C$14)/Math!C$15</f>
        <v>-0.97181045931806143</v>
      </c>
      <c r="S172" s="64">
        <f>(F172-Math!D$14)/Math!D$15</f>
        <v>0.15535958593122062</v>
      </c>
      <c r="T172" s="64">
        <f>(G172-Math!E$14)/Math!E$15</f>
        <v>-0.78028266264374613</v>
      </c>
      <c r="U172" s="64">
        <f>(H172-Math!F$14)/Math!F$15</f>
        <v>-0.64432982495104885</v>
      </c>
      <c r="V172" s="64">
        <f>(I172-Math!G$14)/Math!G$15</f>
        <v>-0.71235717318607394</v>
      </c>
      <c r="W172" s="64">
        <f>(J172-Math!H$14)/Math!H$15</f>
        <v>-0.90376288557943862</v>
      </c>
      <c r="X172" s="64">
        <f>(-1)*(K172-Math!I$14)/Math!I$15</f>
        <v>1.4106238076642077</v>
      </c>
      <c r="Y172" s="64">
        <f>(L172-Math!J$14)/Math!J$15</f>
        <v>0.16982368351402308</v>
      </c>
    </row>
    <row r="173" spans="1:25">
      <c r="A173" s="64" t="str">
        <f>IF((LEN('Bball ref'!B193)-LEN(SUBSTITUTE('Bball ref'!B193," ","")))&lt;2,'Bball ref'!B193,LEFT('Bball ref'!B193,FIND(" ",'Bball ref'!B193,FIND(" ",'Bball ref'!B193)+1)-1))</f>
        <v>Elfrid Payton</v>
      </c>
      <c r="B173" s="64">
        <f>'Bball ref'!A193</f>
        <v>172</v>
      </c>
      <c r="C173" s="64">
        <f>'Bball ref'!E193</f>
        <v>70</v>
      </c>
      <c r="D173" s="64">
        <f>VALUE(LEFT('Bball ref'!G193,FIND("(",'Bball ref'!G193)-1))</f>
        <v>0.44</v>
      </c>
      <c r="E173" s="64">
        <f>VALUE(LEFT('Bball ref'!H193,(FIND("(",'Bball ref'!H193)-1)))</f>
        <v>0.75</v>
      </c>
      <c r="F173" s="64">
        <f>'Bball ref'!I193</f>
        <v>0.7</v>
      </c>
      <c r="G173" s="64">
        <f>'Bball ref'!K193</f>
        <v>4.2</v>
      </c>
      <c r="H173" s="64">
        <f>'Bball ref'!L193</f>
        <v>6</v>
      </c>
      <c r="I173" s="64">
        <f>'Bball ref'!M193</f>
        <v>0.9</v>
      </c>
      <c r="J173" s="64">
        <f>'Bball ref'!N193</f>
        <v>0.4</v>
      </c>
      <c r="K173" s="64">
        <f>'Bball ref'!O193</f>
        <v>2.4</v>
      </c>
      <c r="L173" s="64">
        <f>'Bball ref'!J193</f>
        <v>9.8000000000000007</v>
      </c>
      <c r="M173" s="64">
        <f>VALUE(MID('Bball ref'!G193,FIND("(",'Bball ref'!G193)+1,FIND("/",'Bball ref'!G193)-FIND("(",'Bball ref'!G193)-1))</f>
        <v>4</v>
      </c>
      <c r="N173" s="64">
        <f>VALUE(MID('Bball ref'!G193,FIND("/",'Bball ref'!G193)+1,FIND(")",'Bball ref'!G193)-FIND("/",'Bball ref'!G193)-1))</f>
        <v>9</v>
      </c>
      <c r="O173" s="64">
        <f>VALUE(MID('Bball ref'!H193,FIND("(",'Bball ref'!H193)+1,FIND("/",'Bball ref'!H193)-FIND("(",'Bball ref'!H193)-1))</f>
        <v>1.2</v>
      </c>
      <c r="P173" s="64">
        <f>VALUE(MID('Bball ref'!H193,FIND("/",'Bball ref'!H193)+1,FIND(")",'Bball ref'!H193)-FIND("/",'Bball ref'!H193)-1))</f>
        <v>1.6</v>
      </c>
      <c r="Q173" s="64">
        <f>(D173-Math!B$14)/Math!B$15</f>
        <v>-0.69041261950814947</v>
      </c>
      <c r="R173" s="64">
        <f>(E173-Math!C$14)/Math!C$15</f>
        <v>-0.3659435894190205</v>
      </c>
      <c r="S173" s="64">
        <f>(F173-Math!D$14)/Math!D$15</f>
        <v>-0.81563782613890612</v>
      </c>
      <c r="T173" s="64">
        <f>(G173-Math!E$14)/Math!E$15</f>
        <v>-0.62836586290780139</v>
      </c>
      <c r="U173" s="64">
        <f>(H173-Math!F$14)/Math!F$15</f>
        <v>1.3621468584309626</v>
      </c>
      <c r="V173" s="64">
        <f>(I173-Math!G$14)/Math!G$15</f>
        <v>-0.18468519304824169</v>
      </c>
      <c r="W173" s="64">
        <f>(J173-Math!H$14)/Math!H$15</f>
        <v>-0.53563136395848565</v>
      </c>
      <c r="X173" s="64">
        <f>(-1)*(K173-Math!I$14)/Math!I$15</f>
        <v>-0.86998529650046597</v>
      </c>
      <c r="Y173" s="64">
        <f>(L173-Math!J$14)/Math!J$15</f>
        <v>-1.093327681466312</v>
      </c>
    </row>
    <row r="174" spans="1:25">
      <c r="A174" s="64" t="str">
        <f>IF((LEN('Bball ref'!B194)-LEN(SUBSTITUTE('Bball ref'!B194," ","")))&lt;2,'Bball ref'!B194,LEFT('Bball ref'!B194,FIND(" ",'Bball ref'!B194,FIND(" ",'Bball ref'!B194)+1)-1))</f>
        <v>Marcus Morris</v>
      </c>
      <c r="B174" s="64">
        <f>'Bball ref'!A194</f>
        <v>173</v>
      </c>
      <c r="C174" s="64">
        <f>'Bball ref'!E194</f>
        <v>68</v>
      </c>
      <c r="D174" s="64">
        <f>VALUE(LEFT('Bball ref'!G194,FIND("(",'Bball ref'!G194)-1))</f>
        <v>0.42</v>
      </c>
      <c r="E174" s="64">
        <f>VALUE(LEFT('Bball ref'!H194,(FIND("(",'Bball ref'!H194)-1)))</f>
        <v>0.83</v>
      </c>
      <c r="F174" s="64">
        <f>'Bball ref'!I194</f>
        <v>1.9</v>
      </c>
      <c r="G174" s="64">
        <f>'Bball ref'!K194</f>
        <v>6</v>
      </c>
      <c r="H174" s="64">
        <f>'Bball ref'!L194</f>
        <v>1.5</v>
      </c>
      <c r="I174" s="64">
        <f>'Bball ref'!M194</f>
        <v>0.6</v>
      </c>
      <c r="J174" s="64">
        <f>'Bball ref'!N194</f>
        <v>0.3</v>
      </c>
      <c r="K174" s="64">
        <f>'Bball ref'!O194</f>
        <v>1.1000000000000001</v>
      </c>
      <c r="L174" s="64">
        <f>'Bball ref'!J194</f>
        <v>12.8</v>
      </c>
      <c r="M174" s="64">
        <f>VALUE(MID('Bball ref'!G194,FIND("(",'Bball ref'!G194)+1,FIND("/",'Bball ref'!G194)-FIND("(",'Bball ref'!G194)-1))</f>
        <v>4.5</v>
      </c>
      <c r="N174" s="64">
        <f>VALUE(MID('Bball ref'!G194,FIND("/",'Bball ref'!G194)+1,FIND(")",'Bball ref'!G194)-FIND("/",'Bball ref'!G194)-1))</f>
        <v>10.8</v>
      </c>
      <c r="O174" s="64">
        <f>VALUE(MID('Bball ref'!H194,FIND("(",'Bball ref'!H194)+1,FIND("/",'Bball ref'!H194)-FIND("(",'Bball ref'!H194)-1))</f>
        <v>1.9</v>
      </c>
      <c r="P174" s="64">
        <f>VALUE(MID('Bball ref'!H194,FIND("/",'Bball ref'!H194)+1,FIND(")",'Bball ref'!H194)-FIND("/",'Bball ref'!H194)-1))</f>
        <v>2.2999999999999998</v>
      </c>
      <c r="Q174" s="64">
        <f>(D174-Math!B$14)/Math!B$15</f>
        <v>-1.0601114786825276</v>
      </c>
      <c r="R174" s="64">
        <f>(E174-Math!C$14)/Math!C$15</f>
        <v>0.60344340241944372</v>
      </c>
      <c r="S174" s="64">
        <f>(F174-Math!D$14)/Math!D$15</f>
        <v>0.47902538995459598</v>
      </c>
      <c r="T174" s="64">
        <f>(G174-Math!E$14)/Math!E$15</f>
        <v>5.5259735903949246E-2</v>
      </c>
      <c r="U174" s="64">
        <f>(H174-Math!F$14)/Math!F$15</f>
        <v>-0.89513941037380029</v>
      </c>
      <c r="V174" s="64">
        <f>(I174-Math!G$14)/Math!G$15</f>
        <v>-0.97619316325498995</v>
      </c>
      <c r="W174" s="64">
        <f>(J174-Math!H$14)/Math!H$15</f>
        <v>-0.71969712476896219</v>
      </c>
      <c r="X174" s="64">
        <f>(-1)*(K174-Math!I$14)/Math!I$15</f>
        <v>0.87400990080193131</v>
      </c>
      <c r="Y174" s="64">
        <f>(L174-Math!J$14)/Math!J$15</f>
        <v>-0.4918270314756763</v>
      </c>
    </row>
    <row r="175" spans="1:25">
      <c r="A175" s="64" t="str">
        <f>IF((LEN('Bball ref'!B195)-LEN(SUBSTITUTE('Bball ref'!B195," ","")))&lt;2,'Bball ref'!B195,LEFT('Bball ref'!B195,FIND(" ",'Bball ref'!B195,FIND(" ",'Bball ref'!B195)+1)-1))</f>
        <v>Troy Brown</v>
      </c>
      <c r="B175" s="64">
        <f>'Bball ref'!A195</f>
        <v>174</v>
      </c>
      <c r="C175" s="64">
        <f>'Bball ref'!E195</f>
        <v>68</v>
      </c>
      <c r="D175" s="64">
        <f>VALUE(LEFT('Bball ref'!G195,FIND("(",'Bball ref'!G195)-1))</f>
        <v>0.44</v>
      </c>
      <c r="E175" s="64">
        <f>VALUE(LEFT('Bball ref'!H195,(FIND("(",'Bball ref'!H195)-1)))</f>
        <v>0.75</v>
      </c>
      <c r="F175" s="64">
        <f>'Bball ref'!I195</f>
        <v>0.9</v>
      </c>
      <c r="G175" s="64">
        <f>'Bball ref'!K195</f>
        <v>6.2</v>
      </c>
      <c r="H175" s="64">
        <f>'Bball ref'!L195</f>
        <v>3.3</v>
      </c>
      <c r="I175" s="64">
        <f>'Bball ref'!M195</f>
        <v>0.9</v>
      </c>
      <c r="J175" s="64">
        <f>'Bball ref'!N195</f>
        <v>0.2</v>
      </c>
      <c r="K175" s="64">
        <f>'Bball ref'!O195</f>
        <v>1.3</v>
      </c>
      <c r="L175" s="64">
        <f>'Bball ref'!J195</f>
        <v>11.7</v>
      </c>
      <c r="M175" s="64">
        <f>VALUE(MID('Bball ref'!G195,FIND("(",'Bball ref'!G195)+1,FIND("/",'Bball ref'!G195)-FIND("(",'Bball ref'!G195)-1))</f>
        <v>4.7</v>
      </c>
      <c r="N175" s="64">
        <f>VALUE(MID('Bball ref'!G195,FIND("/",'Bball ref'!G195)+1,FIND(")",'Bball ref'!G195)-FIND("/",'Bball ref'!G195)-1))</f>
        <v>10.6</v>
      </c>
      <c r="O175" s="64">
        <f>VALUE(MID('Bball ref'!H195,FIND("(",'Bball ref'!H195)+1,FIND("/",'Bball ref'!H195)-FIND("(",'Bball ref'!H195)-1))</f>
        <v>1.5</v>
      </c>
      <c r="P175" s="64">
        <f>VALUE(MID('Bball ref'!H195,FIND("/",'Bball ref'!H195)+1,FIND(")",'Bball ref'!H195)-FIND("/",'Bball ref'!H195)-1))</f>
        <v>2</v>
      </c>
      <c r="Q175" s="64">
        <f>(D175-Math!B$14)/Math!B$15</f>
        <v>-0.69041261950814947</v>
      </c>
      <c r="R175" s="64">
        <f>(E175-Math!C$14)/Math!C$15</f>
        <v>-0.3659435894190205</v>
      </c>
      <c r="S175" s="64">
        <f>(F175-Math!D$14)/Math!D$15</f>
        <v>-0.59986062345665569</v>
      </c>
      <c r="T175" s="64">
        <f>(G175-Math!E$14)/Math!E$15</f>
        <v>0.13121813577192162</v>
      </c>
      <c r="U175" s="64">
        <f>(H175-Math!F$14)/Math!F$15</f>
        <v>7.7750971481047723E-3</v>
      </c>
      <c r="V175" s="64">
        <f>(I175-Math!G$14)/Math!G$15</f>
        <v>-0.18468519304824169</v>
      </c>
      <c r="W175" s="64">
        <f>(J175-Math!H$14)/Math!H$15</f>
        <v>-0.90376288557943862</v>
      </c>
      <c r="X175" s="64">
        <f>(-1)*(K175-Math!I$14)/Math!I$15</f>
        <v>0.60570294737079333</v>
      </c>
      <c r="Y175" s="64">
        <f>(L175-Math!J$14)/Math!J$15</f>
        <v>-0.71237726980557636</v>
      </c>
    </row>
    <row r="176" spans="1:25">
      <c r="A176" s="64" t="str">
        <f>IF((LEN('Bball ref'!B196)-LEN(SUBSTITUTE('Bball ref'!B196," ","")))&lt;2,'Bball ref'!B196,LEFT('Bball ref'!B196,FIND(" ",'Bball ref'!B196,FIND(" ",'Bball ref'!B196)+1)-1))</f>
        <v>Rodney Hood</v>
      </c>
      <c r="B176" s="64">
        <f>'Bball ref'!A196</f>
        <v>175</v>
      </c>
      <c r="C176" s="64">
        <f>'Bball ref'!E196</f>
        <v>72</v>
      </c>
      <c r="D176" s="64">
        <f>VALUE(LEFT('Bball ref'!G196,FIND("(",'Bball ref'!G196)-1))</f>
        <v>0.44</v>
      </c>
      <c r="E176" s="64">
        <f>VALUE(LEFT('Bball ref'!H196,(FIND("(",'Bball ref'!H196)-1)))</f>
        <v>0.84</v>
      </c>
      <c r="F176" s="64">
        <f>'Bball ref'!I196</f>
        <v>1.3</v>
      </c>
      <c r="G176" s="64">
        <f>'Bball ref'!K196</f>
        <v>2.2999999999999998</v>
      </c>
      <c r="H176" s="64">
        <f>'Bball ref'!L196</f>
        <v>2</v>
      </c>
      <c r="I176" s="64">
        <f>'Bball ref'!M196</f>
        <v>0.9</v>
      </c>
      <c r="J176" s="64">
        <f>'Bball ref'!N196</f>
        <v>0.2</v>
      </c>
      <c r="K176" s="64">
        <f>'Bball ref'!O196</f>
        <v>0.9</v>
      </c>
      <c r="L176" s="64">
        <f>'Bball ref'!J196</f>
        <v>12.7</v>
      </c>
      <c r="M176" s="64">
        <f>VALUE(MID('Bball ref'!G196,FIND("(",'Bball ref'!G196)+1,FIND("/",'Bball ref'!G196)-FIND("(",'Bball ref'!G196)-1))</f>
        <v>4.5999999999999996</v>
      </c>
      <c r="N176" s="64">
        <f>VALUE(MID('Bball ref'!G196,FIND("/",'Bball ref'!G196)+1,FIND(")",'Bball ref'!G196)-FIND("/",'Bball ref'!G196)-1))</f>
        <v>10.4</v>
      </c>
      <c r="O176" s="64">
        <f>VALUE(MID('Bball ref'!H196,FIND("(",'Bball ref'!H196)+1,FIND("/",'Bball ref'!H196)-FIND("(",'Bball ref'!H196)-1))</f>
        <v>2.1</v>
      </c>
      <c r="P176" s="64">
        <f>VALUE(MID('Bball ref'!H196,FIND("/",'Bball ref'!H196)+1,FIND(")",'Bball ref'!H196)-FIND("/",'Bball ref'!H196)-1))</f>
        <v>2.5</v>
      </c>
      <c r="Q176" s="64">
        <f>(D176-Math!B$14)/Math!B$15</f>
        <v>-0.69041261950814947</v>
      </c>
      <c r="R176" s="64">
        <f>(E176-Math!C$14)/Math!C$15</f>
        <v>0.72461677639925193</v>
      </c>
      <c r="S176" s="64">
        <f>(F176-Math!D$14)/Math!D$15</f>
        <v>-0.16830621809215493</v>
      </c>
      <c r="T176" s="64">
        <f>(G176-Math!E$14)/Math!E$15</f>
        <v>-1.3499706616535385</v>
      </c>
      <c r="U176" s="64">
        <f>(H176-Math!F$14)/Math!F$15</f>
        <v>-0.64432982495104885</v>
      </c>
      <c r="V176" s="64">
        <f>(I176-Math!G$14)/Math!G$15</f>
        <v>-0.18468519304824169</v>
      </c>
      <c r="W176" s="64">
        <f>(J176-Math!H$14)/Math!H$15</f>
        <v>-0.90376288557943862</v>
      </c>
      <c r="X176" s="64">
        <f>(-1)*(K176-Math!I$14)/Math!I$15</f>
        <v>1.1423168542330695</v>
      </c>
      <c r="Y176" s="64">
        <f>(L176-Math!J$14)/Math!J$15</f>
        <v>-0.51187705314203114</v>
      </c>
    </row>
    <row r="177" spans="1:25">
      <c r="A177" s="64" t="str">
        <f>IF((LEN('Bball ref'!B197)-LEN(SUBSTITUTE('Bball ref'!B197," ","")))&lt;2,'Bball ref'!B197,LEFT('Bball ref'!B197,FIND(" ",'Bball ref'!B197,FIND(" ",'Bball ref'!B197)+1)-1))</f>
        <v>Boban Marjanovic</v>
      </c>
      <c r="B177" s="64">
        <f>'Bball ref'!A197</f>
        <v>176</v>
      </c>
      <c r="C177" s="64">
        <f>'Bball ref'!E197</f>
        <v>60</v>
      </c>
      <c r="D177" s="64">
        <f>VALUE(LEFT('Bball ref'!G197,FIND("(",'Bball ref'!G197)-1))</f>
        <v>0.64</v>
      </c>
      <c r="E177" s="64">
        <f>VALUE(LEFT('Bball ref'!H197,(FIND("(",'Bball ref'!H197)-1)))</f>
        <v>0.79</v>
      </c>
      <c r="F177" s="64">
        <f>'Bball ref'!I197</f>
        <v>0.1</v>
      </c>
      <c r="G177" s="64">
        <f>'Bball ref'!K197</f>
        <v>5.8</v>
      </c>
      <c r="H177" s="64">
        <f>'Bball ref'!L197</f>
        <v>1.2</v>
      </c>
      <c r="I177" s="64">
        <f>'Bball ref'!M197</f>
        <v>0.3</v>
      </c>
      <c r="J177" s="64">
        <f>'Bball ref'!N197</f>
        <v>0.6</v>
      </c>
      <c r="K177" s="64">
        <f>'Bball ref'!O197</f>
        <v>1.3</v>
      </c>
      <c r="L177" s="64">
        <f>'Bball ref'!J197</f>
        <v>9.3000000000000007</v>
      </c>
      <c r="M177" s="64">
        <f>VALUE(MID('Bball ref'!G197,FIND("(",'Bball ref'!G197)+1,FIND("/",'Bball ref'!G197)-FIND("(",'Bball ref'!G197)-1))</f>
        <v>3.5</v>
      </c>
      <c r="N177" s="64">
        <f>VALUE(MID('Bball ref'!G197,FIND("/",'Bball ref'!G197)+1,FIND(")",'Bball ref'!G197)-FIND("/",'Bball ref'!G197)-1))</f>
        <v>5.5</v>
      </c>
      <c r="O177" s="64">
        <f>VALUE(MID('Bball ref'!H197,FIND("(",'Bball ref'!H197)+1,FIND("/",'Bball ref'!H197)-FIND("(",'Bball ref'!H197)-1))</f>
        <v>2.2000000000000002</v>
      </c>
      <c r="P177" s="64">
        <f>VALUE(MID('Bball ref'!H197,FIND("/",'Bball ref'!H197)+1,FIND(")",'Bball ref'!H197)-FIND("/",'Bball ref'!H197)-1))</f>
        <v>2.8</v>
      </c>
      <c r="Q177" s="64">
        <f>(D177-Math!B$14)/Math!B$15</f>
        <v>3.0065759722356291</v>
      </c>
      <c r="R177" s="64">
        <f>(E177-Math!C$14)/Math!C$15</f>
        <v>0.11874990650021229</v>
      </c>
      <c r="S177" s="64">
        <f>(F177-Math!D$14)/Math!D$15</f>
        <v>-1.4629694341856569</v>
      </c>
      <c r="T177" s="64">
        <f>(G177-Math!E$14)/Math!E$15</f>
        <v>-2.0698663964023124E-2</v>
      </c>
      <c r="U177" s="64">
        <f>(H177-Math!F$14)/Math!F$15</f>
        <v>-1.0456251616274512</v>
      </c>
      <c r="V177" s="64">
        <f>(I177-Math!G$14)/Math!G$15</f>
        <v>-1.7677011334617379</v>
      </c>
      <c r="W177" s="64">
        <f>(J177-Math!H$14)/Math!H$15</f>
        <v>-0.16749984233753273</v>
      </c>
      <c r="X177" s="64">
        <f>(-1)*(K177-Math!I$14)/Math!I$15</f>
        <v>0.60570294737079333</v>
      </c>
      <c r="Y177" s="64">
        <f>(L177-Math!J$14)/Math!J$15</f>
        <v>-1.1935777897980846</v>
      </c>
    </row>
    <row r="178" spans="1:25">
      <c r="A178" s="64" t="str">
        <f>IF((LEN('Bball ref'!B198)-LEN(SUBSTITUTE('Bball ref'!B198," ","")))&lt;2,'Bball ref'!B198,LEFT('Bball ref'!B198,FIND(" ",'Bball ref'!B198,FIND(" ",'Bball ref'!B198)+1)-1))</f>
        <v>Dennis Schroder</v>
      </c>
      <c r="B178" s="64">
        <f>'Bball ref'!A198</f>
        <v>177</v>
      </c>
      <c r="C178" s="64">
        <f>'Bball ref'!E198</f>
        <v>76</v>
      </c>
      <c r="D178" s="64">
        <f>VALUE(LEFT('Bball ref'!G198,FIND("(",'Bball ref'!G198)-1))</f>
        <v>0.42</v>
      </c>
      <c r="E178" s="64">
        <f>VALUE(LEFT('Bball ref'!H198,(FIND("(",'Bball ref'!H198)-1)))</f>
        <v>0.81</v>
      </c>
      <c r="F178" s="64">
        <f>'Bball ref'!I198</f>
        <v>1.5</v>
      </c>
      <c r="G178" s="64">
        <f>'Bball ref'!K198</f>
        <v>3.4</v>
      </c>
      <c r="H178" s="64">
        <f>'Bball ref'!L198</f>
        <v>3.8</v>
      </c>
      <c r="I178" s="64">
        <f>'Bball ref'!M198</f>
        <v>0.7</v>
      </c>
      <c r="J178" s="64">
        <f>'Bball ref'!N198</f>
        <v>0.2</v>
      </c>
      <c r="K178" s="64">
        <f>'Bball ref'!O198</f>
        <v>2</v>
      </c>
      <c r="L178" s="64">
        <f>'Bball ref'!J198</f>
        <v>14.6</v>
      </c>
      <c r="M178" s="64">
        <f>VALUE(MID('Bball ref'!G198,FIND("(",'Bball ref'!G198)+1,FIND("/",'Bball ref'!G198)-FIND("(",'Bball ref'!G198)-1))</f>
        <v>5.4</v>
      </c>
      <c r="N178" s="64">
        <f>VALUE(MID('Bball ref'!G198,FIND("/",'Bball ref'!G198)+1,FIND(")",'Bball ref'!G198)-FIND("/",'Bball ref'!G198)-1))</f>
        <v>13</v>
      </c>
      <c r="O178" s="64">
        <f>VALUE(MID('Bball ref'!H198,FIND("(",'Bball ref'!H198)+1,FIND("/",'Bball ref'!H198)-FIND("(",'Bball ref'!H198)-1))</f>
        <v>2.2000000000000002</v>
      </c>
      <c r="P178" s="64">
        <f>VALUE(MID('Bball ref'!H198,FIND("/",'Bball ref'!H198)+1,FIND(")",'Bball ref'!H198)-FIND("/",'Bball ref'!H198)-1))</f>
        <v>2.7</v>
      </c>
      <c r="Q178" s="64">
        <f>(D178-Math!B$14)/Math!B$15</f>
        <v>-1.0601114786825276</v>
      </c>
      <c r="R178" s="64">
        <f>(E178-Math!C$14)/Math!C$15</f>
        <v>0.36109665445982869</v>
      </c>
      <c r="S178" s="64">
        <f>(F178-Math!D$14)/Math!D$15</f>
        <v>4.7470984590095355E-2</v>
      </c>
      <c r="T178" s="64">
        <f>(G178-Math!E$14)/Math!E$15</f>
        <v>-0.93219946237969076</v>
      </c>
      <c r="U178" s="64">
        <f>(H178-Math!F$14)/Math!F$15</f>
        <v>0.25858468257085621</v>
      </c>
      <c r="V178" s="64">
        <f>(I178-Math!G$14)/Math!G$15</f>
        <v>-0.71235717318607394</v>
      </c>
      <c r="W178" s="64">
        <f>(J178-Math!H$14)/Math!H$15</f>
        <v>-0.90376288557943862</v>
      </c>
      <c r="X178" s="64">
        <f>(-1)*(K178-Math!I$14)/Math!I$15</f>
        <v>-0.33337138963818985</v>
      </c>
      <c r="Y178" s="64">
        <f>(L178-Math!J$14)/Math!J$15</f>
        <v>-0.13092664148129513</v>
      </c>
    </row>
    <row r="179" spans="1:25">
      <c r="A179" s="64" t="str">
        <f>IF((LEN('Bball ref'!B199)-LEN(SUBSTITUTE('Bball ref'!B199," ","")))&lt;2,'Bball ref'!B199,LEFT('Bball ref'!B199,FIND(" ",'Bball ref'!B199,FIND(" ",'Bball ref'!B199)+1)-1))</f>
        <v>Landry Shamet</v>
      </c>
      <c r="B179" s="64">
        <f>'Bball ref'!A199</f>
        <v>178</v>
      </c>
      <c r="C179" s="64">
        <f>'Bball ref'!E199</f>
        <v>78</v>
      </c>
      <c r="D179" s="64">
        <f>VALUE(LEFT('Bball ref'!G199,FIND("(",'Bball ref'!G199)-1))</f>
        <v>0.44</v>
      </c>
      <c r="E179" s="64">
        <f>VALUE(LEFT('Bball ref'!H199,(FIND("(",'Bball ref'!H199)-1)))</f>
        <v>0.8</v>
      </c>
      <c r="F179" s="64">
        <f>'Bball ref'!I199</f>
        <v>2.8</v>
      </c>
      <c r="G179" s="64">
        <f>'Bball ref'!K199</f>
        <v>2.2000000000000002</v>
      </c>
      <c r="H179" s="64">
        <f>'Bball ref'!L199</f>
        <v>1.9</v>
      </c>
      <c r="I179" s="64">
        <f>'Bball ref'!M199</f>
        <v>0.6</v>
      </c>
      <c r="J179" s="64">
        <f>'Bball ref'!N199</f>
        <v>0.1</v>
      </c>
      <c r="K179" s="64">
        <f>'Bball ref'!O199</f>
        <v>0.7</v>
      </c>
      <c r="L179" s="64">
        <f>'Bball ref'!J199</f>
        <v>12.6</v>
      </c>
      <c r="M179" s="64">
        <f>VALUE(MID('Bball ref'!G199,FIND("(",'Bball ref'!G199)+1,FIND("/",'Bball ref'!G199)-FIND("(",'Bball ref'!G199)-1))</f>
        <v>4.3</v>
      </c>
      <c r="N179" s="64">
        <f>VALUE(MID('Bball ref'!G199,FIND("/",'Bball ref'!G199)+1,FIND(")",'Bball ref'!G199)-FIND("/",'Bball ref'!G199)-1))</f>
        <v>9.6999999999999993</v>
      </c>
      <c r="O179" s="64">
        <f>VALUE(MID('Bball ref'!H199,FIND("(",'Bball ref'!H199)+1,FIND("/",'Bball ref'!H199)-FIND("(",'Bball ref'!H199)-1))</f>
        <v>1.2</v>
      </c>
      <c r="P179" s="64">
        <f>VALUE(MID('Bball ref'!H199,FIND("/",'Bball ref'!H199)+1,FIND(")",'Bball ref'!H199)-FIND("/",'Bball ref'!H199)-1))</f>
        <v>1.5</v>
      </c>
      <c r="Q179" s="64">
        <f>(D179-Math!B$14)/Math!B$15</f>
        <v>-0.69041261950814947</v>
      </c>
      <c r="R179" s="64">
        <f>(E179-Math!C$14)/Math!C$15</f>
        <v>0.23992328048002048</v>
      </c>
      <c r="S179" s="64">
        <f>(F179-Math!D$14)/Math!D$15</f>
        <v>1.4500228020247223</v>
      </c>
      <c r="T179" s="64">
        <f>(G179-Math!E$14)/Math!E$15</f>
        <v>-1.3879498615875245</v>
      </c>
      <c r="U179" s="64">
        <f>(H179-Math!F$14)/Math!F$15</f>
        <v>-0.69449174203559916</v>
      </c>
      <c r="V179" s="64">
        <f>(I179-Math!G$14)/Math!G$15</f>
        <v>-0.97619316325498995</v>
      </c>
      <c r="W179" s="64">
        <f>(J179-Math!H$14)/Math!H$15</f>
        <v>-1.0878286463899152</v>
      </c>
      <c r="X179" s="64">
        <f>(-1)*(K179-Math!I$14)/Math!I$15</f>
        <v>1.4106238076642077</v>
      </c>
      <c r="Y179" s="64">
        <f>(L179-Math!J$14)/Math!J$15</f>
        <v>-0.53192707480838564</v>
      </c>
    </row>
    <row r="180" spans="1:25">
      <c r="A180" s="64" t="str">
        <f>IF((LEN('Bball ref'!B200)-LEN(SUBSTITUTE('Bball ref'!B200," ","")))&lt;2,'Bball ref'!B200,LEFT('Bball ref'!B200,FIND(" ",'Bball ref'!B200,FIND(" ",'Bball ref'!B200)+1)-1))</f>
        <v>OG Anunoby</v>
      </c>
      <c r="B180" s="64">
        <f>'Bball ref'!A200</f>
        <v>179</v>
      </c>
      <c r="C180" s="64">
        <f>'Bball ref'!E200</f>
        <v>70</v>
      </c>
      <c r="D180" s="64">
        <f>VALUE(LEFT('Bball ref'!G200,FIND("(",'Bball ref'!G200)-1))</f>
        <v>0.45</v>
      </c>
      <c r="E180" s="64">
        <f>VALUE(LEFT('Bball ref'!H200,(FIND("(",'Bball ref'!H200)-1)))</f>
        <v>0.62</v>
      </c>
      <c r="F180" s="64">
        <f>'Bball ref'!I200</f>
        <v>1.5</v>
      </c>
      <c r="G180" s="64">
        <f>'Bball ref'!K200</f>
        <v>4.4000000000000004</v>
      </c>
      <c r="H180" s="64">
        <f>'Bball ref'!L200</f>
        <v>1</v>
      </c>
      <c r="I180" s="64">
        <f>'Bball ref'!M200</f>
        <v>1.2</v>
      </c>
      <c r="J180" s="64">
        <f>'Bball ref'!N200</f>
        <v>0.4</v>
      </c>
      <c r="K180" s="64">
        <f>'Bball ref'!O200</f>
        <v>1.1000000000000001</v>
      </c>
      <c r="L180" s="64">
        <f>'Bball ref'!J200</f>
        <v>11</v>
      </c>
      <c r="M180" s="64">
        <f>VALUE(MID('Bball ref'!G200,FIND("(",'Bball ref'!G200)+1,FIND("/",'Bball ref'!G200)-FIND("(",'Bball ref'!G200)-1))</f>
        <v>4.3</v>
      </c>
      <c r="N180" s="64">
        <f>VALUE(MID('Bball ref'!G200,FIND("/",'Bball ref'!G200)+1,FIND(")",'Bball ref'!G200)-FIND("/",'Bball ref'!G200)-1))</f>
        <v>9.5</v>
      </c>
      <c r="O180" s="64">
        <f>VALUE(MID('Bball ref'!H200,FIND("(",'Bball ref'!H200)+1,FIND("/",'Bball ref'!H200)-FIND("(",'Bball ref'!H200)-1))</f>
        <v>0.8</v>
      </c>
      <c r="P180" s="64">
        <f>VALUE(MID('Bball ref'!H200,FIND("/",'Bball ref'!H200)+1,FIND(")",'Bball ref'!H200)-FIND("/",'Bball ref'!H200)-1))</f>
        <v>1.3</v>
      </c>
      <c r="Q180" s="64">
        <f>(D180-Math!B$14)/Math!B$15</f>
        <v>-0.50556318992096039</v>
      </c>
      <c r="R180" s="64">
        <f>(E180-Math!C$14)/Math!C$15</f>
        <v>-1.9411974511565255</v>
      </c>
      <c r="S180" s="64">
        <f>(F180-Math!D$14)/Math!D$15</f>
        <v>4.7470984590095355E-2</v>
      </c>
      <c r="T180" s="64">
        <f>(G180-Math!E$14)/Math!E$15</f>
        <v>-0.55240746303982902</v>
      </c>
      <c r="U180" s="64">
        <f>(H180-Math!F$14)/Math!F$15</f>
        <v>-1.1459489957965516</v>
      </c>
      <c r="V180" s="64">
        <f>(I180-Math!G$14)/Math!G$15</f>
        <v>0.6068227771585063</v>
      </c>
      <c r="W180" s="64">
        <f>(J180-Math!H$14)/Math!H$15</f>
        <v>-0.53563136395848565</v>
      </c>
      <c r="X180" s="64">
        <f>(-1)*(K180-Math!I$14)/Math!I$15</f>
        <v>0.87400990080193131</v>
      </c>
      <c r="Y180" s="64">
        <f>(L180-Math!J$14)/Math!J$15</f>
        <v>-0.85272742147005787</v>
      </c>
    </row>
    <row r="181" spans="1:25">
      <c r="A181" s="64" t="str">
        <f>IF((LEN('Bball ref'!B201)-LEN(SUBSTITUTE('Bball ref'!B201," ","")))&lt;2,'Bball ref'!B201,LEFT('Bball ref'!B201,FIND(" ",'Bball ref'!B201,FIND(" ",'Bball ref'!B201)+1)-1))</f>
        <v>Mason Plumlee</v>
      </c>
      <c r="B181" s="64">
        <f>'Bball ref'!A201</f>
        <v>180</v>
      </c>
      <c r="C181" s="64">
        <f>'Bball ref'!E201</f>
        <v>76</v>
      </c>
      <c r="D181" s="64">
        <f>VALUE(LEFT('Bball ref'!G201,FIND("(",'Bball ref'!G201)-1))</f>
        <v>0.59</v>
      </c>
      <c r="E181" s="64">
        <f>VALUE(LEFT('Bball ref'!H201,(FIND("(",'Bball ref'!H201)-1)))</f>
        <v>0.57999999999999996</v>
      </c>
      <c r="F181" s="64">
        <f>'Bball ref'!I201</f>
        <v>0</v>
      </c>
      <c r="G181" s="64">
        <f>'Bball ref'!K201</f>
        <v>6.4</v>
      </c>
      <c r="H181" s="64">
        <f>'Bball ref'!L201</f>
        <v>3</v>
      </c>
      <c r="I181" s="64">
        <f>'Bball ref'!M201</f>
        <v>0.8</v>
      </c>
      <c r="J181" s="64">
        <f>'Bball ref'!N201</f>
        <v>0.9</v>
      </c>
      <c r="K181" s="64">
        <f>'Bball ref'!O201</f>
        <v>1.4</v>
      </c>
      <c r="L181" s="64">
        <f>'Bball ref'!J201</f>
        <v>7.8</v>
      </c>
      <c r="M181" s="64">
        <f>VALUE(MID('Bball ref'!G201,FIND("(",'Bball ref'!G201)+1,FIND("/",'Bball ref'!G201)-FIND("(",'Bball ref'!G201)-1))</f>
        <v>3.2</v>
      </c>
      <c r="N181" s="64">
        <f>VALUE(MID('Bball ref'!G201,FIND("/",'Bball ref'!G201)+1,FIND(")",'Bball ref'!G201)-FIND("/",'Bball ref'!G201)-1))</f>
        <v>5.4</v>
      </c>
      <c r="O181" s="64">
        <f>VALUE(MID('Bball ref'!H201,FIND("(",'Bball ref'!H201)+1,FIND("/",'Bball ref'!H201)-FIND("(",'Bball ref'!H201)-1))</f>
        <v>1.4</v>
      </c>
      <c r="P181" s="64">
        <f>VALUE(MID('Bball ref'!H201,FIND("/",'Bball ref'!H201)+1,FIND(")",'Bball ref'!H201)-FIND("/",'Bball ref'!H201)-1))</f>
        <v>2.4</v>
      </c>
      <c r="Q181" s="64">
        <f>(D181-Math!B$14)/Math!B$15</f>
        <v>2.0823288242996836</v>
      </c>
      <c r="R181" s="64">
        <f>(E181-Math!C$14)/Math!C$15</f>
        <v>-2.4258909470757586</v>
      </c>
      <c r="S181" s="64">
        <f>(F181-Math!D$14)/Math!D$15</f>
        <v>-1.5708580355267823</v>
      </c>
      <c r="T181" s="64">
        <f>(G181-Math!E$14)/Math!E$15</f>
        <v>0.20717653563989399</v>
      </c>
      <c r="U181" s="64">
        <f>(H181-Math!F$14)/Math!F$15</f>
        <v>-0.14271065410554598</v>
      </c>
      <c r="V181" s="64">
        <f>(I181-Math!G$14)/Math!G$15</f>
        <v>-0.44852118311715766</v>
      </c>
      <c r="W181" s="64">
        <f>(J181-Math!H$14)/Math!H$15</f>
        <v>0.38469744009389678</v>
      </c>
      <c r="X181" s="64">
        <f>(-1)*(K181-Math!I$14)/Math!I$15</f>
        <v>0.47154947065522446</v>
      </c>
      <c r="Y181" s="64">
        <f>(L181-Math!J$14)/Math!J$15</f>
        <v>-1.4943281147934027</v>
      </c>
    </row>
    <row r="182" spans="1:25">
      <c r="A182" s="64" t="str">
        <f>IF((LEN('Bball ref'!B203)-LEN(SUBSTITUTE('Bball ref'!B203," ","")))&lt;2,'Bball ref'!B203,LEFT('Bball ref'!B203,FIND(" ",'Bball ref'!B203,FIND(" ",'Bball ref'!B203)+1)-1))</f>
        <v>Kris Dunn</v>
      </c>
      <c r="B182" s="64">
        <f>'Bball ref'!A203</f>
        <v>181</v>
      </c>
      <c r="C182" s="64">
        <f>'Bball ref'!E203</f>
        <v>65</v>
      </c>
      <c r="D182" s="64">
        <f>VALUE(LEFT('Bball ref'!G203,FIND("(",'Bball ref'!G203)-1))</f>
        <v>0.43</v>
      </c>
      <c r="E182" s="64">
        <f>VALUE(LEFT('Bball ref'!H203,(FIND("(",'Bball ref'!H203)-1)))</f>
        <v>0.82</v>
      </c>
      <c r="F182" s="64">
        <f>'Bball ref'!I203</f>
        <v>0.5</v>
      </c>
      <c r="G182" s="64">
        <f>'Bball ref'!K203</f>
        <v>3.1</v>
      </c>
      <c r="H182" s="64">
        <f>'Bball ref'!L203</f>
        <v>4.5999999999999996</v>
      </c>
      <c r="I182" s="64">
        <f>'Bball ref'!M203</f>
        <v>1.1000000000000001</v>
      </c>
      <c r="J182" s="64">
        <f>'Bball ref'!N203</f>
        <v>0.4</v>
      </c>
      <c r="K182" s="64">
        <f>'Bball ref'!O203</f>
        <v>1.7</v>
      </c>
      <c r="L182" s="64">
        <f>'Bball ref'!J203</f>
        <v>8.6999999999999993</v>
      </c>
      <c r="M182" s="64">
        <f>VALUE(MID('Bball ref'!G203,FIND("(",'Bball ref'!G203)+1,FIND("/",'Bball ref'!G203)-FIND("(",'Bball ref'!G203)-1))</f>
        <v>3.6</v>
      </c>
      <c r="N182" s="64">
        <f>VALUE(MID('Bball ref'!G203,FIND("/",'Bball ref'!G203)+1,FIND(")",'Bball ref'!G203)-FIND("/",'Bball ref'!G203)-1))</f>
        <v>8.4</v>
      </c>
      <c r="O182" s="64">
        <f>VALUE(MID('Bball ref'!H203,FIND("(",'Bball ref'!H203)+1,FIND("/",'Bball ref'!H203)-FIND("(",'Bball ref'!H203)-1))</f>
        <v>0.9</v>
      </c>
      <c r="P182" s="64">
        <f>VALUE(MID('Bball ref'!H203,FIND("/",'Bball ref'!H203)+1,FIND(")",'Bball ref'!H203)-FIND("/",'Bball ref'!H203)-1))</f>
        <v>1.1000000000000001</v>
      </c>
      <c r="Q182" s="64">
        <f>(D182-Math!B$14)/Math!B$15</f>
        <v>-0.87526204909533856</v>
      </c>
      <c r="R182" s="64">
        <f>(E182-Math!C$14)/Math!C$15</f>
        <v>0.48227002843963551</v>
      </c>
      <c r="S182" s="64">
        <f>(F182-Math!D$14)/Math!D$15</f>
        <v>-1.0314150288211563</v>
      </c>
      <c r="T182" s="64">
        <f>(G182-Math!E$14)/Math!E$15</f>
        <v>-1.046137062181649</v>
      </c>
      <c r="U182" s="64">
        <f>(H182-Math!F$14)/Math!F$15</f>
        <v>0.65988001924725836</v>
      </c>
      <c r="V182" s="64">
        <f>(I182-Math!G$14)/Math!G$15</f>
        <v>0.34298678708959057</v>
      </c>
      <c r="W182" s="64">
        <f>(J182-Math!H$14)/Math!H$15</f>
        <v>-0.53563136395848565</v>
      </c>
      <c r="X182" s="64">
        <f>(-1)*(K182-Math!I$14)/Math!I$15</f>
        <v>6.9089040508517302E-2</v>
      </c>
      <c r="Y182" s="64">
        <f>(L182-Math!J$14)/Math!J$15</f>
        <v>-1.313877919796212</v>
      </c>
    </row>
    <row r="183" spans="1:25">
      <c r="A183" s="64" t="str">
        <f>IF((LEN('Bball ref'!B204)-LEN(SUBSTITUTE('Bball ref'!B204," ","")))&lt;2,'Bball ref'!B204,LEFT('Bball ref'!B204,FIND(" ",'Bball ref'!B204,FIND(" ",'Bball ref'!B204)+1)-1))</f>
        <v>Bobby Portis</v>
      </c>
      <c r="B183" s="64">
        <f>'Bball ref'!A204</f>
        <v>182</v>
      </c>
      <c r="C183" s="64">
        <f>'Bball ref'!E204</f>
        <v>64</v>
      </c>
      <c r="D183" s="64">
        <f>VALUE(LEFT('Bball ref'!G204,FIND("(",'Bball ref'!G204)-1))</f>
        <v>0.44</v>
      </c>
      <c r="E183" s="64">
        <f>VALUE(LEFT('Bball ref'!H204,(FIND("(",'Bball ref'!H204)-1)))</f>
        <v>0.78</v>
      </c>
      <c r="F183" s="64">
        <f>'Bball ref'!I204</f>
        <v>1.2</v>
      </c>
      <c r="G183" s="64">
        <f>'Bball ref'!K204</f>
        <v>6.6</v>
      </c>
      <c r="H183" s="64">
        <f>'Bball ref'!L204</f>
        <v>1.3</v>
      </c>
      <c r="I183" s="64">
        <f>'Bball ref'!M204</f>
        <v>0.6</v>
      </c>
      <c r="J183" s="64">
        <f>'Bball ref'!N204</f>
        <v>0.4</v>
      </c>
      <c r="K183" s="64">
        <f>'Bball ref'!O204</f>
        <v>1.3</v>
      </c>
      <c r="L183" s="64">
        <f>'Bball ref'!J204</f>
        <v>11.8</v>
      </c>
      <c r="M183" s="64">
        <f>VALUE(MID('Bball ref'!G204,FIND("(",'Bball ref'!G204)+1,FIND("/",'Bball ref'!G204)-FIND("(",'Bball ref'!G204)-1))</f>
        <v>4.5999999999999996</v>
      </c>
      <c r="N183" s="64">
        <f>VALUE(MID('Bball ref'!G204,FIND("/",'Bball ref'!G204)+1,FIND(")",'Bball ref'!G204)-FIND("/",'Bball ref'!G204)-1))</f>
        <v>10.4</v>
      </c>
      <c r="O183" s="64">
        <f>VALUE(MID('Bball ref'!H204,FIND("(",'Bball ref'!H204)+1,FIND("/",'Bball ref'!H204)-FIND("(",'Bball ref'!H204)-1))</f>
        <v>1.4</v>
      </c>
      <c r="P183" s="64">
        <f>VALUE(MID('Bball ref'!H204,FIND("/",'Bball ref'!H204)+1,FIND(")",'Bball ref'!H204)-FIND("/",'Bball ref'!H204)-1))</f>
        <v>1.8</v>
      </c>
      <c r="Q183" s="64">
        <f>(D183-Math!B$14)/Math!B$15</f>
        <v>-0.69041261950814947</v>
      </c>
      <c r="R183" s="64">
        <f>(E183-Math!C$14)/Math!C$15</f>
        <v>-2.4234674795958946E-3</v>
      </c>
      <c r="S183" s="64">
        <f>(F183-Math!D$14)/Math!D$15</f>
        <v>-0.27619481943328023</v>
      </c>
      <c r="T183" s="64">
        <f>(G183-Math!E$14)/Math!E$15</f>
        <v>0.283134935507866</v>
      </c>
      <c r="U183" s="64">
        <f>(H183-Math!F$14)/Math!F$15</f>
        <v>-0.9954632445429008</v>
      </c>
      <c r="V183" s="64">
        <f>(I183-Math!G$14)/Math!G$15</f>
        <v>-0.97619316325498995</v>
      </c>
      <c r="W183" s="64">
        <f>(J183-Math!H$14)/Math!H$15</f>
        <v>-0.53563136395848565</v>
      </c>
      <c r="X183" s="64">
        <f>(-1)*(K183-Math!I$14)/Math!I$15</f>
        <v>0.60570294737079333</v>
      </c>
      <c r="Y183" s="64">
        <f>(L183-Math!J$14)/Math!J$15</f>
        <v>-0.69232724813922153</v>
      </c>
    </row>
    <row r="184" spans="1:25">
      <c r="A184" s="64" t="str">
        <f>IF((LEN('Bball ref'!B205)-LEN(SUBSTITUTE('Bball ref'!B205," ","")))&lt;2,'Bball ref'!B205,LEFT('Bball ref'!B205,FIND(" ",'Bball ref'!B205,FIND(" ",'Bball ref'!B205)+1)-1))</f>
        <v>Coby White</v>
      </c>
      <c r="B184" s="64">
        <f>'Bball ref'!A205</f>
        <v>183</v>
      </c>
      <c r="C184" s="64">
        <f>'Bball ref'!E205</f>
        <v>70</v>
      </c>
      <c r="D184" s="64">
        <f>VALUE(LEFT('Bball ref'!G205,FIND("(",'Bball ref'!G205)-1))</f>
        <v>0.44</v>
      </c>
      <c r="E184" s="64">
        <f>VALUE(LEFT('Bball ref'!H205,(FIND("(",'Bball ref'!H205)-1)))</f>
        <v>0.77</v>
      </c>
      <c r="F184" s="64">
        <f>'Bball ref'!I205</f>
        <v>1.4</v>
      </c>
      <c r="G184" s="64">
        <f>'Bball ref'!K205</f>
        <v>2.6</v>
      </c>
      <c r="H184" s="64">
        <f>'Bball ref'!L205</f>
        <v>3</v>
      </c>
      <c r="I184" s="64">
        <f>'Bball ref'!M205</f>
        <v>1.1000000000000001</v>
      </c>
      <c r="J184" s="64">
        <f>'Bball ref'!N205</f>
        <v>0.2</v>
      </c>
      <c r="K184" s="64">
        <f>'Bball ref'!O205</f>
        <v>1.5</v>
      </c>
      <c r="L184" s="64">
        <f>'Bball ref'!J205</f>
        <v>10.9</v>
      </c>
      <c r="M184" s="64">
        <f>VALUE(MID('Bball ref'!G205,FIND("(",'Bball ref'!G205)+1,FIND("/",'Bball ref'!G205)-FIND("(",'Bball ref'!G205)-1))</f>
        <v>3.6</v>
      </c>
      <c r="N184" s="64">
        <f>VALUE(MID('Bball ref'!G205,FIND("/",'Bball ref'!G205)+1,FIND(")",'Bball ref'!G205)-FIND("/",'Bball ref'!G205)-1))</f>
        <v>8.1999999999999993</v>
      </c>
      <c r="O184" s="64">
        <f>VALUE(MID('Bball ref'!H205,FIND("(",'Bball ref'!H205)+1,FIND("/",'Bball ref'!H205)-FIND("(",'Bball ref'!H205)-1))</f>
        <v>2.2999999999999998</v>
      </c>
      <c r="P184" s="64">
        <f>VALUE(MID('Bball ref'!H205,FIND("/",'Bball ref'!H205)+1,FIND(")",'Bball ref'!H205)-FIND("/",'Bball ref'!H205)-1))</f>
        <v>3</v>
      </c>
      <c r="Q184" s="64">
        <f>(D184-Math!B$14)/Math!B$15</f>
        <v>-0.69041261950814947</v>
      </c>
      <c r="R184" s="64">
        <f>(E184-Math!C$14)/Math!C$15</f>
        <v>-0.12359684145940408</v>
      </c>
      <c r="S184" s="64">
        <f>(F184-Math!D$14)/Math!D$15</f>
        <v>-6.0417616751029912E-2</v>
      </c>
      <c r="T184" s="64">
        <f>(G184-Math!E$14)/Math!E$15</f>
        <v>-1.23603306185158</v>
      </c>
      <c r="U184" s="64">
        <f>(H184-Math!F$14)/Math!F$15</f>
        <v>-0.14271065410554598</v>
      </c>
      <c r="V184" s="64">
        <f>(I184-Math!G$14)/Math!G$15</f>
        <v>0.34298678708959057</v>
      </c>
      <c r="W184" s="64">
        <f>(J184-Math!H$14)/Math!H$15</f>
        <v>-0.90376288557943862</v>
      </c>
      <c r="X184" s="64">
        <f>(-1)*(K184-Math!I$14)/Math!I$15</f>
        <v>0.3373959939396553</v>
      </c>
      <c r="Y184" s="64">
        <f>(L184-Math!J$14)/Math!J$15</f>
        <v>-0.87277744313641237</v>
      </c>
    </row>
    <row r="185" spans="1:25">
      <c r="A185" s="64" t="str">
        <f>IF((LEN('Bball ref'!B206)-LEN(SUBSTITUTE('Bball ref'!B206," ","")))&lt;2,'Bball ref'!B206,LEFT('Bball ref'!B206,FIND(" ",'Bball ref'!B206,FIND(" ",'Bball ref'!B206)+1)-1))</f>
        <v>Gorgui Dieng</v>
      </c>
      <c r="B185" s="64">
        <f>'Bball ref'!A206</f>
        <v>184</v>
      </c>
      <c r="C185" s="64">
        <f>'Bball ref'!E206</f>
        <v>76</v>
      </c>
      <c r="D185" s="64">
        <f>VALUE(LEFT('Bball ref'!G206,FIND("(",'Bball ref'!G206)-1))</f>
        <v>0.5</v>
      </c>
      <c r="E185" s="64">
        <f>VALUE(LEFT('Bball ref'!H206,(FIND("(",'Bball ref'!H206)-1)))</f>
        <v>0.88</v>
      </c>
      <c r="F185" s="64">
        <f>'Bball ref'!I206</f>
        <v>0.4</v>
      </c>
      <c r="G185" s="64">
        <f>'Bball ref'!K206</f>
        <v>5.0999999999999996</v>
      </c>
      <c r="H185" s="64">
        <f>'Bball ref'!L206</f>
        <v>1.1000000000000001</v>
      </c>
      <c r="I185" s="64">
        <f>'Bball ref'!M206</f>
        <v>0.7</v>
      </c>
      <c r="J185" s="64">
        <f>'Bball ref'!N206</f>
        <v>0.6</v>
      </c>
      <c r="K185" s="64">
        <f>'Bball ref'!O206</f>
        <v>0.9</v>
      </c>
      <c r="L185" s="64">
        <f>'Bball ref'!J206</f>
        <v>8.1</v>
      </c>
      <c r="M185" s="64">
        <f>VALUE(MID('Bball ref'!G206,FIND("(",'Bball ref'!G206)+1,FIND("/",'Bball ref'!G206)-FIND("(",'Bball ref'!G206)-1))</f>
        <v>3.1</v>
      </c>
      <c r="N185" s="64">
        <f>VALUE(MID('Bball ref'!G206,FIND("/",'Bball ref'!G206)+1,FIND(")",'Bball ref'!G206)-FIND("/",'Bball ref'!G206)-1))</f>
        <v>6.2</v>
      </c>
      <c r="O185" s="64">
        <f>VALUE(MID('Bball ref'!H206,FIND("(",'Bball ref'!H206)+1,FIND("/",'Bball ref'!H206)-FIND("(",'Bball ref'!H206)-1))</f>
        <v>1.5</v>
      </c>
      <c r="P185" s="64">
        <f>VALUE(MID('Bball ref'!H206,FIND("/",'Bball ref'!H206)+1,FIND(")",'Bball ref'!H206)-FIND("/",'Bball ref'!H206)-1))</f>
        <v>1.7</v>
      </c>
      <c r="Q185" s="64">
        <f>(D185-Math!B$14)/Math!B$15</f>
        <v>0.41868395801498404</v>
      </c>
      <c r="R185" s="64">
        <f>(E185-Math!C$14)/Math!C$15</f>
        <v>1.2093102723184848</v>
      </c>
      <c r="S185" s="64">
        <f>(F185-Math!D$14)/Math!D$15</f>
        <v>-1.1393036301622814</v>
      </c>
      <c r="T185" s="64">
        <f>(G185-Math!E$14)/Math!E$15</f>
        <v>-0.28655306350192628</v>
      </c>
      <c r="U185" s="64">
        <f>(H185-Math!F$14)/Math!F$15</f>
        <v>-1.0957870787120014</v>
      </c>
      <c r="V185" s="64">
        <f>(I185-Math!G$14)/Math!G$15</f>
        <v>-0.71235717318607394</v>
      </c>
      <c r="W185" s="64">
        <f>(J185-Math!H$14)/Math!H$15</f>
        <v>-0.16749984233753273</v>
      </c>
      <c r="X185" s="64">
        <f>(-1)*(K185-Math!I$14)/Math!I$15</f>
        <v>1.1423168542330695</v>
      </c>
      <c r="Y185" s="64">
        <f>(L185-Math!J$14)/Math!J$15</f>
        <v>-1.434178049794339</v>
      </c>
    </row>
    <row r="186" spans="1:25">
      <c r="A186" s="64" t="str">
        <f>IF((LEN('Bball ref'!B207)-LEN(SUBSTITUTE('Bball ref'!B207," ","")))&lt;2,'Bball ref'!B207,LEFT('Bball ref'!B207,FIND(" ",'Bball ref'!B207,FIND(" ",'Bball ref'!B207)+1)-1))</f>
        <v>Tristan Thompson</v>
      </c>
      <c r="B186" s="64">
        <f>'Bball ref'!A207</f>
        <v>185</v>
      </c>
      <c r="C186" s="64">
        <f>'Bball ref'!E207</f>
        <v>70</v>
      </c>
      <c r="D186" s="64">
        <f>VALUE(LEFT('Bball ref'!G207,FIND("(",'Bball ref'!G207)-1))</f>
        <v>0.53</v>
      </c>
      <c r="E186" s="64">
        <f>VALUE(LEFT('Bball ref'!H207,(FIND("(",'Bball ref'!H207)-1)))</f>
        <v>0.63</v>
      </c>
      <c r="F186" s="64">
        <f>'Bball ref'!I207</f>
        <v>0</v>
      </c>
      <c r="G186" s="64">
        <f>'Bball ref'!K207</f>
        <v>9.6</v>
      </c>
      <c r="H186" s="64">
        <f>'Bball ref'!L207</f>
        <v>1.9</v>
      </c>
      <c r="I186" s="64">
        <f>'Bball ref'!M207</f>
        <v>0.5</v>
      </c>
      <c r="J186" s="64">
        <f>'Bball ref'!N207</f>
        <v>0.4</v>
      </c>
      <c r="K186" s="64">
        <f>'Bball ref'!O207</f>
        <v>1.3</v>
      </c>
      <c r="L186" s="64">
        <f>'Bball ref'!J207</f>
        <v>10.4</v>
      </c>
      <c r="M186" s="64">
        <f>VALUE(MID('Bball ref'!G207,FIND("(",'Bball ref'!G207)+1,FIND("/",'Bball ref'!G207)-FIND("(",'Bball ref'!G207)-1))</f>
        <v>4.4000000000000004</v>
      </c>
      <c r="N186" s="64">
        <f>VALUE(MID('Bball ref'!G207,FIND("/",'Bball ref'!G207)+1,FIND(")",'Bball ref'!G207)-FIND("/",'Bball ref'!G207)-1))</f>
        <v>8.3000000000000007</v>
      </c>
      <c r="O186" s="64">
        <f>VALUE(MID('Bball ref'!H207,FIND("(",'Bball ref'!H207)+1,FIND("/",'Bball ref'!H207)-FIND("(",'Bball ref'!H207)-1))</f>
        <v>1.5</v>
      </c>
      <c r="P186" s="64">
        <f>VALUE(MID('Bball ref'!H207,FIND("/",'Bball ref'!H207)+1,FIND(")",'Bball ref'!H207)-FIND("/",'Bball ref'!H207)-1))</f>
        <v>2.4</v>
      </c>
      <c r="Q186" s="64">
        <f>(D186-Math!B$14)/Math!B$15</f>
        <v>0.97323224677655129</v>
      </c>
      <c r="R186" s="64">
        <f>(E186-Math!C$14)/Math!C$15</f>
        <v>-1.8200240771767173</v>
      </c>
      <c r="S186" s="64">
        <f>(F186-Math!D$14)/Math!D$15</f>
        <v>-1.5708580355267823</v>
      </c>
      <c r="T186" s="64">
        <f>(G186-Math!E$14)/Math!E$15</f>
        <v>1.4225109335274506</v>
      </c>
      <c r="U186" s="64">
        <f>(H186-Math!F$14)/Math!F$15</f>
        <v>-0.69449174203559916</v>
      </c>
      <c r="V186" s="64">
        <f>(I186-Math!G$14)/Math!G$15</f>
        <v>-1.2400291533239061</v>
      </c>
      <c r="W186" s="64">
        <f>(J186-Math!H$14)/Math!H$15</f>
        <v>-0.53563136395848565</v>
      </c>
      <c r="X186" s="64">
        <f>(-1)*(K186-Math!I$14)/Math!I$15</f>
        <v>0.60570294737079333</v>
      </c>
      <c r="Y186" s="64">
        <f>(L186-Math!J$14)/Math!J$15</f>
        <v>-0.97302755146818498</v>
      </c>
    </row>
    <row r="187" spans="1:25">
      <c r="A187" s="64" t="str">
        <f>IF((LEN('Bball ref'!B208)-LEN(SUBSTITUTE('Bball ref'!B208," ","")))&lt;2,'Bball ref'!B208,LEFT('Bball ref'!B208,FIND(" ",'Bball ref'!B208,FIND(" ",'Bball ref'!B208)+1)-1))</f>
        <v>Chris Boucher</v>
      </c>
      <c r="B187" s="64">
        <f>'Bball ref'!A208</f>
        <v>186</v>
      </c>
      <c r="C187" s="64">
        <f>'Bball ref'!E208</f>
        <v>40</v>
      </c>
      <c r="D187" s="64">
        <f>VALUE(LEFT('Bball ref'!G208,FIND("(",'Bball ref'!G208)-1))</f>
        <v>0.44</v>
      </c>
      <c r="E187" s="64">
        <f>VALUE(LEFT('Bball ref'!H208,(FIND("(",'Bball ref'!H208)-1)))</f>
        <v>1</v>
      </c>
      <c r="F187" s="64">
        <f>'Bball ref'!I208</f>
        <v>0.9</v>
      </c>
      <c r="G187" s="64">
        <f>'Bball ref'!K208</f>
        <v>4.3</v>
      </c>
      <c r="H187" s="64">
        <f>'Bball ref'!L208</f>
        <v>0.2</v>
      </c>
      <c r="I187" s="64">
        <f>'Bball ref'!M208</f>
        <v>0.4</v>
      </c>
      <c r="J187" s="64">
        <f>'Bball ref'!N208</f>
        <v>1.2</v>
      </c>
      <c r="K187" s="64">
        <f>'Bball ref'!O208</f>
        <v>0.6</v>
      </c>
      <c r="L187" s="64">
        <f>'Bball ref'!J208</f>
        <v>7.2</v>
      </c>
      <c r="M187" s="64">
        <f>VALUE(MID('Bball ref'!G208,FIND("(",'Bball ref'!G208)+1,FIND("/",'Bball ref'!G208)-FIND("(",'Bball ref'!G208)-1))</f>
        <v>2.6</v>
      </c>
      <c r="N187" s="64">
        <f>VALUE(MID('Bball ref'!G208,FIND("/",'Bball ref'!G208)+1,FIND(")",'Bball ref'!G208)-FIND("/",'Bball ref'!G208)-1))</f>
        <v>5.9</v>
      </c>
      <c r="O187" s="64">
        <f>VALUE(MID('Bball ref'!H208,FIND("(",'Bball ref'!H208)+1,FIND("/",'Bball ref'!H208)-FIND("(",'Bball ref'!H208)-1))</f>
        <v>1.1000000000000001</v>
      </c>
      <c r="P187" s="64">
        <f>VALUE(MID('Bball ref'!H208,FIND("/",'Bball ref'!H208)+1,FIND(")",'Bball ref'!H208)-FIND("/",'Bball ref'!H208)-1))</f>
        <v>1.1000000000000001</v>
      </c>
      <c r="Q187" s="64">
        <f>(D187-Math!B$14)/Math!B$15</f>
        <v>-0.69041261950814947</v>
      </c>
      <c r="R187" s="64">
        <f>(E187-Math!C$14)/Math!C$15</f>
        <v>2.6633907600761817</v>
      </c>
      <c r="S187" s="64">
        <f>(F187-Math!D$14)/Math!D$15</f>
        <v>-0.59986062345665569</v>
      </c>
      <c r="T187" s="64">
        <f>(G187-Math!E$14)/Math!E$15</f>
        <v>-0.59038666297381537</v>
      </c>
      <c r="U187" s="64">
        <f>(H187-Math!F$14)/Math!F$15</f>
        <v>-1.5472443324729539</v>
      </c>
      <c r="V187" s="64">
        <f>(I187-Math!G$14)/Math!G$15</f>
        <v>-1.5038651433928218</v>
      </c>
      <c r="W187" s="64">
        <f>(J187-Math!H$14)/Math!H$15</f>
        <v>0.93689472252532613</v>
      </c>
      <c r="X187" s="64">
        <f>(-1)*(K187-Math!I$14)/Math!I$15</f>
        <v>1.5447772843797769</v>
      </c>
      <c r="Y187" s="64">
        <f>(L187-Math!J$14)/Math!J$15</f>
        <v>-1.6146282447915299</v>
      </c>
    </row>
    <row r="188" spans="1:25">
      <c r="A188" s="64" t="str">
        <f>IF((LEN('Bball ref'!B209)-LEN(SUBSTITUTE('Bball ref'!B209," ","")))&lt;2,'Bball ref'!B209,LEFT('Bball ref'!B209,FIND(" ",'Bball ref'!B209,FIND(" ",'Bball ref'!B209)+1)-1))</f>
        <v>Jordan Clarkson</v>
      </c>
      <c r="B188" s="64">
        <f>'Bball ref'!A209</f>
        <v>187</v>
      </c>
      <c r="C188" s="64">
        <f>'Bball ref'!E209</f>
        <v>76</v>
      </c>
      <c r="D188" s="64">
        <f>VALUE(LEFT('Bball ref'!G209,FIND("(",'Bball ref'!G209)-1))</f>
        <v>0.45</v>
      </c>
      <c r="E188" s="64">
        <f>VALUE(LEFT('Bball ref'!H209,(FIND("(",'Bball ref'!H209)-1)))</f>
        <v>0.86</v>
      </c>
      <c r="F188" s="64">
        <f>'Bball ref'!I209</f>
        <v>1.6</v>
      </c>
      <c r="G188" s="64">
        <f>'Bball ref'!K209</f>
        <v>2.9</v>
      </c>
      <c r="H188" s="64">
        <f>'Bball ref'!L209</f>
        <v>2.1</v>
      </c>
      <c r="I188" s="64">
        <f>'Bball ref'!M209</f>
        <v>0.6</v>
      </c>
      <c r="J188" s="64">
        <f>'Bball ref'!N209</f>
        <v>0.2</v>
      </c>
      <c r="K188" s="64">
        <f>'Bball ref'!O209</f>
        <v>1.4</v>
      </c>
      <c r="L188" s="64">
        <f>'Bball ref'!J209</f>
        <v>14.9</v>
      </c>
      <c r="M188" s="64">
        <f>VALUE(MID('Bball ref'!G209,FIND("(",'Bball ref'!G209)+1,FIND("/",'Bball ref'!G209)-FIND("(",'Bball ref'!G209)-1))</f>
        <v>5.8</v>
      </c>
      <c r="N188" s="64">
        <f>VALUE(MID('Bball ref'!G209,FIND("/",'Bball ref'!G209)+1,FIND(")",'Bball ref'!G209)-FIND("/",'Bball ref'!G209)-1))</f>
        <v>12.9</v>
      </c>
      <c r="O188" s="64">
        <f>VALUE(MID('Bball ref'!H209,FIND("(",'Bball ref'!H209)+1,FIND("/",'Bball ref'!H209)-FIND("(",'Bball ref'!H209)-1))</f>
        <v>1.8</v>
      </c>
      <c r="P188" s="64">
        <f>VALUE(MID('Bball ref'!H209,FIND("/",'Bball ref'!H209)+1,FIND(")",'Bball ref'!H209)-FIND("/",'Bball ref'!H209)-1))</f>
        <v>2.1</v>
      </c>
      <c r="Q188" s="64">
        <f>(D188-Math!B$14)/Math!B$15</f>
        <v>-0.50556318992096039</v>
      </c>
      <c r="R188" s="64">
        <f>(E188-Math!C$14)/Math!C$15</f>
        <v>0.96696352435886834</v>
      </c>
      <c r="S188" s="64">
        <f>(F188-Math!D$14)/Math!D$15</f>
        <v>0.15535958593122062</v>
      </c>
      <c r="T188" s="64">
        <f>(G188-Math!E$14)/Math!E$15</f>
        <v>-1.1220954620496215</v>
      </c>
      <c r="U188" s="64">
        <f>(H188-Math!F$14)/Math!F$15</f>
        <v>-0.59416790786649853</v>
      </c>
      <c r="V188" s="64">
        <f>(I188-Math!G$14)/Math!G$15</f>
        <v>-0.97619316325498995</v>
      </c>
      <c r="W188" s="64">
        <f>(J188-Math!H$14)/Math!H$15</f>
        <v>-0.90376288557943862</v>
      </c>
      <c r="X188" s="64">
        <f>(-1)*(K188-Math!I$14)/Math!I$15</f>
        <v>0.47154947065522446</v>
      </c>
      <c r="Y188" s="64">
        <f>(L188-Math!J$14)/Math!J$15</f>
        <v>-7.0776576482231415E-2</v>
      </c>
    </row>
    <row r="189" spans="1:25">
      <c r="A189" s="64" t="str">
        <f>IF((LEN('Bball ref'!B210)-LEN(SUBSTITUTE('Bball ref'!B210," ","")))&lt;2,'Bball ref'!B210,LEFT('Bball ref'!B210,FIND(" ",'Bball ref'!B210,FIND(" ",'Bball ref'!B210)+1)-1))</f>
        <v>Bruce Brown</v>
      </c>
      <c r="B189" s="64">
        <f>'Bball ref'!A210</f>
        <v>188</v>
      </c>
      <c r="C189" s="64">
        <f>'Bball ref'!E210</f>
        <v>76</v>
      </c>
      <c r="D189" s="64">
        <f>VALUE(LEFT('Bball ref'!G210,FIND("(",'Bball ref'!G210)-1))</f>
        <v>0.43</v>
      </c>
      <c r="E189" s="64">
        <f>VALUE(LEFT('Bball ref'!H210,(FIND("(",'Bball ref'!H210)-1)))</f>
        <v>0.73</v>
      </c>
      <c r="F189" s="64">
        <f>'Bball ref'!I210</f>
        <v>0.5</v>
      </c>
      <c r="G189" s="64">
        <f>'Bball ref'!K210</f>
        <v>4</v>
      </c>
      <c r="H189" s="64">
        <f>'Bball ref'!L210</f>
        <v>2.1</v>
      </c>
      <c r="I189" s="64">
        <f>'Bball ref'!M210</f>
        <v>1.1000000000000001</v>
      </c>
      <c r="J189" s="64">
        <f>'Bball ref'!N210</f>
        <v>0.7</v>
      </c>
      <c r="K189" s="64">
        <f>'Bball ref'!O210</f>
        <v>0.8</v>
      </c>
      <c r="L189" s="64">
        <f>'Bball ref'!J210</f>
        <v>10.5</v>
      </c>
      <c r="M189" s="64">
        <f>VALUE(MID('Bball ref'!G210,FIND("(",'Bball ref'!G210)+1,FIND("/",'Bball ref'!G210)-FIND("(",'Bball ref'!G210)-1))</f>
        <v>4.5</v>
      </c>
      <c r="N189" s="64">
        <f>VALUE(MID('Bball ref'!G210,FIND("/",'Bball ref'!G210)+1,FIND(")",'Bball ref'!G210)-FIND("/",'Bball ref'!G210)-1))</f>
        <v>10.5</v>
      </c>
      <c r="O189" s="64">
        <f>VALUE(MID('Bball ref'!H210,FIND("(",'Bball ref'!H210)+1,FIND("/",'Bball ref'!H210)-FIND("(",'Bball ref'!H210)-1))</f>
        <v>0.8</v>
      </c>
      <c r="P189" s="64">
        <f>VALUE(MID('Bball ref'!H210,FIND("/",'Bball ref'!H210)+1,FIND(")",'Bball ref'!H210)-FIND("/",'Bball ref'!H210)-1))</f>
        <v>1.1000000000000001</v>
      </c>
      <c r="Q189" s="64">
        <f>(D189-Math!B$14)/Math!B$15</f>
        <v>-0.87526204909533856</v>
      </c>
      <c r="R189" s="64">
        <f>(E189-Math!C$14)/Math!C$15</f>
        <v>-0.6082903373786368</v>
      </c>
      <c r="S189" s="64">
        <f>(F189-Math!D$14)/Math!D$15</f>
        <v>-1.0314150288211563</v>
      </c>
      <c r="T189" s="64">
        <f>(G189-Math!E$14)/Math!E$15</f>
        <v>-0.70432426277577376</v>
      </c>
      <c r="U189" s="64">
        <f>(H189-Math!F$14)/Math!F$15</f>
        <v>-0.59416790786649853</v>
      </c>
      <c r="V189" s="64">
        <f>(I189-Math!G$14)/Math!G$15</f>
        <v>0.34298678708959057</v>
      </c>
      <c r="W189" s="64">
        <f>(J189-Math!H$14)/Math!H$15</f>
        <v>1.6565918472943714E-2</v>
      </c>
      <c r="X189" s="64">
        <f>(-1)*(K189-Math!I$14)/Math!I$15</f>
        <v>1.2764703309486385</v>
      </c>
      <c r="Y189" s="64">
        <f>(L189-Math!J$14)/Math!J$15</f>
        <v>-0.95297752980183048</v>
      </c>
    </row>
    <row r="190" spans="1:25">
      <c r="A190" s="64" t="str">
        <f>IF((LEN('Bball ref'!B211)-LEN(SUBSTITUTE('Bball ref'!B211," ","")))&lt;2,'Bball ref'!B211,LEFT('Bball ref'!B211,FIND(" ",'Bball ref'!B211,FIND(" ",'Bball ref'!B211)+1)-1))</f>
        <v>Jusuf Nurkic</v>
      </c>
      <c r="B190" s="64">
        <f>'Bball ref'!A211</f>
        <v>189</v>
      </c>
      <c r="C190" s="64">
        <f>'Bball ref'!E211</f>
        <v>18</v>
      </c>
      <c r="D190" s="64">
        <f>VALUE(LEFT('Bball ref'!G211,FIND("(",'Bball ref'!G211)-1))</f>
        <v>0.48</v>
      </c>
      <c r="E190" s="64">
        <f>VALUE(LEFT('Bball ref'!H211,(FIND("(",'Bball ref'!H211)-1)))</f>
        <v>0.67</v>
      </c>
      <c r="F190" s="64">
        <f>'Bball ref'!I211</f>
        <v>0</v>
      </c>
      <c r="G190" s="64">
        <f>'Bball ref'!K211</f>
        <v>7.5</v>
      </c>
      <c r="H190" s="64">
        <f>'Bball ref'!L211</f>
        <v>2.5</v>
      </c>
      <c r="I190" s="64">
        <f>'Bball ref'!M211</f>
        <v>0.8</v>
      </c>
      <c r="J190" s="64">
        <f>'Bball ref'!N211</f>
        <v>1</v>
      </c>
      <c r="K190" s="64">
        <f>'Bball ref'!O211</f>
        <v>1.8</v>
      </c>
      <c r="L190" s="64">
        <f>'Bball ref'!J211</f>
        <v>10</v>
      </c>
      <c r="M190" s="64">
        <f>VALUE(MID('Bball ref'!G211,FIND("(",'Bball ref'!G211)+1,FIND("/",'Bball ref'!G211)-FIND("(",'Bball ref'!G211)-1))</f>
        <v>3.5</v>
      </c>
      <c r="N190" s="64">
        <f>VALUE(MID('Bball ref'!G211,FIND("/",'Bball ref'!G211)+1,FIND(")",'Bball ref'!G211)-FIND("/",'Bball ref'!G211)-1))</f>
        <v>7.3</v>
      </c>
      <c r="O190" s="64">
        <f>VALUE(MID('Bball ref'!H211,FIND("(",'Bball ref'!H211)+1,FIND("/",'Bball ref'!H211)-FIND("(",'Bball ref'!H211)-1))</f>
        <v>2.9</v>
      </c>
      <c r="P190" s="64">
        <f>VALUE(MID('Bball ref'!H211,FIND("/",'Bball ref'!H211)+1,FIND(")",'Bball ref'!H211)-FIND("/",'Bball ref'!H211)-1))</f>
        <v>4.3</v>
      </c>
      <c r="Q190" s="64">
        <f>(D190-Math!B$14)/Math!B$15</f>
        <v>4.8985098840605826E-2</v>
      </c>
      <c r="R190" s="64">
        <f>(E190-Math!C$14)/Math!C$15</f>
        <v>-1.3353305812574847</v>
      </c>
      <c r="S190" s="64">
        <f>(F190-Math!D$14)/Math!D$15</f>
        <v>-1.5708580355267823</v>
      </c>
      <c r="T190" s="64">
        <f>(G190-Math!E$14)/Math!E$15</f>
        <v>0.62494773491374156</v>
      </c>
      <c r="U190" s="64">
        <f>(H190-Math!F$14)/Math!F$15</f>
        <v>-0.3935202395282974</v>
      </c>
      <c r="V190" s="64">
        <f>(I190-Math!G$14)/Math!G$15</f>
        <v>-0.44852118311715766</v>
      </c>
      <c r="W190" s="64">
        <f>(J190-Math!H$14)/Math!H$15</f>
        <v>0.56876320090437327</v>
      </c>
      <c r="X190" s="64">
        <f>(-1)*(K190-Math!I$14)/Math!I$15</f>
        <v>-6.5064436207051865E-2</v>
      </c>
      <c r="Y190" s="64">
        <f>(L190-Math!J$14)/Math!J$15</f>
        <v>-1.0532276381336032</v>
      </c>
    </row>
    <row r="191" spans="1:25">
      <c r="A191" s="64" t="str">
        <f>IF((LEN('Bball ref'!B212)-LEN(SUBSTITUTE('Bball ref'!B212," ","")))&lt;2,'Bball ref'!B212,LEFT('Bball ref'!B212,FIND(" ",'Bball ref'!B212,FIND(" ",'Bball ref'!B212)+1)-1))</f>
        <v>George Hill</v>
      </c>
      <c r="B191" s="64">
        <f>'Bball ref'!A212</f>
        <v>190</v>
      </c>
      <c r="C191" s="64">
        <f>'Bball ref'!E212</f>
        <v>64</v>
      </c>
      <c r="D191" s="64">
        <f>VALUE(LEFT('Bball ref'!G212,FIND("(",'Bball ref'!G212)-1))</f>
        <v>0.45</v>
      </c>
      <c r="E191" s="64">
        <f>VALUE(LEFT('Bball ref'!H212,(FIND("(",'Bball ref'!H212)-1)))</f>
        <v>0.88</v>
      </c>
      <c r="F191" s="64">
        <f>'Bball ref'!I212</f>
        <v>1.1000000000000001</v>
      </c>
      <c r="G191" s="64">
        <f>'Bball ref'!K212</f>
        <v>2.9</v>
      </c>
      <c r="H191" s="64">
        <f>'Bball ref'!L212</f>
        <v>2.7</v>
      </c>
      <c r="I191" s="64">
        <f>'Bball ref'!M212</f>
        <v>1</v>
      </c>
      <c r="J191" s="64">
        <f>'Bball ref'!N212</f>
        <v>0.1</v>
      </c>
      <c r="K191" s="64">
        <f>'Bball ref'!O212</f>
        <v>1</v>
      </c>
      <c r="L191" s="64">
        <f>'Bball ref'!J212</f>
        <v>9.1</v>
      </c>
      <c r="M191" s="64">
        <f>VALUE(MID('Bball ref'!G212,FIND("(",'Bball ref'!G212)+1,FIND("/",'Bball ref'!G212)-FIND("(",'Bball ref'!G212)-1))</f>
        <v>3.3</v>
      </c>
      <c r="N191" s="64">
        <f>VALUE(MID('Bball ref'!G212,FIND("/",'Bball ref'!G212)+1,FIND(")",'Bball ref'!G212)-FIND("/",'Bball ref'!G212)-1))</f>
        <v>7.3</v>
      </c>
      <c r="O191" s="64">
        <f>VALUE(MID('Bball ref'!H212,FIND("(",'Bball ref'!H212)+1,FIND("/",'Bball ref'!H212)-FIND("(",'Bball ref'!H212)-1))</f>
        <v>1.4</v>
      </c>
      <c r="P191" s="64">
        <f>VALUE(MID('Bball ref'!H212,FIND("/",'Bball ref'!H212)+1,FIND(")",'Bball ref'!H212)-FIND("/",'Bball ref'!H212)-1))</f>
        <v>1.6</v>
      </c>
      <c r="Q191" s="64">
        <f>(D191-Math!B$14)/Math!B$15</f>
        <v>-0.50556318992096039</v>
      </c>
      <c r="R191" s="64">
        <f>(E191-Math!C$14)/Math!C$15</f>
        <v>1.2093102723184848</v>
      </c>
      <c r="S191" s="64">
        <f>(F191-Math!D$14)/Math!D$15</f>
        <v>-0.38408342077440522</v>
      </c>
      <c r="T191" s="64">
        <f>(G191-Math!E$14)/Math!E$15</f>
        <v>-1.1220954620496215</v>
      </c>
      <c r="U191" s="64">
        <f>(H191-Math!F$14)/Math!F$15</f>
        <v>-0.29319640535919678</v>
      </c>
      <c r="V191" s="64">
        <f>(I191-Math!G$14)/Math!G$15</f>
        <v>7.9150797020674304E-2</v>
      </c>
      <c r="W191" s="64">
        <f>(J191-Math!H$14)/Math!H$15</f>
        <v>-1.0878286463899152</v>
      </c>
      <c r="X191" s="64">
        <f>(-1)*(K191-Math!I$14)/Math!I$15</f>
        <v>1.0081633775175005</v>
      </c>
      <c r="Y191" s="64">
        <f>(L191-Math!J$14)/Math!J$15</f>
        <v>-1.2336778331307938</v>
      </c>
    </row>
    <row r="192" spans="1:25">
      <c r="A192" s="64" t="str">
        <f>IF((LEN('Bball ref'!B213)-LEN(SUBSTITUTE('Bball ref'!B213," ","")))&lt;2,'Bball ref'!B213,LEFT('Bball ref'!B213,FIND(" ",'Bball ref'!B213,FIND(" ",'Bball ref'!B213)+1)-1))</f>
        <v>Monte Morris</v>
      </c>
      <c r="B192" s="64">
        <f>'Bball ref'!A213</f>
        <v>191</v>
      </c>
      <c r="C192" s="64">
        <f>'Bball ref'!E213</f>
        <v>76</v>
      </c>
      <c r="D192" s="64">
        <f>VALUE(LEFT('Bball ref'!G213,FIND("(",'Bball ref'!G213)-1))</f>
        <v>0.49</v>
      </c>
      <c r="E192" s="64">
        <f>VALUE(LEFT('Bball ref'!H213,(FIND("(",'Bball ref'!H213)-1)))</f>
        <v>0.8</v>
      </c>
      <c r="F192" s="64">
        <f>'Bball ref'!I213</f>
        <v>1.1000000000000001</v>
      </c>
      <c r="G192" s="64">
        <f>'Bball ref'!K213</f>
        <v>2.2000000000000002</v>
      </c>
      <c r="H192" s="64">
        <f>'Bball ref'!L213</f>
        <v>3.5</v>
      </c>
      <c r="I192" s="64">
        <f>'Bball ref'!M213</f>
        <v>0.8</v>
      </c>
      <c r="J192" s="64">
        <f>'Bball ref'!N213</f>
        <v>0</v>
      </c>
      <c r="K192" s="64">
        <f>'Bball ref'!O213</f>
        <v>0.6</v>
      </c>
      <c r="L192" s="64">
        <f>'Bball ref'!J213</f>
        <v>10</v>
      </c>
      <c r="M192" s="64">
        <f>VALUE(MID('Bball ref'!G213,FIND("(",'Bball ref'!G213)+1,FIND("/",'Bball ref'!G213)-FIND("(",'Bball ref'!G213)-1))</f>
        <v>4.0999999999999996</v>
      </c>
      <c r="N192" s="64">
        <f>VALUE(MID('Bball ref'!G213,FIND("/",'Bball ref'!G213)+1,FIND(")",'Bball ref'!G213)-FIND("/",'Bball ref'!G213)-1))</f>
        <v>8.3000000000000007</v>
      </c>
      <c r="O192" s="64">
        <f>VALUE(MID('Bball ref'!H213,FIND("(",'Bball ref'!H213)+1,FIND("/",'Bball ref'!H213)-FIND("(",'Bball ref'!H213)-1))</f>
        <v>0.8</v>
      </c>
      <c r="P192" s="64">
        <f>VALUE(MID('Bball ref'!H213,FIND("/",'Bball ref'!H213)+1,FIND(")",'Bball ref'!H213)-FIND("/",'Bball ref'!H213)-1))</f>
        <v>1</v>
      </c>
      <c r="Q192" s="64">
        <f>(D192-Math!B$14)/Math!B$15</f>
        <v>0.23383452842779492</v>
      </c>
      <c r="R192" s="64">
        <f>(E192-Math!C$14)/Math!C$15</f>
        <v>0.23992328048002048</v>
      </c>
      <c r="S192" s="64">
        <f>(F192-Math!D$14)/Math!D$15</f>
        <v>-0.38408342077440522</v>
      </c>
      <c r="T192" s="64">
        <f>(G192-Math!E$14)/Math!E$15</f>
        <v>-1.3879498615875245</v>
      </c>
      <c r="U192" s="64">
        <f>(H192-Math!F$14)/Math!F$15</f>
        <v>0.10809893131720544</v>
      </c>
      <c r="V192" s="64">
        <f>(I192-Math!G$14)/Math!G$15</f>
        <v>-0.44852118311715766</v>
      </c>
      <c r="W192" s="64">
        <f>(J192-Math!H$14)/Math!H$15</f>
        <v>-1.2718944072003915</v>
      </c>
      <c r="X192" s="64">
        <f>(-1)*(K192-Math!I$14)/Math!I$15</f>
        <v>1.5447772843797769</v>
      </c>
      <c r="Y192" s="64">
        <f>(L192-Math!J$14)/Math!J$15</f>
        <v>-1.0532276381336032</v>
      </c>
    </row>
    <row r="193" spans="1:25">
      <c r="A193" s="64" t="str">
        <f>IF((LEN('Bball ref'!B214)-LEN(SUBSTITUTE('Bball ref'!B214," ","")))&lt;2,'Bball ref'!B214,LEFT('Bball ref'!B214,FIND(" ",'Bball ref'!B214,FIND(" ",'Bball ref'!B214)+1)-1))</f>
        <v>Rajon Rondo</v>
      </c>
      <c r="B193" s="64">
        <f>'Bball ref'!A214</f>
        <v>192</v>
      </c>
      <c r="C193" s="64">
        <f>'Bball ref'!E214</f>
        <v>66</v>
      </c>
      <c r="D193" s="64">
        <f>VALUE(LEFT('Bball ref'!G214,FIND("(",'Bball ref'!G214)-1))</f>
        <v>0.43</v>
      </c>
      <c r="E193" s="64">
        <f>VALUE(LEFT('Bball ref'!H214,(FIND("(",'Bball ref'!H214)-1)))</f>
        <v>0.67</v>
      </c>
      <c r="F193" s="64">
        <f>'Bball ref'!I214</f>
        <v>0.9</v>
      </c>
      <c r="G193" s="64">
        <f>'Bball ref'!K214</f>
        <v>4</v>
      </c>
      <c r="H193" s="64">
        <f>'Bball ref'!L214</f>
        <v>6.2</v>
      </c>
      <c r="I193" s="64">
        <f>'Bball ref'!M214</f>
        <v>0.9</v>
      </c>
      <c r="J193" s="64">
        <f>'Bball ref'!N214</f>
        <v>0.2</v>
      </c>
      <c r="K193" s="64">
        <f>'Bball ref'!O214</f>
        <v>2.1</v>
      </c>
      <c r="L193" s="64">
        <f>'Bball ref'!J214</f>
        <v>7.2</v>
      </c>
      <c r="M193" s="64">
        <f>VALUE(MID('Bball ref'!G214,FIND("(",'Bball ref'!G214)+1,FIND("/",'Bball ref'!G214)-FIND("(",'Bball ref'!G214)-1))</f>
        <v>3</v>
      </c>
      <c r="N193" s="64">
        <f>VALUE(MID('Bball ref'!G214,FIND("/",'Bball ref'!G214)+1,FIND(")",'Bball ref'!G214)-FIND("/",'Bball ref'!G214)-1))</f>
        <v>6.9</v>
      </c>
      <c r="O193" s="64">
        <f>VALUE(MID('Bball ref'!H214,FIND("(",'Bball ref'!H214)+1,FIND("/",'Bball ref'!H214)-FIND("(",'Bball ref'!H214)-1))</f>
        <v>0.4</v>
      </c>
      <c r="P193" s="64">
        <f>VALUE(MID('Bball ref'!H214,FIND("/",'Bball ref'!H214)+1,FIND(")",'Bball ref'!H214)-FIND("/",'Bball ref'!H214)-1))</f>
        <v>0.6</v>
      </c>
      <c r="Q193" s="64">
        <f>(D193-Math!B$14)/Math!B$15</f>
        <v>-0.87526204909533856</v>
      </c>
      <c r="R193" s="64">
        <f>(E193-Math!C$14)/Math!C$15</f>
        <v>-1.3353305812574847</v>
      </c>
      <c r="S193" s="64">
        <f>(F193-Math!D$14)/Math!D$15</f>
        <v>-0.59986062345665569</v>
      </c>
      <c r="T193" s="64">
        <f>(G193-Math!E$14)/Math!E$15</f>
        <v>-0.70432426277577376</v>
      </c>
      <c r="U193" s="64">
        <f>(H193-Math!F$14)/Math!F$15</f>
        <v>1.4624706926000632</v>
      </c>
      <c r="V193" s="64">
        <f>(I193-Math!G$14)/Math!G$15</f>
        <v>-0.18468519304824169</v>
      </c>
      <c r="W193" s="64">
        <f>(J193-Math!H$14)/Math!H$15</f>
        <v>-0.90376288557943862</v>
      </c>
      <c r="X193" s="64">
        <f>(-1)*(K193-Math!I$14)/Math!I$15</f>
        <v>-0.46752486635375906</v>
      </c>
      <c r="Y193" s="64">
        <f>(L193-Math!J$14)/Math!J$15</f>
        <v>-1.6146282447915299</v>
      </c>
    </row>
    <row r="194" spans="1:25">
      <c r="A194" s="64" t="str">
        <f>IF((LEN('Bball ref'!B215)-LEN(SUBSTITUTE('Bball ref'!B215," ","")))&lt;2,'Bball ref'!B215,LEFT('Bball ref'!B215,FIND(" ",'Bball ref'!B215,FIND(" ",'Bball ref'!B215)+1)-1))</f>
        <v>Kentavious Caldwell-Pope</v>
      </c>
      <c r="B194" s="64">
        <f>'Bball ref'!A215</f>
        <v>193</v>
      </c>
      <c r="C194" s="64">
        <f>'Bball ref'!E215</f>
        <v>70</v>
      </c>
      <c r="D194" s="64">
        <f>VALUE(LEFT('Bball ref'!G215,FIND("(",'Bball ref'!G215)-1))</f>
        <v>0.43</v>
      </c>
      <c r="E194" s="64">
        <f>VALUE(LEFT('Bball ref'!H215,(FIND("(",'Bball ref'!H215)-1)))</f>
        <v>0.89</v>
      </c>
      <c r="F194" s="64">
        <f>'Bball ref'!I215</f>
        <v>1.7</v>
      </c>
      <c r="G194" s="64">
        <f>'Bball ref'!K215</f>
        <v>2.7</v>
      </c>
      <c r="H194" s="64">
        <f>'Bball ref'!L215</f>
        <v>1.2</v>
      </c>
      <c r="I194" s="64">
        <f>'Bball ref'!M215</f>
        <v>0.8</v>
      </c>
      <c r="J194" s="64">
        <f>'Bball ref'!N215</f>
        <v>0.2</v>
      </c>
      <c r="K194" s="64">
        <f>'Bball ref'!O215</f>
        <v>0.7</v>
      </c>
      <c r="L194" s="64">
        <f>'Bball ref'!J215</f>
        <v>10.8</v>
      </c>
      <c r="M194" s="64">
        <f>VALUE(MID('Bball ref'!G215,FIND("(",'Bball ref'!G215)+1,FIND("/",'Bball ref'!G215)-FIND("(",'Bball ref'!G215)-1))</f>
        <v>3.7</v>
      </c>
      <c r="N194" s="64">
        <f>VALUE(MID('Bball ref'!G215,FIND("/",'Bball ref'!G215)+1,FIND(")",'Bball ref'!G215)-FIND("/",'Bball ref'!G215)-1))</f>
        <v>8.6</v>
      </c>
      <c r="O194" s="64">
        <f>VALUE(MID('Bball ref'!H215,FIND("(",'Bball ref'!H215)+1,FIND("/",'Bball ref'!H215)-FIND("(",'Bball ref'!H215)-1))</f>
        <v>1.6</v>
      </c>
      <c r="P194" s="64">
        <f>VALUE(MID('Bball ref'!H215,FIND("/",'Bball ref'!H215)+1,FIND(")",'Bball ref'!H215)-FIND("/",'Bball ref'!H215)-1))</f>
        <v>1.8</v>
      </c>
      <c r="Q194" s="64">
        <f>(D194-Math!B$14)/Math!B$15</f>
        <v>-0.87526204909533856</v>
      </c>
      <c r="R194" s="64">
        <f>(E194-Math!C$14)/Math!C$15</f>
        <v>1.330483646298293</v>
      </c>
      <c r="S194" s="64">
        <f>(F194-Math!D$14)/Math!D$15</f>
        <v>0.26324818727234567</v>
      </c>
      <c r="T194" s="64">
        <f>(G194-Math!E$14)/Math!E$15</f>
        <v>-1.1980538619175938</v>
      </c>
      <c r="U194" s="64">
        <f>(H194-Math!F$14)/Math!F$15</f>
        <v>-1.0456251616274512</v>
      </c>
      <c r="V194" s="64">
        <f>(I194-Math!G$14)/Math!G$15</f>
        <v>-0.44852118311715766</v>
      </c>
      <c r="W194" s="64">
        <f>(J194-Math!H$14)/Math!H$15</f>
        <v>-0.90376288557943862</v>
      </c>
      <c r="X194" s="64">
        <f>(-1)*(K194-Math!I$14)/Math!I$15</f>
        <v>1.4106238076642077</v>
      </c>
      <c r="Y194" s="64">
        <f>(L194-Math!J$14)/Math!J$15</f>
        <v>-0.89282746480276676</v>
      </c>
    </row>
    <row r="195" spans="1:25">
      <c r="A195" s="64" t="str">
        <f>IF((LEN('Bball ref'!B216)-LEN(SUBSTITUTE('Bball ref'!B216," ","")))&lt;2,'Bball ref'!B216,LEFT('Bball ref'!B216,FIND(" ",'Bball ref'!B216,FIND(" ",'Bball ref'!B216)+1)-1))</f>
        <v>Malik Beasley</v>
      </c>
      <c r="B195" s="64">
        <f>'Bball ref'!A216</f>
        <v>194</v>
      </c>
      <c r="C195" s="64">
        <f>'Bball ref'!E216</f>
        <v>70</v>
      </c>
      <c r="D195" s="64">
        <f>VALUE(LEFT('Bball ref'!G216,FIND("(",'Bball ref'!G216)-1))</f>
        <v>0.47</v>
      </c>
      <c r="E195" s="64">
        <f>VALUE(LEFT('Bball ref'!H216,(FIND("(",'Bball ref'!H216)-1)))</f>
        <v>0.88</v>
      </c>
      <c r="F195" s="64">
        <f>'Bball ref'!I216</f>
        <v>2</v>
      </c>
      <c r="G195" s="64">
        <f>'Bball ref'!K216</f>
        <v>2.4</v>
      </c>
      <c r="H195" s="64">
        <f>'Bball ref'!L216</f>
        <v>1.2</v>
      </c>
      <c r="I195" s="64">
        <f>'Bball ref'!M216</f>
        <v>0.7</v>
      </c>
      <c r="J195" s="64">
        <f>'Bball ref'!N216</f>
        <v>0.1</v>
      </c>
      <c r="K195" s="64">
        <f>'Bball ref'!O216</f>
        <v>0.7</v>
      </c>
      <c r="L195" s="64">
        <f>'Bball ref'!J216</f>
        <v>11.3</v>
      </c>
      <c r="M195" s="64">
        <f>VALUE(MID('Bball ref'!G216,FIND("(",'Bball ref'!G216)+1,FIND("/",'Bball ref'!G216)-FIND("(",'Bball ref'!G216)-1))</f>
        <v>4.3</v>
      </c>
      <c r="N195" s="64">
        <f>VALUE(MID('Bball ref'!G216,FIND("/",'Bball ref'!G216)+1,FIND(")",'Bball ref'!G216)-FIND("/",'Bball ref'!G216)-1))</f>
        <v>9.1</v>
      </c>
      <c r="O195" s="64">
        <f>VALUE(MID('Bball ref'!H216,FIND("(",'Bball ref'!H216)+1,FIND("/",'Bball ref'!H216)-FIND("(",'Bball ref'!H216)-1))</f>
        <v>0.7</v>
      </c>
      <c r="P195" s="64">
        <f>VALUE(MID('Bball ref'!H216,FIND("/",'Bball ref'!H216)+1,FIND(")",'Bball ref'!H216)-FIND("/",'Bball ref'!H216)-1))</f>
        <v>0.8</v>
      </c>
      <c r="Q195" s="64">
        <f>(D195-Math!B$14)/Math!B$15</f>
        <v>-0.13586433074658327</v>
      </c>
      <c r="R195" s="64">
        <f>(E195-Math!C$14)/Math!C$15</f>
        <v>1.2093102723184848</v>
      </c>
      <c r="S195" s="64">
        <f>(F195-Math!D$14)/Math!D$15</f>
        <v>0.58691399129572119</v>
      </c>
      <c r="T195" s="64">
        <f>(G195-Math!E$14)/Math!E$15</f>
        <v>-1.3119914617195523</v>
      </c>
      <c r="U195" s="64">
        <f>(H195-Math!F$14)/Math!F$15</f>
        <v>-1.0456251616274512</v>
      </c>
      <c r="V195" s="64">
        <f>(I195-Math!G$14)/Math!G$15</f>
        <v>-0.71235717318607394</v>
      </c>
      <c r="W195" s="64">
        <f>(J195-Math!H$14)/Math!H$15</f>
        <v>-1.0878286463899152</v>
      </c>
      <c r="X195" s="64">
        <f>(-1)*(K195-Math!I$14)/Math!I$15</f>
        <v>1.4106238076642077</v>
      </c>
      <c r="Y195" s="64">
        <f>(L195-Math!J$14)/Math!J$15</f>
        <v>-0.79257735647099414</v>
      </c>
    </row>
    <row r="196" spans="1:25">
      <c r="A196" s="64" t="str">
        <f>IF((LEN('Bball ref'!B217)-LEN(SUBSTITUTE('Bball ref'!B217," ","")))&lt;2,'Bball ref'!B217,LEFT('Bball ref'!B217,FIND(" ",'Bball ref'!B217,FIND(" ",'Bball ref'!B217)+1)-1))</f>
        <v>Ish Smith</v>
      </c>
      <c r="B196" s="64">
        <f>'Bball ref'!A217</f>
        <v>195</v>
      </c>
      <c r="C196" s="64">
        <f>'Bball ref'!E217</f>
        <v>74</v>
      </c>
      <c r="D196" s="64">
        <f>VALUE(LEFT('Bball ref'!G217,FIND("(",'Bball ref'!G217)-1))</f>
        <v>0.43</v>
      </c>
      <c r="E196" s="64">
        <f>VALUE(LEFT('Bball ref'!H217,(FIND("(",'Bball ref'!H217)-1)))</f>
        <v>0.73</v>
      </c>
      <c r="F196" s="64">
        <f>'Bball ref'!I217</f>
        <v>1.1000000000000001</v>
      </c>
      <c r="G196" s="64">
        <f>'Bball ref'!K217</f>
        <v>3.4</v>
      </c>
      <c r="H196" s="64">
        <f>'Bball ref'!L217</f>
        <v>4.7</v>
      </c>
      <c r="I196" s="64">
        <f>'Bball ref'!M217</f>
        <v>0.6</v>
      </c>
      <c r="J196" s="64">
        <f>'Bball ref'!N217</f>
        <v>0.3</v>
      </c>
      <c r="K196" s="64">
        <f>'Bball ref'!O217</f>
        <v>1.4</v>
      </c>
      <c r="L196" s="64">
        <f>'Bball ref'!J217</f>
        <v>11.9</v>
      </c>
      <c r="M196" s="64">
        <f>VALUE(MID('Bball ref'!G217,FIND("(",'Bball ref'!G217)+1,FIND("/",'Bball ref'!G217)-FIND("(",'Bball ref'!G217)-1))</f>
        <v>4.9000000000000004</v>
      </c>
      <c r="N196" s="64">
        <f>VALUE(MID('Bball ref'!G217,FIND("/",'Bball ref'!G217)+1,FIND(")",'Bball ref'!G217)-FIND("/",'Bball ref'!G217)-1))</f>
        <v>11.3</v>
      </c>
      <c r="O196" s="64">
        <f>VALUE(MID('Bball ref'!H217,FIND("(",'Bball ref'!H217)+1,FIND("/",'Bball ref'!H217)-FIND("(",'Bball ref'!H217)-1))</f>
        <v>1.1000000000000001</v>
      </c>
      <c r="P196" s="64">
        <f>VALUE(MID('Bball ref'!H217,FIND("/",'Bball ref'!H217)+1,FIND(")",'Bball ref'!H217)-FIND("/",'Bball ref'!H217)-1))</f>
        <v>1.5</v>
      </c>
      <c r="Q196" s="64">
        <f>(D196-Math!B$14)/Math!B$15</f>
        <v>-0.87526204909533856</v>
      </c>
      <c r="R196" s="64">
        <f>(E196-Math!C$14)/Math!C$15</f>
        <v>-0.6082903373786368</v>
      </c>
      <c r="S196" s="64">
        <f>(F196-Math!D$14)/Math!D$15</f>
        <v>-0.38408342077440522</v>
      </c>
      <c r="T196" s="64">
        <f>(G196-Math!E$14)/Math!E$15</f>
        <v>-0.93219946237969076</v>
      </c>
      <c r="U196" s="64">
        <f>(H196-Math!F$14)/Math!F$15</f>
        <v>0.7100419363318089</v>
      </c>
      <c r="V196" s="64">
        <f>(I196-Math!G$14)/Math!G$15</f>
        <v>-0.97619316325498995</v>
      </c>
      <c r="W196" s="64">
        <f>(J196-Math!H$14)/Math!H$15</f>
        <v>-0.71969712476896219</v>
      </c>
      <c r="X196" s="64">
        <f>(-1)*(K196-Math!I$14)/Math!I$15</f>
        <v>0.47154947065522446</v>
      </c>
      <c r="Y196" s="64">
        <f>(L196-Math!J$14)/Math!J$15</f>
        <v>-0.67227722647286714</v>
      </c>
    </row>
    <row r="197" spans="1:25">
      <c r="A197" s="64" t="str">
        <f>IF((LEN('Bball ref'!B218)-LEN(SUBSTITUTE('Bball ref'!B218," ","")))&lt;2,'Bball ref'!B218,LEFT('Bball ref'!B218,FIND(" ",'Bball ref'!B218,FIND(" ",'Bball ref'!B218)+1)-1))</f>
        <v>Dennis Smith</v>
      </c>
      <c r="B197" s="64">
        <f>'Bball ref'!A218</f>
        <v>196</v>
      </c>
      <c r="C197" s="64">
        <f>'Bball ref'!E218</f>
        <v>70</v>
      </c>
      <c r="D197" s="64">
        <f>VALUE(LEFT('Bball ref'!G218,FIND("(",'Bball ref'!G218)-1))</f>
        <v>0.42</v>
      </c>
      <c r="E197" s="64">
        <f>VALUE(LEFT('Bball ref'!H218,(FIND("(",'Bball ref'!H218)-1)))</f>
        <v>0.64</v>
      </c>
      <c r="F197" s="64">
        <f>'Bball ref'!I218</f>
        <v>1.2</v>
      </c>
      <c r="G197" s="64">
        <f>'Bball ref'!K218</f>
        <v>2.8</v>
      </c>
      <c r="H197" s="64">
        <f>'Bball ref'!L218</f>
        <v>4.5999999999999996</v>
      </c>
      <c r="I197" s="64">
        <f>'Bball ref'!M218</f>
        <v>1.2</v>
      </c>
      <c r="J197" s="64">
        <f>'Bball ref'!N218</f>
        <v>0.4</v>
      </c>
      <c r="K197" s="64">
        <f>'Bball ref'!O218</f>
        <v>2.6</v>
      </c>
      <c r="L197" s="64">
        <f>'Bball ref'!J218</f>
        <v>13.1</v>
      </c>
      <c r="M197" s="64">
        <f>VALUE(MID('Bball ref'!G218,FIND("(",'Bball ref'!G218)+1,FIND("/",'Bball ref'!G218)-FIND("(",'Bball ref'!G218)-1))</f>
        <v>5</v>
      </c>
      <c r="N197" s="64">
        <f>VALUE(MID('Bball ref'!G218,FIND("/",'Bball ref'!G218)+1,FIND(")",'Bball ref'!G218)-FIND("/",'Bball ref'!G218)-1))</f>
        <v>11.8</v>
      </c>
      <c r="O197" s="64">
        <f>VALUE(MID('Bball ref'!H218,FIND("(",'Bball ref'!H218)+1,FIND("/",'Bball ref'!H218)-FIND("(",'Bball ref'!H218)-1))</f>
        <v>1.8</v>
      </c>
      <c r="P197" s="64">
        <f>VALUE(MID('Bball ref'!H218,FIND("/",'Bball ref'!H218)+1,FIND(")",'Bball ref'!H218)-FIND("/",'Bball ref'!H218)-1))</f>
        <v>2.8</v>
      </c>
      <c r="Q197" s="64">
        <f>(D197-Math!B$14)/Math!B$15</f>
        <v>-1.0601114786825276</v>
      </c>
      <c r="R197" s="64">
        <f>(E197-Math!C$14)/Math!C$15</f>
        <v>-1.6988507031969093</v>
      </c>
      <c r="S197" s="64">
        <f>(F197-Math!D$14)/Math!D$15</f>
        <v>-0.27619481943328023</v>
      </c>
      <c r="T197" s="64">
        <f>(G197-Math!E$14)/Math!E$15</f>
        <v>-1.1600746619836078</v>
      </c>
      <c r="U197" s="64">
        <f>(H197-Math!F$14)/Math!F$15</f>
        <v>0.65988001924725836</v>
      </c>
      <c r="V197" s="64">
        <f>(I197-Math!G$14)/Math!G$15</f>
        <v>0.6068227771585063</v>
      </c>
      <c r="W197" s="64">
        <f>(J197-Math!H$14)/Math!H$15</f>
        <v>-0.53563136395848565</v>
      </c>
      <c r="X197" s="64">
        <f>(-1)*(K197-Math!I$14)/Math!I$15</f>
        <v>-1.1382922499316042</v>
      </c>
      <c r="Y197" s="64">
        <f>(L197-Math!J$14)/Math!J$15</f>
        <v>-0.43167696647661297</v>
      </c>
    </row>
    <row r="198" spans="1:25">
      <c r="A198" s="64" t="str">
        <f>IF((LEN('Bball ref'!B219)-LEN(SUBSTITUTE('Bball ref'!B219," ","")))&lt;2,'Bball ref'!B219,LEFT('Bball ref'!B219,FIND(" ",'Bball ref'!B219,FIND(" ",'Bball ref'!B219)+1)-1))</f>
        <v>Meyers Leonard</v>
      </c>
      <c r="B198" s="64">
        <f>'Bball ref'!A219</f>
        <v>197</v>
      </c>
      <c r="C198" s="64">
        <f>'Bball ref'!E219</f>
        <v>70</v>
      </c>
      <c r="D198" s="64">
        <f>VALUE(LEFT('Bball ref'!G219,FIND("(",'Bball ref'!G219)-1))</f>
        <v>0.56000000000000005</v>
      </c>
      <c r="E198" s="64">
        <f>VALUE(LEFT('Bball ref'!H219,(FIND("(",'Bball ref'!H219)-1)))</f>
        <v>0.91</v>
      </c>
      <c r="F198" s="64">
        <f>'Bball ref'!I219</f>
        <v>1.1000000000000001</v>
      </c>
      <c r="G198" s="64">
        <f>'Bball ref'!K219</f>
        <v>5.3</v>
      </c>
      <c r="H198" s="64">
        <f>'Bball ref'!L219</f>
        <v>1.7</v>
      </c>
      <c r="I198" s="64">
        <f>'Bball ref'!M219</f>
        <v>0.3</v>
      </c>
      <c r="J198" s="64">
        <f>'Bball ref'!N219</f>
        <v>0.1</v>
      </c>
      <c r="K198" s="64">
        <f>'Bball ref'!O219</f>
        <v>0.9</v>
      </c>
      <c r="L198" s="64">
        <f>'Bball ref'!J219</f>
        <v>8.1999999999999993</v>
      </c>
      <c r="M198" s="64">
        <f>VALUE(MID('Bball ref'!G219,FIND("(",'Bball ref'!G219)+1,FIND("/",'Bball ref'!G219)-FIND("(",'Bball ref'!G219)-1))</f>
        <v>3.1</v>
      </c>
      <c r="N198" s="64">
        <f>VALUE(MID('Bball ref'!G219,FIND("/",'Bball ref'!G219)+1,FIND(")",'Bball ref'!G219)-FIND("/",'Bball ref'!G219)-1))</f>
        <v>5.5</v>
      </c>
      <c r="O198" s="64">
        <f>VALUE(MID('Bball ref'!H219,FIND("(",'Bball ref'!H219)+1,FIND("/",'Bball ref'!H219)-FIND("(",'Bball ref'!H219)-1))</f>
        <v>1</v>
      </c>
      <c r="P198" s="64">
        <f>VALUE(MID('Bball ref'!H219,FIND("/",'Bball ref'!H219)+1,FIND(")",'Bball ref'!H219)-FIND("/",'Bball ref'!H219)-1))</f>
        <v>1.1000000000000001</v>
      </c>
      <c r="Q198" s="64">
        <f>(D198-Math!B$14)/Math!B$15</f>
        <v>1.5277805355381187</v>
      </c>
      <c r="R198" s="64">
        <f>(E198-Math!C$14)/Math!C$15</f>
        <v>1.5728303942579092</v>
      </c>
      <c r="S198" s="64">
        <f>(F198-Math!D$14)/Math!D$15</f>
        <v>-0.38408342077440522</v>
      </c>
      <c r="T198" s="64">
        <f>(G198-Math!E$14)/Math!E$15</f>
        <v>-0.21059466363395388</v>
      </c>
      <c r="U198" s="64">
        <f>(H198-Math!F$14)/Math!F$15</f>
        <v>-0.79481557620469967</v>
      </c>
      <c r="V198" s="64">
        <f>(I198-Math!G$14)/Math!G$15</f>
        <v>-1.7677011334617379</v>
      </c>
      <c r="W198" s="64">
        <f>(J198-Math!H$14)/Math!H$15</f>
        <v>-1.0878286463899152</v>
      </c>
      <c r="X198" s="64">
        <f>(-1)*(K198-Math!I$14)/Math!I$15</f>
        <v>1.1423168542330695</v>
      </c>
      <c r="Y198" s="64">
        <f>(L198-Math!J$14)/Math!J$15</f>
        <v>-1.4141280281279847</v>
      </c>
    </row>
    <row r="199" spans="1:25">
      <c r="A199" s="64" t="str">
        <f>IF((LEN('Bball ref'!B220)-LEN(SUBSTITUTE('Bball ref'!B220," ","")))&lt;2,'Bball ref'!B220,LEFT('Bball ref'!B220,FIND(" ",'Bball ref'!B220,FIND(" ",'Bball ref'!B220)+1)-1))</f>
        <v>Will Barton</v>
      </c>
      <c r="B199" s="64">
        <f>'Bball ref'!A220</f>
        <v>198</v>
      </c>
      <c r="C199" s="64">
        <f>'Bball ref'!E220</f>
        <v>60</v>
      </c>
      <c r="D199" s="64">
        <f>VALUE(LEFT('Bball ref'!G220,FIND("(",'Bball ref'!G220)-1))</f>
        <v>0.4</v>
      </c>
      <c r="E199" s="64">
        <f>VALUE(LEFT('Bball ref'!H220,(FIND("(",'Bball ref'!H220)-1)))</f>
        <v>0.78</v>
      </c>
      <c r="F199" s="64">
        <f>'Bball ref'!I220</f>
        <v>1.7</v>
      </c>
      <c r="G199" s="64">
        <f>'Bball ref'!K220</f>
        <v>4.9000000000000004</v>
      </c>
      <c r="H199" s="64">
        <f>'Bball ref'!L220</f>
        <v>3.1</v>
      </c>
      <c r="I199" s="64">
        <f>'Bball ref'!M220</f>
        <v>0.4</v>
      </c>
      <c r="J199" s="64">
        <f>'Bball ref'!N220</f>
        <v>0.5</v>
      </c>
      <c r="K199" s="64">
        <f>'Bball ref'!O220</f>
        <v>1.5</v>
      </c>
      <c r="L199" s="64">
        <f>'Bball ref'!J220</f>
        <v>12.3</v>
      </c>
      <c r="M199" s="64">
        <f>VALUE(MID('Bball ref'!G220,FIND("(",'Bball ref'!G220)+1,FIND("/",'Bball ref'!G220)-FIND("(",'Bball ref'!G220)-1))</f>
        <v>4.5999999999999996</v>
      </c>
      <c r="N199" s="64">
        <f>VALUE(MID('Bball ref'!G220,FIND("/",'Bball ref'!G220)+1,FIND(")",'Bball ref'!G220)-FIND("/",'Bball ref'!G220)-1))</f>
        <v>11.4</v>
      </c>
      <c r="O199" s="64">
        <f>VALUE(MID('Bball ref'!H220,FIND("(",'Bball ref'!H220)+1,FIND("/",'Bball ref'!H220)-FIND("(",'Bball ref'!H220)-1))</f>
        <v>1.4</v>
      </c>
      <c r="P199" s="64">
        <f>VALUE(MID('Bball ref'!H220,FIND("/",'Bball ref'!H220)+1,FIND(")",'Bball ref'!H220)-FIND("/",'Bball ref'!H220)-1))</f>
        <v>1.8</v>
      </c>
      <c r="Q199" s="64">
        <f>(D199-Math!B$14)/Math!B$15</f>
        <v>-1.4298103378569049</v>
      </c>
      <c r="R199" s="64">
        <f>(E199-Math!C$14)/Math!C$15</f>
        <v>-2.4234674795958946E-3</v>
      </c>
      <c r="S199" s="64">
        <f>(F199-Math!D$14)/Math!D$15</f>
        <v>0.26324818727234567</v>
      </c>
      <c r="T199" s="64">
        <f>(G199-Math!E$14)/Math!E$15</f>
        <v>-0.36251146336989831</v>
      </c>
      <c r="U199" s="64">
        <f>(H199-Math!F$14)/Math!F$15</f>
        <v>-9.2548737020995669E-2</v>
      </c>
      <c r="V199" s="64">
        <f>(I199-Math!G$14)/Math!G$15</f>
        <v>-1.5038651433928218</v>
      </c>
      <c r="W199" s="64">
        <f>(J199-Math!H$14)/Math!H$15</f>
        <v>-0.35156560314800916</v>
      </c>
      <c r="X199" s="64">
        <f>(-1)*(K199-Math!I$14)/Math!I$15</f>
        <v>0.3373959939396553</v>
      </c>
      <c r="Y199" s="64">
        <f>(L199-Math!J$14)/Math!J$15</f>
        <v>-0.59207713980744892</v>
      </c>
    </row>
    <row r="200" spans="1:25">
      <c r="A200" s="64" t="str">
        <f>IF((LEN('Bball ref'!B221)-LEN(SUBSTITUTE('Bball ref'!B221," ","")))&lt;2,'Bball ref'!B221,LEFT('Bball ref'!B221,FIND(" ",'Bball ref'!B221,FIND(" ",'Bball ref'!B221)+1)-1))</f>
        <v>PJ Washington</v>
      </c>
      <c r="B200" s="64">
        <f>'Bball ref'!A221</f>
        <v>199</v>
      </c>
      <c r="C200" s="64">
        <f>'Bball ref'!E221</f>
        <v>70</v>
      </c>
      <c r="D200" s="64">
        <f>VALUE(LEFT('Bball ref'!G221,FIND("(",'Bball ref'!G221)-1))</f>
        <v>0.47</v>
      </c>
      <c r="E200" s="64">
        <f>VALUE(LEFT('Bball ref'!H221,(FIND("(",'Bball ref'!H221)-1)))</f>
        <v>0.69</v>
      </c>
      <c r="F200" s="64">
        <f>'Bball ref'!I221</f>
        <v>0.7</v>
      </c>
      <c r="G200" s="64">
        <f>'Bball ref'!K221</f>
        <v>6.1</v>
      </c>
      <c r="H200" s="64">
        <f>'Bball ref'!L221</f>
        <v>1.6</v>
      </c>
      <c r="I200" s="64">
        <f>'Bball ref'!M221</f>
        <v>0.7</v>
      </c>
      <c r="J200" s="64">
        <f>'Bball ref'!N221</f>
        <v>0.8</v>
      </c>
      <c r="K200" s="64">
        <f>'Bball ref'!O221</f>
        <v>1.5</v>
      </c>
      <c r="L200" s="64">
        <f>'Bball ref'!J221</f>
        <v>10.8</v>
      </c>
      <c r="M200" s="64">
        <f>VALUE(MID('Bball ref'!G221,FIND("(",'Bball ref'!G221)+1,FIND("/",'Bball ref'!G221)-FIND("(",'Bball ref'!G221)-1))</f>
        <v>4</v>
      </c>
      <c r="N200" s="64">
        <f>VALUE(MID('Bball ref'!G221,FIND("/",'Bball ref'!G221)+1,FIND(")",'Bball ref'!G221)-FIND("/",'Bball ref'!G221)-1))</f>
        <v>8.6</v>
      </c>
      <c r="O200" s="64">
        <f>VALUE(MID('Bball ref'!H221,FIND("(",'Bball ref'!H221)+1,FIND("/",'Bball ref'!H221)-FIND("(",'Bball ref'!H221)-1))</f>
        <v>2.2000000000000002</v>
      </c>
      <c r="P200" s="64">
        <f>VALUE(MID('Bball ref'!H221,FIND("/",'Bball ref'!H221)+1,FIND(")",'Bball ref'!H221)-FIND("/",'Bball ref'!H221)-1))</f>
        <v>3.2</v>
      </c>
      <c r="Q200" s="64">
        <f>(D200-Math!B$14)/Math!B$15</f>
        <v>-0.13586433074658327</v>
      </c>
      <c r="R200" s="64">
        <f>(E200-Math!C$14)/Math!C$15</f>
        <v>-1.0929838332978696</v>
      </c>
      <c r="S200" s="64">
        <f>(F200-Math!D$14)/Math!D$15</f>
        <v>-0.81563782613890612</v>
      </c>
      <c r="T200" s="64">
        <f>(G200-Math!E$14)/Math!E$15</f>
        <v>9.3238935837935272E-2</v>
      </c>
      <c r="U200" s="64">
        <f>(H200-Math!F$14)/Math!F$15</f>
        <v>-0.84497749328924998</v>
      </c>
      <c r="V200" s="64">
        <f>(I200-Math!G$14)/Math!G$15</f>
        <v>-0.71235717318607394</v>
      </c>
      <c r="W200" s="64">
        <f>(J200-Math!H$14)/Math!H$15</f>
        <v>0.20063167928342035</v>
      </c>
      <c r="X200" s="64">
        <f>(-1)*(K200-Math!I$14)/Math!I$15</f>
        <v>0.3373959939396553</v>
      </c>
      <c r="Y200" s="64">
        <f>(L200-Math!J$14)/Math!J$15</f>
        <v>-0.89282746480276676</v>
      </c>
    </row>
    <row r="201" spans="1:25">
      <c r="A201" s="64" t="str">
        <f>IF((LEN('Bball ref'!B222)-LEN(SUBSTITUTE('Bball ref'!B222," ","")))&lt;2,'Bball ref'!B222,LEFT('Bball ref'!B222,FIND(" ",'Bball ref'!B222,FIND(" ",'Bball ref'!B222)+1)-1))</f>
        <v>Luke Kennard</v>
      </c>
      <c r="B201" s="64">
        <f>'Bball ref'!A222</f>
        <v>200</v>
      </c>
      <c r="C201" s="64">
        <f>'Bball ref'!E222</f>
        <v>68</v>
      </c>
      <c r="D201" s="64">
        <f>VALUE(LEFT('Bball ref'!G222,FIND("(",'Bball ref'!G222)-1))</f>
        <v>0.45</v>
      </c>
      <c r="E201" s="64">
        <f>VALUE(LEFT('Bball ref'!H222,(FIND("(",'Bball ref'!H222)-1)))</f>
        <v>0.75</v>
      </c>
      <c r="F201" s="64">
        <f>'Bball ref'!I222</f>
        <v>2</v>
      </c>
      <c r="G201" s="64">
        <f>'Bball ref'!K222</f>
        <v>3.3</v>
      </c>
      <c r="H201" s="64">
        <f>'Bball ref'!L222</f>
        <v>2.1</v>
      </c>
      <c r="I201" s="64">
        <f>'Bball ref'!M222</f>
        <v>0.4</v>
      </c>
      <c r="J201" s="64">
        <f>'Bball ref'!N222</f>
        <v>0.1</v>
      </c>
      <c r="K201" s="64">
        <f>'Bball ref'!O222</f>
        <v>1</v>
      </c>
      <c r="L201" s="64">
        <f>'Bball ref'!J222</f>
        <v>11.9</v>
      </c>
      <c r="M201" s="64">
        <f>VALUE(MID('Bball ref'!G222,FIND("(",'Bball ref'!G222)+1,FIND("/",'Bball ref'!G222)-FIND("(",'Bball ref'!G222)-1))</f>
        <v>4.5</v>
      </c>
      <c r="N201" s="64">
        <f>VALUE(MID('Bball ref'!G222,FIND("/",'Bball ref'!G222)+1,FIND(")",'Bball ref'!G222)-FIND("/",'Bball ref'!G222)-1))</f>
        <v>9.9</v>
      </c>
      <c r="O201" s="64">
        <f>VALUE(MID('Bball ref'!H222,FIND("(",'Bball ref'!H222)+1,FIND("/",'Bball ref'!H222)-FIND("(",'Bball ref'!H222)-1))</f>
        <v>0.9</v>
      </c>
      <c r="P201" s="64">
        <f>VALUE(MID('Bball ref'!H222,FIND("/",'Bball ref'!H222)+1,FIND(")",'Bball ref'!H222)-FIND("/",'Bball ref'!H222)-1))</f>
        <v>1.2</v>
      </c>
      <c r="Q201" s="64">
        <f>(D201-Math!B$14)/Math!B$15</f>
        <v>-0.50556318992096039</v>
      </c>
      <c r="R201" s="64">
        <f>(E201-Math!C$14)/Math!C$15</f>
        <v>-0.3659435894190205</v>
      </c>
      <c r="S201" s="64">
        <f>(F201-Math!D$14)/Math!D$15</f>
        <v>0.58691399129572119</v>
      </c>
      <c r="T201" s="64">
        <f>(G201-Math!E$14)/Math!E$15</f>
        <v>-0.97017866231367689</v>
      </c>
      <c r="U201" s="64">
        <f>(H201-Math!F$14)/Math!F$15</f>
        <v>-0.59416790786649853</v>
      </c>
      <c r="V201" s="64">
        <f>(I201-Math!G$14)/Math!G$15</f>
        <v>-1.5038651433928218</v>
      </c>
      <c r="W201" s="64">
        <f>(J201-Math!H$14)/Math!H$15</f>
        <v>-1.0878286463899152</v>
      </c>
      <c r="X201" s="64">
        <f>(-1)*(K201-Math!I$14)/Math!I$15</f>
        <v>1.0081633775175005</v>
      </c>
      <c r="Y201" s="64">
        <f>(L201-Math!J$14)/Math!J$15</f>
        <v>-0.67227722647286714</v>
      </c>
    </row>
    <row r="202" spans="1:25">
      <c r="A202" s="64"/>
      <c r="B202" s="64"/>
      <c r="C202" s="64"/>
      <c r="D202" s="64"/>
      <c r="E202" s="64"/>
      <c r="F202" s="64"/>
      <c r="G202" s="64"/>
      <c r="H202" s="64"/>
      <c r="I202" s="64"/>
      <c r="J202" s="64"/>
      <c r="K202" s="64"/>
      <c r="L202" s="64"/>
      <c r="M202" s="64"/>
      <c r="N202" s="64"/>
      <c r="O202" s="64"/>
      <c r="P202" s="64"/>
      <c r="Q202" s="64"/>
      <c r="R202" s="64"/>
      <c r="S202" s="64"/>
      <c r="T202" s="64"/>
      <c r="U202" s="64"/>
      <c r="V202" s="64"/>
      <c r="W202" s="64"/>
      <c r="X202" s="64"/>
      <c r="Y202" s="64"/>
    </row>
    <row r="203" spans="1:25">
      <c r="A203" s="64"/>
      <c r="B203" s="64"/>
      <c r="C203" s="64"/>
      <c r="D203" s="64"/>
      <c r="E203" s="64"/>
      <c r="F203" s="64"/>
      <c r="G203" s="64"/>
      <c r="H203" s="64"/>
      <c r="I203" s="64"/>
      <c r="J203" s="64"/>
      <c r="K203" s="64"/>
      <c r="L203" s="64"/>
      <c r="M203" s="64"/>
      <c r="N203" s="64"/>
      <c r="O203" s="64"/>
      <c r="P203" s="64"/>
      <c r="Q203" s="64"/>
      <c r="R203" s="64"/>
      <c r="S203" s="64"/>
      <c r="T203" s="64"/>
      <c r="U203" s="64"/>
      <c r="V203" s="64"/>
      <c r="W203" s="64"/>
      <c r="X203" s="64"/>
      <c r="Y203" s="64"/>
    </row>
    <row r="204" spans="1:25">
      <c r="A204" s="64"/>
      <c r="B204" s="64"/>
      <c r="C204" s="64"/>
      <c r="D204" s="64"/>
      <c r="E204" s="64"/>
      <c r="F204" s="64"/>
      <c r="G204" s="64"/>
      <c r="H204" s="64"/>
      <c r="I204" s="64"/>
      <c r="J204" s="64"/>
      <c r="K204" s="64"/>
      <c r="L204" s="64"/>
      <c r="M204" s="64"/>
      <c r="N204" s="64"/>
      <c r="O204" s="64"/>
      <c r="P204" s="64"/>
      <c r="Q204" s="64"/>
      <c r="R204" s="64"/>
      <c r="S204" s="64"/>
      <c r="T204" s="64"/>
      <c r="U204" s="64"/>
      <c r="V204" s="64"/>
      <c r="W204" s="64"/>
      <c r="X204" s="64"/>
      <c r="Y204" s="64"/>
    </row>
    <row r="205" spans="1:25">
      <c r="A205" s="64"/>
      <c r="B205" s="64"/>
      <c r="C205" s="64"/>
      <c r="D205" s="64"/>
      <c r="E205" s="64"/>
      <c r="F205" s="64"/>
      <c r="G205" s="64"/>
      <c r="H205" s="64"/>
      <c r="I205" s="64"/>
      <c r="J205" s="64"/>
      <c r="K205" s="64"/>
      <c r="L205" s="64"/>
      <c r="M205" s="64"/>
      <c r="N205" s="64"/>
      <c r="O205" s="64"/>
      <c r="P205" s="64"/>
      <c r="Q205" s="64"/>
      <c r="R205" s="64"/>
      <c r="S205" s="64"/>
      <c r="T205" s="64"/>
      <c r="U205" s="64"/>
      <c r="V205" s="64"/>
      <c r="W205" s="64"/>
      <c r="X205" s="64"/>
      <c r="Y205" s="64"/>
    </row>
    <row r="206" spans="1:25">
      <c r="A206" s="64"/>
      <c r="B206" s="64"/>
      <c r="C206" s="64"/>
      <c r="D206" s="64"/>
      <c r="E206" s="64"/>
      <c r="F206" s="64"/>
      <c r="G206" s="64"/>
      <c r="H206" s="64"/>
      <c r="I206" s="64"/>
      <c r="J206" s="64"/>
      <c r="K206" s="64"/>
      <c r="L206" s="64"/>
      <c r="M206" s="64"/>
      <c r="N206" s="64"/>
      <c r="O206" s="64"/>
      <c r="P206" s="64"/>
      <c r="Q206" s="64"/>
      <c r="R206" s="64"/>
      <c r="S206" s="64"/>
      <c r="T206" s="64"/>
      <c r="U206" s="64"/>
      <c r="V206" s="64"/>
      <c r="W206" s="64"/>
      <c r="X206" s="64"/>
      <c r="Y206" s="64"/>
    </row>
    <row r="207" spans="1:25">
      <c r="A207" s="64"/>
      <c r="B207" s="64"/>
      <c r="C207" s="64"/>
      <c r="D207" s="64"/>
      <c r="E207" s="64"/>
      <c r="F207" s="64"/>
      <c r="G207" s="64"/>
      <c r="H207" s="64"/>
      <c r="I207" s="64"/>
      <c r="J207" s="64"/>
      <c r="K207" s="64"/>
      <c r="L207" s="64"/>
      <c r="M207" s="64"/>
      <c r="N207" s="64"/>
      <c r="O207" s="64"/>
      <c r="P207" s="64"/>
      <c r="Q207" s="64"/>
      <c r="R207" s="64"/>
      <c r="S207" s="64"/>
      <c r="T207" s="64"/>
      <c r="U207" s="64"/>
      <c r="V207" s="64"/>
      <c r="W207" s="64"/>
      <c r="X207" s="64"/>
      <c r="Y207" s="64"/>
    </row>
    <row r="208" spans="1:25">
      <c r="A208" s="64"/>
      <c r="B208" s="64"/>
      <c r="C208" s="64"/>
      <c r="D208" s="64"/>
      <c r="E208" s="64"/>
      <c r="F208" s="64"/>
      <c r="G208" s="64"/>
      <c r="H208" s="64"/>
      <c r="I208" s="64"/>
      <c r="J208" s="64"/>
      <c r="K208" s="64"/>
      <c r="L208" s="64"/>
      <c r="M208" s="64"/>
      <c r="N208" s="64"/>
      <c r="O208" s="64"/>
      <c r="P208" s="64"/>
      <c r="Q208" s="64"/>
      <c r="R208" s="64"/>
      <c r="S208" s="64"/>
      <c r="T208" s="64"/>
      <c r="U208" s="64"/>
      <c r="V208" s="64"/>
      <c r="W208" s="64"/>
      <c r="X208" s="64"/>
      <c r="Y208" s="64"/>
    </row>
    <row r="209" spans="1:25">
      <c r="A209" s="64"/>
      <c r="B209" s="64"/>
      <c r="C209" s="64"/>
      <c r="D209" s="64"/>
      <c r="E209" s="64"/>
      <c r="F209" s="64"/>
      <c r="G209" s="64"/>
      <c r="H209" s="64"/>
      <c r="I209" s="64"/>
      <c r="J209" s="64"/>
      <c r="K209" s="64"/>
      <c r="L209" s="64"/>
      <c r="M209" s="64"/>
      <c r="N209" s="64"/>
      <c r="O209" s="64"/>
      <c r="P209" s="64"/>
      <c r="Q209" s="64"/>
      <c r="R209" s="64"/>
      <c r="S209" s="64"/>
      <c r="T209" s="64"/>
      <c r="U209" s="64"/>
      <c r="V209" s="64"/>
      <c r="W209" s="64"/>
      <c r="X209" s="64"/>
      <c r="Y209" s="64"/>
    </row>
    <row r="210" spans="1:25">
      <c r="A210" s="64"/>
      <c r="B210" s="64"/>
      <c r="C210" s="64"/>
      <c r="D210" s="64"/>
      <c r="E210" s="64"/>
      <c r="F210" s="64"/>
      <c r="G210" s="64"/>
      <c r="H210" s="64"/>
      <c r="I210" s="64"/>
      <c r="J210" s="64"/>
      <c r="K210" s="64"/>
      <c r="L210" s="64"/>
      <c r="M210" s="64"/>
      <c r="N210" s="64"/>
      <c r="O210" s="64"/>
      <c r="P210" s="64"/>
      <c r="Q210" s="64"/>
      <c r="R210" s="64"/>
      <c r="S210" s="64"/>
      <c r="T210" s="64"/>
      <c r="U210" s="64"/>
      <c r="V210" s="64"/>
      <c r="W210" s="64"/>
      <c r="X210" s="64"/>
      <c r="Y210" s="64"/>
    </row>
    <row r="211" spans="1:25">
      <c r="A211" s="64"/>
      <c r="B211" s="64"/>
      <c r="C211" s="64"/>
      <c r="D211" s="64"/>
      <c r="E211" s="64"/>
      <c r="F211" s="64"/>
      <c r="G211" s="64"/>
      <c r="H211" s="64"/>
      <c r="I211" s="64"/>
      <c r="J211" s="64"/>
      <c r="K211" s="64"/>
      <c r="L211" s="64"/>
      <c r="M211" s="64"/>
      <c r="N211" s="64"/>
      <c r="O211" s="64"/>
      <c r="P211" s="64"/>
      <c r="Q211" s="64"/>
      <c r="R211" s="64"/>
      <c r="S211" s="64"/>
      <c r="T211" s="64"/>
      <c r="U211" s="64"/>
      <c r="V211" s="64"/>
      <c r="W211" s="64"/>
      <c r="X211" s="64"/>
      <c r="Y211" s="64"/>
    </row>
    <row r="212" spans="1:25">
      <c r="A212" s="64"/>
      <c r="B212" s="64"/>
      <c r="C212" s="64"/>
      <c r="D212" s="64"/>
      <c r="E212" s="64"/>
      <c r="F212" s="64"/>
      <c r="G212" s="64"/>
      <c r="H212" s="64"/>
      <c r="I212" s="64"/>
      <c r="J212" s="64"/>
      <c r="K212" s="64"/>
      <c r="L212" s="64"/>
      <c r="M212" s="64"/>
      <c r="N212" s="64"/>
      <c r="O212" s="64"/>
      <c r="P212" s="64"/>
      <c r="Q212" s="64"/>
      <c r="R212" s="64"/>
      <c r="S212" s="64"/>
      <c r="T212" s="64"/>
      <c r="U212" s="64"/>
      <c r="V212" s="64"/>
      <c r="W212" s="64"/>
      <c r="X212" s="64"/>
      <c r="Y212" s="64"/>
    </row>
    <row r="213" spans="1:25">
      <c r="A213" s="64"/>
      <c r="B213" s="64"/>
      <c r="C213" s="64"/>
      <c r="D213" s="64"/>
      <c r="E213" s="64"/>
      <c r="F213" s="64"/>
      <c r="G213" s="64"/>
      <c r="H213" s="64"/>
      <c r="I213" s="64"/>
      <c r="J213" s="64"/>
      <c r="K213" s="64"/>
      <c r="L213" s="64"/>
      <c r="M213" s="64"/>
      <c r="N213" s="64"/>
      <c r="O213" s="64"/>
      <c r="P213" s="64"/>
      <c r="Q213" s="64"/>
      <c r="R213" s="64"/>
      <c r="S213" s="64"/>
      <c r="T213" s="64"/>
      <c r="U213" s="64"/>
      <c r="V213" s="64"/>
      <c r="W213" s="64"/>
      <c r="X213" s="64"/>
      <c r="Y213" s="64"/>
    </row>
    <row r="214" spans="1:25">
      <c r="A214" s="64"/>
      <c r="B214" s="64"/>
      <c r="C214" s="64"/>
      <c r="D214" s="64"/>
      <c r="E214" s="64"/>
      <c r="F214" s="64"/>
      <c r="G214" s="64"/>
      <c r="H214" s="64"/>
      <c r="I214" s="64"/>
      <c r="J214" s="64"/>
      <c r="K214" s="64"/>
      <c r="L214" s="64"/>
      <c r="M214" s="64"/>
      <c r="N214" s="64"/>
      <c r="O214" s="64"/>
      <c r="P214" s="64"/>
      <c r="Q214" s="64"/>
      <c r="R214" s="64"/>
      <c r="S214" s="64"/>
      <c r="T214" s="64"/>
      <c r="U214" s="64"/>
      <c r="V214" s="64"/>
      <c r="W214" s="64"/>
      <c r="X214" s="64"/>
      <c r="Y214" s="64"/>
    </row>
    <row r="215" spans="1:25">
      <c r="A215" s="64"/>
      <c r="B215" s="64"/>
      <c r="C215" s="64"/>
      <c r="D215" s="64"/>
      <c r="E215" s="64"/>
      <c r="F215" s="64"/>
      <c r="G215" s="64"/>
      <c r="H215" s="64"/>
      <c r="I215" s="64"/>
      <c r="J215" s="64"/>
      <c r="K215" s="64"/>
      <c r="L215" s="64"/>
      <c r="M215" s="64"/>
      <c r="N215" s="64"/>
      <c r="O215" s="64"/>
      <c r="P215" s="64"/>
      <c r="Q215" s="64"/>
      <c r="R215" s="64"/>
      <c r="S215" s="64"/>
      <c r="T215" s="64"/>
      <c r="U215" s="64"/>
      <c r="V215" s="64"/>
      <c r="W215" s="64"/>
      <c r="X215" s="64"/>
      <c r="Y215" s="64"/>
    </row>
    <row r="216" spans="1:25">
      <c r="A216" s="64"/>
      <c r="B216" s="64"/>
      <c r="C216" s="64"/>
      <c r="D216" s="64"/>
      <c r="E216" s="64"/>
      <c r="F216" s="64"/>
      <c r="G216" s="64"/>
      <c r="H216" s="64"/>
      <c r="I216" s="64"/>
      <c r="J216" s="64"/>
      <c r="K216" s="64"/>
      <c r="L216" s="64"/>
      <c r="M216" s="64"/>
      <c r="N216" s="64"/>
      <c r="O216" s="64"/>
      <c r="P216" s="64"/>
      <c r="Q216" s="64"/>
      <c r="R216" s="64"/>
      <c r="S216" s="64"/>
      <c r="T216" s="64"/>
      <c r="U216" s="64"/>
      <c r="V216" s="64"/>
      <c r="W216" s="64"/>
      <c r="X216" s="64"/>
      <c r="Y216" s="64"/>
    </row>
    <row r="217" spans="1:25">
      <c r="A217" s="64"/>
      <c r="B217" s="64"/>
      <c r="C217" s="64"/>
      <c r="D217" s="64"/>
      <c r="E217" s="64"/>
      <c r="F217" s="64"/>
      <c r="G217" s="64"/>
      <c r="H217" s="64"/>
      <c r="I217" s="64"/>
      <c r="J217" s="64"/>
      <c r="K217" s="64"/>
      <c r="L217" s="64"/>
      <c r="M217" s="64"/>
      <c r="N217" s="64"/>
      <c r="O217" s="64"/>
      <c r="P217" s="64"/>
      <c r="Q217" s="64"/>
      <c r="R217" s="64"/>
      <c r="S217" s="64"/>
      <c r="T217" s="64"/>
      <c r="U217" s="64"/>
      <c r="V217" s="64"/>
      <c r="W217" s="64"/>
      <c r="X217" s="64"/>
      <c r="Y217" s="64"/>
    </row>
    <row r="218" spans="1:25">
      <c r="A218" s="64"/>
      <c r="B218" s="64"/>
      <c r="C218" s="64"/>
      <c r="D218" s="64"/>
      <c r="E218" s="64"/>
      <c r="F218" s="64"/>
      <c r="G218" s="64"/>
      <c r="H218" s="64"/>
      <c r="I218" s="64"/>
      <c r="J218" s="64"/>
      <c r="K218" s="64"/>
      <c r="L218" s="64"/>
      <c r="M218" s="64"/>
      <c r="N218" s="64"/>
      <c r="O218" s="64"/>
      <c r="P218" s="64"/>
      <c r="Q218" s="64"/>
      <c r="R218" s="64"/>
      <c r="S218" s="64"/>
      <c r="T218" s="64"/>
      <c r="U218" s="64"/>
      <c r="V218" s="64"/>
      <c r="W218" s="64"/>
      <c r="X218" s="64"/>
      <c r="Y218" s="64"/>
    </row>
    <row r="219" spans="1:25">
      <c r="A219" s="64"/>
      <c r="B219" s="64"/>
      <c r="C219" s="64"/>
      <c r="D219" s="64"/>
      <c r="E219" s="64"/>
      <c r="F219" s="64"/>
      <c r="G219" s="64"/>
      <c r="H219" s="64"/>
      <c r="I219" s="64"/>
      <c r="J219" s="64"/>
      <c r="K219" s="64"/>
      <c r="L219" s="64"/>
      <c r="M219" s="64"/>
      <c r="N219" s="64"/>
      <c r="O219" s="64"/>
      <c r="P219" s="64"/>
      <c r="Q219" s="64"/>
      <c r="R219" s="64"/>
      <c r="S219" s="64"/>
      <c r="T219" s="64"/>
      <c r="U219" s="64"/>
      <c r="V219" s="64"/>
      <c r="W219" s="64"/>
      <c r="X219" s="64"/>
      <c r="Y219" s="64"/>
    </row>
    <row r="220" spans="1:25">
      <c r="A220" s="64"/>
      <c r="B220" s="64"/>
      <c r="C220" s="64"/>
      <c r="D220" s="64"/>
      <c r="E220" s="64"/>
      <c r="F220" s="64"/>
      <c r="G220" s="64"/>
      <c r="H220" s="64"/>
      <c r="I220" s="64"/>
      <c r="J220" s="64"/>
      <c r="K220" s="64"/>
      <c r="L220" s="64"/>
      <c r="M220" s="64"/>
      <c r="N220" s="64"/>
      <c r="O220" s="64"/>
      <c r="P220" s="64"/>
      <c r="Q220" s="64"/>
      <c r="R220" s="64"/>
      <c r="S220" s="64"/>
      <c r="T220" s="64"/>
      <c r="U220" s="64"/>
      <c r="V220" s="64"/>
      <c r="W220" s="64"/>
      <c r="X220" s="64"/>
      <c r="Y220" s="64"/>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F59DA-AC25-8D44-A38B-257D672C9DAE}">
  <sheetPr codeName="Sheet1"/>
  <dimension ref="A1:N9"/>
  <sheetViews>
    <sheetView workbookViewId="0">
      <selection activeCell="B27" sqref="B27"/>
    </sheetView>
  </sheetViews>
  <sheetFormatPr baseColWidth="10" defaultRowHeight="16"/>
  <cols>
    <col min="1" max="1" width="20" customWidth="1"/>
    <col min="2" max="14" width="22.83203125" customWidth="1"/>
  </cols>
  <sheetData>
    <row r="1" spans="1:14">
      <c r="A1" s="93" t="s">
        <v>636</v>
      </c>
      <c r="B1" s="7" t="str">
        <f>Arsh!A2</f>
        <v>jrue holiday</v>
      </c>
      <c r="C1" s="7" t="str">
        <f>Arsh!A3</f>
        <v>Rudy Gobert</v>
      </c>
      <c r="D1" s="7" t="str">
        <f>Arsh!A4</f>
        <v>Lamarcus aldridge</v>
      </c>
      <c r="E1" s="7" t="str">
        <f>Arsh!A5</f>
        <v>Mike Conley</v>
      </c>
      <c r="F1" s="7" t="str">
        <f>Arsh!A6</f>
        <v>Draymond Green</v>
      </c>
      <c r="G1" s="7" t="str">
        <f>Arsh!A7</f>
        <v>Kyle Lowry</v>
      </c>
      <c r="H1" s="7" t="str">
        <f>Arsh!A8</f>
        <v>Marcus Smart</v>
      </c>
      <c r="I1" s="7" t="str">
        <f>Arsh!A9</f>
        <v>Mikal Bridges</v>
      </c>
      <c r="J1" s="7" t="str">
        <f>Arsh!A10</f>
        <v>Delon Wright</v>
      </c>
      <c r="K1" s="7" t="str">
        <f>Arsh!A11</f>
        <v>malcolm brogdon</v>
      </c>
      <c r="L1" s="7" t="str">
        <f>Arsh!A12</f>
        <v>Tomas Satoransky</v>
      </c>
      <c r="M1" s="7" t="str">
        <f>Arsh!A13</f>
        <v>Reggie Jackson</v>
      </c>
      <c r="N1" s="7" t="str">
        <f>Arsh!A14</f>
        <v>javale mcgee</v>
      </c>
    </row>
    <row r="2" spans="1:14">
      <c r="A2" s="93" t="s">
        <v>637</v>
      </c>
      <c r="B2" s="7" t="str">
        <f>Joban!A2</f>
        <v>nikola jokic</v>
      </c>
      <c r="C2" s="7" t="str">
        <f>Joban!A3</f>
        <v>james harden</v>
      </c>
      <c r="D2" s="7" t="str">
        <f>Joban!A4</f>
        <v>karl-anthony towns</v>
      </c>
      <c r="E2" s="7" t="str">
        <f>Joban!A5</f>
        <v>Robert Covington</v>
      </c>
      <c r="F2" s="7" t="str">
        <f>Joban!A6</f>
        <v>Mitchell Robinson</v>
      </c>
      <c r="G2" s="7" t="str">
        <f>Joban!A7</f>
        <v>Kristaps Porzingis</v>
      </c>
      <c r="H2" s="7" t="str">
        <f>Joban!A8</f>
        <v>enes kanter</v>
      </c>
      <c r="I2" s="7" t="str">
        <f>Joban!A9</f>
        <v>caris levert</v>
      </c>
      <c r="J2" s="7" t="str">
        <f>Joban!A10</f>
        <v>Bam Adebayo</v>
      </c>
      <c r="K2" s="7" t="str">
        <f>Joban!A11</f>
        <v>Kelly Oubre</v>
      </c>
      <c r="L2" s="7" t="str">
        <f>Joban!A12</f>
        <v>Jonathan Isaac</v>
      </c>
      <c r="M2" s="7" t="str">
        <f>Joban!A13</f>
        <v>shai gilgeous-alexander</v>
      </c>
      <c r="N2" s="7" t="str">
        <f>Joban!A14</f>
        <v>Gary Harris</v>
      </c>
    </row>
    <row r="3" spans="1:14">
      <c r="A3" s="93" t="s">
        <v>638</v>
      </c>
      <c r="B3" s="7" t="str">
        <f>Sartaj!A2</f>
        <v>kawhi leonard</v>
      </c>
      <c r="C3" s="7" t="str">
        <f>Sartaj!A3</f>
        <v>Damian Lillard</v>
      </c>
      <c r="D3" s="7" t="str">
        <f>Sartaj!A4</f>
        <v>Chris Paul</v>
      </c>
      <c r="E3" s="7" t="str">
        <f>Sartaj!A5</f>
        <v>John Collins</v>
      </c>
      <c r="F3" s="7" t="str">
        <f>Sartaj!A6</f>
        <v>Danilo Gallinari</v>
      </c>
      <c r="G3" s="7" t="str">
        <f>Sartaj!A7</f>
        <v>Zion Williamson</v>
      </c>
      <c r="H3" s="7" t="str">
        <f>Sartaj!A8</f>
        <v>Jonas Valanciunas</v>
      </c>
      <c r="I3" s="7" t="str">
        <f>Sartaj!A9</f>
        <v>josh richardson</v>
      </c>
      <c r="J3" s="7" t="str">
        <f>Sartaj!A10</f>
        <v>Derrick Favors</v>
      </c>
      <c r="K3" s="7" t="str">
        <f>Sartaj!A11</f>
        <v>Dewayne Dedmon</v>
      </c>
      <c r="L3" s="7" t="str">
        <f>Sartaj!A12</f>
        <v>robert williams</v>
      </c>
      <c r="M3" s="7" t="str">
        <f>Sartaj!A13</f>
        <v>Patrick Beverley</v>
      </c>
      <c r="N3" s="7" t="str">
        <f>Sartaj!A14</f>
        <v>nerlens noel</v>
      </c>
    </row>
    <row r="4" spans="1:14">
      <c r="A4" s="93" t="s">
        <v>639</v>
      </c>
      <c r="B4" s="7" t="str">
        <f>Harvir!A2</f>
        <v>kyrie irving</v>
      </c>
      <c r="C4" s="7" t="str">
        <f>Harvir!A3</f>
        <v>Bradley Beal</v>
      </c>
      <c r="D4" s="7" t="str">
        <f>Harvir!A4</f>
        <v>kemba walker</v>
      </c>
      <c r="E4" s="7" t="str">
        <f>Harvir!A5</f>
        <v>donovan mitchell</v>
      </c>
      <c r="F4" s="7" t="str">
        <f>Harvir!A6</f>
        <v>Kevin Love</v>
      </c>
      <c r="G4" s="7" t="str">
        <f>Harvir!A7</f>
        <v>Jeremy Lamb</v>
      </c>
      <c r="H4" s="7" t="str">
        <f>Harvir!A8</f>
        <v>eric bledsoe</v>
      </c>
      <c r="I4" s="7" t="str">
        <f>Harvir!A9</f>
        <v>Ricky Rubio</v>
      </c>
      <c r="J4" s="7" t="str">
        <f>Harvir!A10</f>
        <v>Jeff Teague</v>
      </c>
      <c r="K4" s="7" t="str">
        <f>Harvir!A11</f>
        <v>Rudy Gay</v>
      </c>
      <c r="L4" s="7" t="str">
        <f>Harvir!A12</f>
        <v>Goran Dragic</v>
      </c>
      <c r="M4" s="7" t="str">
        <f>Harvir!A13</f>
        <v>nicolas batum</v>
      </c>
      <c r="N4" s="7" t="str">
        <f>Harvir!A14</f>
        <v>davis bertans</v>
      </c>
    </row>
    <row r="5" spans="1:14">
      <c r="A5" s="93" t="s">
        <v>640</v>
      </c>
      <c r="B5" s="7" t="str">
        <f>Angad!A2</f>
        <v>joel embiid</v>
      </c>
      <c r="C5" s="7" t="str">
        <f>Angad!A3</f>
        <v>Andre Drummond</v>
      </c>
      <c r="D5" s="7" t="str">
        <f>Angad!A4</f>
        <v>de'aaron fox</v>
      </c>
      <c r="E5" s="7" t="str">
        <f>Angad!A5</f>
        <v>steven adams</v>
      </c>
      <c r="F5" s="7" t="str">
        <f>Angad!A6</f>
        <v>Julius Randle</v>
      </c>
      <c r="G5" s="7" t="str">
        <f>Angad!A7</f>
        <v>Montrezl Harrell</v>
      </c>
      <c r="H5" s="7" t="str">
        <f>Angad!A8</f>
        <v>Wendell Carter</v>
      </c>
      <c r="I5" s="7" t="str">
        <f>Angad!A9</f>
        <v>Marvin Bagley</v>
      </c>
      <c r="J5" s="7" t="str">
        <f>Angad!A10</f>
        <v>larry nance</v>
      </c>
      <c r="K5" s="7" t="str">
        <f>Angad!A11</f>
        <v>Jarrett Allen</v>
      </c>
      <c r="L5" s="7" t="str">
        <f>Angad!A12</f>
        <v>RJ Barrett</v>
      </c>
      <c r="M5" s="7" t="str">
        <f>Angad!A13</f>
        <v>miles bridges</v>
      </c>
      <c r="N5" s="7" t="str">
        <f>Angad!A14</f>
        <v>derrick white</v>
      </c>
    </row>
    <row r="6" spans="1:14">
      <c r="A6" s="93" t="s">
        <v>641</v>
      </c>
      <c r="B6" s="7" t="str">
        <f>Harman!A2</f>
        <v>Russell Westbrook</v>
      </c>
      <c r="C6" s="7" t="str">
        <f>Harman!A3</f>
        <v>Pascal Siakam</v>
      </c>
      <c r="D6" s="7" t="str">
        <f>Harman!A4</f>
        <v>Blake Griffin</v>
      </c>
      <c r="E6" s="7" t="str">
        <f>Harman!A5</f>
        <v>CJ McCollum</v>
      </c>
      <c r="F6" s="7" t="str">
        <f>Harman!A6</f>
        <v>Jamal Murray</v>
      </c>
      <c r="G6" s="7" t="str">
        <f>Harman!A7</f>
        <v>Aaron Gordon</v>
      </c>
      <c r="H6" s="7" t="str">
        <f>Harman!A8</f>
        <v>Serge Ibaka</v>
      </c>
      <c r="I6" s="7" t="str">
        <f>Harman!A9</f>
        <v>DeAndre Jordan</v>
      </c>
      <c r="J6" s="7" t="str">
        <f>Harman!A10</f>
        <v>Kyle Kuzma</v>
      </c>
      <c r="K6" s="7" t="str">
        <f>Harman!A11</f>
        <v>Andrew Wiggins</v>
      </c>
      <c r="L6" s="7" t="str">
        <f>Harman!A12</f>
        <v>Spencer Dinwiddie</v>
      </c>
      <c r="M6" s="7" t="str">
        <f>Harman!A13</f>
        <v>tyler herro</v>
      </c>
      <c r="N6" s="7" t="str">
        <f>Harman!A14</f>
        <v>Jordan Clarkson</v>
      </c>
    </row>
    <row r="7" spans="1:14">
      <c r="A7" s="93" t="s">
        <v>642</v>
      </c>
      <c r="B7" s="7" t="str">
        <f>Karnvir!$A2</f>
        <v>Stephen Curry</v>
      </c>
      <c r="C7" s="7" t="str">
        <f>Karnvir!$A3</f>
        <v>Myles Turner</v>
      </c>
      <c r="D7" s="7" t="str">
        <f>Karnvir!$A4</f>
        <v>Devin Booker</v>
      </c>
      <c r="E7" s="7" t="str">
        <f>Karnvir!$A5</f>
        <v>Trae Young</v>
      </c>
      <c r="F7" s="7" t="str">
        <f>Karnvir!$A6</f>
        <v>Brook Lopez</v>
      </c>
      <c r="G7" s="7" t="str">
        <f>Karnvir!$A7</f>
        <v>Jaren Jackson</v>
      </c>
      <c r="H7" s="7" t="str">
        <f>Karnvir!$A8</f>
        <v>Victor Oladipo</v>
      </c>
      <c r="I7" s="7" t="str">
        <f>Karnvir!$A9</f>
        <v>Ja Morant</v>
      </c>
      <c r="J7" s="7" t="str">
        <f>Karnvir!$A10</f>
        <v>marc gasol</v>
      </c>
      <c r="K7" s="7" t="str">
        <f>Karnvir!$A11</f>
        <v>fred vanvleet</v>
      </c>
      <c r="L7" s="7" t="str">
        <f>Karnvir!$A12</f>
        <v>Bojan Bogdanovic</v>
      </c>
      <c r="M7" s="7" t="str">
        <f>Karnvir!$A13</f>
        <v>TJ warren</v>
      </c>
      <c r="N7" s="7" t="str">
        <f>Karnvir!$A14</f>
        <v>De'Andre Hunter</v>
      </c>
    </row>
    <row r="8" spans="1:14">
      <c r="A8" s="93" t="s">
        <v>643</v>
      </c>
      <c r="B8" s="7" t="str">
        <f>Justin!$A2</f>
        <v>Giannis Antetokounmpo</v>
      </c>
      <c r="C8" s="7" t="str">
        <f>Justin!$A3</f>
        <v>Paul George</v>
      </c>
      <c r="D8" s="7" t="str">
        <f>Justin!$A4</f>
        <v>Jimmy Butler</v>
      </c>
      <c r="E8" s="7" t="str">
        <f>Justin!$A5</f>
        <v>Buddy Hield</v>
      </c>
      <c r="F8" s="7" t="str">
        <f>Justin!$A6</f>
        <v>Zach LaVine</v>
      </c>
      <c r="G8" s="7" t="str">
        <f>Justin!$A7</f>
        <v>D'Angelo Russell</v>
      </c>
      <c r="H8" s="7" t="str">
        <f>Justin!$A8</f>
        <v>Jayson Tatum</v>
      </c>
      <c r="I8" s="7" t="str">
        <f>Justin!$A9</f>
        <v>Thomas Bryant</v>
      </c>
      <c r="J8" s="7" t="str">
        <f>Justin!$A10</f>
        <v>Domantas Sabonis</v>
      </c>
      <c r="K8" s="7" t="str">
        <f>Justin!$A11</f>
        <v>Dwight Powell</v>
      </c>
      <c r="L8" s="7" t="str">
        <f>Justin!$A12</f>
        <v>Jaylen Brown</v>
      </c>
      <c r="M8" s="7" t="str">
        <f>Justin!$A13</f>
        <v>Dario Saric</v>
      </c>
      <c r="N8" s="7" t="str">
        <f>Justin!$A14</f>
        <v>Dennis Schroder</v>
      </c>
    </row>
    <row r="9" spans="1:14">
      <c r="A9" s="93" t="s">
        <v>644</v>
      </c>
      <c r="B9" s="7" t="str">
        <f>Ajay!$A2</f>
        <v>LeBron James</v>
      </c>
      <c r="C9" s="7" t="str">
        <f>Ajay!$A3</f>
        <v>Luka Doncic</v>
      </c>
      <c r="D9" s="7" t="str">
        <f>Ajay!$A4</f>
        <v>Ben Simmons</v>
      </c>
      <c r="E9" s="7" t="str">
        <f>Ajay!$A5</f>
        <v>Tobias Harris</v>
      </c>
      <c r="F9" s="7" t="str">
        <f>Ajay!$A6</f>
        <v>Clint Capela</v>
      </c>
      <c r="G9" s="7" t="str">
        <f>Ajay!$A7</f>
        <v>Khris Middleton</v>
      </c>
      <c r="H9" s="7" t="str">
        <f>Ajay!$A8</f>
        <v>Lauri Markkanen</v>
      </c>
      <c r="I9" s="7" t="str">
        <f>Ajay!$A9</f>
        <v>Gordon Hayward</v>
      </c>
      <c r="J9" s="7" t="str">
        <f>Ajay!$A10</f>
        <v>hassan whiteside</v>
      </c>
      <c r="K9" s="7" t="str">
        <f>Ajay!$A11</f>
        <v>Dejounte Murray</v>
      </c>
      <c r="L9" s="7" t="str">
        <f>Ajay!$A12</f>
        <v>dennis smith</v>
      </c>
      <c r="M9" s="7" t="str">
        <f>Ajay!$A13</f>
        <v>Joe Harris</v>
      </c>
      <c r="N9" s="7" t="str">
        <f>Ajay!$A14</f>
        <v>Dwight Howard</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063F1-2EC9-CE4A-94C3-3B1DB3F90A93}">
  <sheetPr codeName="Sheet3"/>
  <dimension ref="A1:Y43"/>
  <sheetViews>
    <sheetView workbookViewId="0">
      <selection activeCell="J37" sqref="J37"/>
    </sheetView>
  </sheetViews>
  <sheetFormatPr baseColWidth="10" defaultRowHeight="16"/>
  <cols>
    <col min="1" max="1" width="18.83203125" customWidth="1"/>
    <col min="2" max="15" width="10.83203125" customWidth="1"/>
  </cols>
  <sheetData>
    <row r="1" spans="1:25">
      <c r="A1" s="1" t="s">
        <v>0</v>
      </c>
      <c r="B1" s="2" t="s">
        <v>1</v>
      </c>
      <c r="C1" s="3" t="s">
        <v>155</v>
      </c>
      <c r="D1" s="4" t="s">
        <v>3</v>
      </c>
      <c r="E1" s="4" t="s">
        <v>4</v>
      </c>
      <c r="F1" s="4" t="s">
        <v>5</v>
      </c>
      <c r="G1" s="4" t="s">
        <v>6</v>
      </c>
      <c r="H1" s="4" t="s">
        <v>7</v>
      </c>
      <c r="I1" s="4" t="s">
        <v>8</v>
      </c>
      <c r="J1" s="4" t="s">
        <v>9</v>
      </c>
      <c r="K1" s="4" t="s">
        <v>10</v>
      </c>
      <c r="L1" s="4" t="s">
        <v>11</v>
      </c>
      <c r="M1" s="5" t="s">
        <v>12</v>
      </c>
      <c r="N1" s="5" t="s">
        <v>13</v>
      </c>
      <c r="O1" s="5" t="s">
        <v>126</v>
      </c>
      <c r="P1" s="5" t="s">
        <v>127</v>
      </c>
      <c r="Q1" s="27" t="s">
        <v>144</v>
      </c>
      <c r="R1" s="28" t="s">
        <v>145</v>
      </c>
      <c r="S1" s="29" t="s">
        <v>146</v>
      </c>
      <c r="T1" s="29" t="s">
        <v>147</v>
      </c>
      <c r="U1" s="29" t="s">
        <v>148</v>
      </c>
      <c r="V1" s="29" t="s">
        <v>149</v>
      </c>
      <c r="W1" s="29" t="s">
        <v>150</v>
      </c>
      <c r="X1" s="29" t="s">
        <v>151</v>
      </c>
      <c r="Y1" s="29" t="s">
        <v>152</v>
      </c>
    </row>
    <row r="2" spans="1:25">
      <c r="A2" s="7" t="s">
        <v>661</v>
      </c>
      <c r="B2" s="8">
        <f>IFERROR(VLOOKUP($A2, All!$A$1:$AB$699,2,0),300)</f>
        <v>6</v>
      </c>
      <c r="C2" s="8">
        <f>IFERROR(VLOOKUP($A2, All!$A$1:$AB$699,3,0),70)</f>
        <v>78</v>
      </c>
      <c r="D2" s="8">
        <f>IFERROR(VLOOKUP($A2, All!$A$1:$AB$699,4,0),Math!B$2)</f>
        <v>0.51</v>
      </c>
      <c r="E2" s="8">
        <f>IFERROR(VLOOKUP($A2, All!$A$1:$AB$700,5,0),Math!C$2)</f>
        <v>0.83</v>
      </c>
      <c r="F2" s="8">
        <f>IFERROR(VLOOKUP($A2, All!$A$1:$AB$700,6,0),Math!D$2)</f>
        <v>1.1000000000000001</v>
      </c>
      <c r="G2" s="8">
        <f>IFERROR(VLOOKUP($A2, All!$A$1:$AB$700,7,0),Math!E$2)</f>
        <v>11.7</v>
      </c>
      <c r="H2" s="8">
        <f>IFERROR(VLOOKUP($A2, All!$A$1:$AB$700,8,0),Math!F$2)</f>
        <v>7.8</v>
      </c>
      <c r="I2" s="8">
        <f>IFERROR(VLOOKUP($A2, All!$A$1:$AB$700,9,0),Math!G$2)</f>
        <v>1.4</v>
      </c>
      <c r="J2" s="8">
        <f>IFERROR(VLOOKUP($A2, All!$A$1:$AB$700,10,0),Math!H$2)</f>
        <v>0.8</v>
      </c>
      <c r="K2" s="8">
        <f>IFERROR(VLOOKUP($A2, All!$A$1:$AB$700,11,0),Math!I$2)</f>
        <v>3.2</v>
      </c>
      <c r="L2" s="8">
        <f>IFERROR(VLOOKUP($A2, All!$A$1:$AB$700,12,0),Math!J$2)</f>
        <v>21.6</v>
      </c>
      <c r="M2" s="8">
        <f>IFERROR(VLOOKUP($A2, All!$A$1:$AB$700,13,0),Math!K$2)</f>
        <v>8.3000000000000007</v>
      </c>
      <c r="N2" s="8">
        <f>IFERROR(VLOOKUP($A2, All!$A$1:$AB$700,14,0),Math!L$2)</f>
        <v>16.2</v>
      </c>
      <c r="O2" s="8">
        <f>IFERROR(VLOOKUP($A2, All!$A$1:$AB$700,15,0),Math!M$2)</f>
        <v>3.9</v>
      </c>
      <c r="P2" s="8">
        <f>IFERROR(VLOOKUP($A2, All!$A$1:$AB$700,16,0),Math!N$2)</f>
        <v>4.7</v>
      </c>
      <c r="Q2" s="31">
        <f>IFERROR(VLOOKUP($A2, All!$A$1:$AB$700,17,0),0)</f>
        <v>0.60353338760217312</v>
      </c>
      <c r="R2" s="31">
        <f>IFERROR(VLOOKUP($A2, All!$A$1:$AB$700,18,0),0)</f>
        <v>0.60344340241944372</v>
      </c>
      <c r="S2" s="31">
        <f>IFERROR(VLOOKUP($A2, All!$A$1:$AB$700,19,0),0)</f>
        <v>-0.38408342077440522</v>
      </c>
      <c r="T2" s="31">
        <f>IFERROR(VLOOKUP($A2, All!$A$1:$AB$700,20,0),0)</f>
        <v>2.2200741321411597</v>
      </c>
      <c r="U2" s="31">
        <f>IFERROR(VLOOKUP($A2, All!$A$1:$AB$700,21,0),0)</f>
        <v>2.2650613659528678</v>
      </c>
      <c r="V2" s="31">
        <f>IFERROR(VLOOKUP($A2, All!$A$1:$AB$700,22,0),0)</f>
        <v>1.1344947572963382</v>
      </c>
      <c r="W2" s="31">
        <f>IFERROR(VLOOKUP($A2, All!$A$1:$AB$700,23,0),0)</f>
        <v>0.20063167928342035</v>
      </c>
      <c r="X2" s="31">
        <f>IFERROR(VLOOKUP($A2, All!$A$1:$AB$700,24,0),0)</f>
        <v>-1.9432131102250185</v>
      </c>
      <c r="Y2" s="31">
        <f>IFERROR(VLOOKUP($A2, All!$A$1:$AB$700,25,0),0)</f>
        <v>1.2725748751635217</v>
      </c>
    </row>
    <row r="3" spans="1:25">
      <c r="A3" s="7" t="s">
        <v>651</v>
      </c>
      <c r="B3" s="8">
        <f>IFERROR(VLOOKUP($A3, All!$A$1:$AB$699,2,0),300)</f>
        <v>2</v>
      </c>
      <c r="C3" s="8">
        <f>IFERROR(VLOOKUP($A3, All!$A$1:$AB$699,3,0),70)</f>
        <v>78</v>
      </c>
      <c r="D3" s="8">
        <f>IFERROR(VLOOKUP($A3, All!$A$1:$AB$699,4,0),Math!B$2)</f>
        <v>0.45</v>
      </c>
      <c r="E3" s="8">
        <f>IFERROR(VLOOKUP($A3, All!$A$1:$AB$700,5,0),Math!C$2)</f>
        <v>0.87</v>
      </c>
      <c r="F3" s="8">
        <f>IFERROR(VLOOKUP($A3, All!$A$1:$AB$700,6,0),Math!D$2)</f>
        <v>3.9</v>
      </c>
      <c r="G3" s="8">
        <f>IFERROR(VLOOKUP($A3, All!$A$1:$AB$700,7,0),Math!E$2)</f>
        <v>5.6</v>
      </c>
      <c r="H3" s="8">
        <f>IFERROR(VLOOKUP($A3, All!$A$1:$AB$700,8,0),Math!F$2)</f>
        <v>6.8</v>
      </c>
      <c r="I3" s="8">
        <f>IFERROR(VLOOKUP($A3, All!$A$1:$AB$700,9,0),Math!G$2)</f>
        <v>2.1</v>
      </c>
      <c r="J3" s="8">
        <f>IFERROR(VLOOKUP($A3, All!$A$1:$AB$700,10,0),Math!H$2)</f>
        <v>0.7</v>
      </c>
      <c r="K3" s="8">
        <f>IFERROR(VLOOKUP($A3, All!$A$1:$AB$700,11,0),Math!I$2)</f>
        <v>4.4000000000000004</v>
      </c>
      <c r="L3" s="8">
        <f>IFERROR(VLOOKUP($A3, All!$A$1:$AB$700,12,0),Math!J$2)</f>
        <v>31.7</v>
      </c>
      <c r="M3" s="8">
        <f>IFERROR(VLOOKUP($A3, All!$A$1:$AB$700,13,0),Math!K$2)</f>
        <v>9.4</v>
      </c>
      <c r="N3" s="8">
        <f>IFERROR(VLOOKUP($A3, All!$A$1:$AB$700,14,0),Math!L$2)</f>
        <v>21.1</v>
      </c>
      <c r="O3" s="8">
        <f>IFERROR(VLOOKUP($A3, All!$A$1:$AB$700,15,0),Math!M$2)</f>
        <v>8.9</v>
      </c>
      <c r="P3" s="8">
        <f>IFERROR(VLOOKUP($A3, All!$A$1:$AB$700,16,0),Math!N$2)</f>
        <v>10.199999999999999</v>
      </c>
      <c r="Q3" s="31">
        <f>IFERROR(VLOOKUP($A3, All!$A$1:$AB$700,17,0),0)</f>
        <v>-0.50556318992096039</v>
      </c>
      <c r="R3" s="31">
        <f>IFERROR(VLOOKUP($A3, All!$A$1:$AB$700,18,0),0)</f>
        <v>1.0881368983386766</v>
      </c>
      <c r="S3" s="31">
        <f>IFERROR(VLOOKUP($A3, All!$A$1:$AB$700,19,0),0)</f>
        <v>2.6367974167770991</v>
      </c>
      <c r="T3" s="31">
        <f>IFERROR(VLOOKUP($A3, All!$A$1:$AB$700,20,0),0)</f>
        <v>-9.6657063831995502E-2</v>
      </c>
      <c r="U3" s="31">
        <f>IFERROR(VLOOKUP($A3, All!$A$1:$AB$700,21,0),0)</f>
        <v>1.7634421951073647</v>
      </c>
      <c r="V3" s="31">
        <f>IFERROR(VLOOKUP($A3, All!$A$1:$AB$700,22,0),0)</f>
        <v>2.9813466877787511</v>
      </c>
      <c r="W3" s="31">
        <f>IFERROR(VLOOKUP($A3, All!$A$1:$AB$700,23,0),0)</f>
        <v>1.6565918472943714E-2</v>
      </c>
      <c r="X3" s="31">
        <f>IFERROR(VLOOKUP($A3, All!$A$1:$AB$700,24,0),0)</f>
        <v>-3.5530548308118477</v>
      </c>
      <c r="Y3" s="31">
        <f>IFERROR(VLOOKUP($A3, All!$A$1:$AB$700,25,0),0)</f>
        <v>3.297627063465328</v>
      </c>
    </row>
    <row r="4" spans="1:25">
      <c r="A4" s="7" t="s">
        <v>657</v>
      </c>
      <c r="B4" s="8">
        <f>IFERROR(VLOOKUP($A4, All!$A$1:$AB$699,2,0),300)</f>
        <v>5</v>
      </c>
      <c r="C4" s="8">
        <f>IFERROR(VLOOKUP($A4, All!$A$1:$AB$699,3,0),70)</f>
        <v>79</v>
      </c>
      <c r="D4" s="8">
        <f>IFERROR(VLOOKUP($A4, All!$A$1:$AB$699,4,0),Math!B$2)</f>
        <v>0.52</v>
      </c>
      <c r="E4" s="8">
        <f>IFERROR(VLOOKUP($A4, All!$A$1:$AB$700,5,0),Math!C$2)</f>
        <v>0.85</v>
      </c>
      <c r="F4" s="8">
        <f>IFERROR(VLOOKUP($A4, All!$A$1:$AB$700,6,0),Math!D$2)</f>
        <v>1.9</v>
      </c>
      <c r="G4" s="8">
        <f>IFERROR(VLOOKUP($A4, All!$A$1:$AB$700,7,0),Math!E$2)</f>
        <v>12.4</v>
      </c>
      <c r="H4" s="8">
        <f>IFERROR(VLOOKUP($A4, All!$A$1:$AB$700,8,0),Math!F$2)</f>
        <v>3.6</v>
      </c>
      <c r="I4" s="8">
        <f>IFERROR(VLOOKUP($A4, All!$A$1:$AB$700,9,0),Math!G$2)</f>
        <v>0.9</v>
      </c>
      <c r="J4" s="8">
        <f>IFERROR(VLOOKUP($A4, All!$A$1:$AB$700,10,0),Math!H$2)</f>
        <v>1.7</v>
      </c>
      <c r="K4" s="8">
        <f>IFERROR(VLOOKUP($A4, All!$A$1:$AB$700,11,0),Math!I$2)</f>
        <v>3.1</v>
      </c>
      <c r="L4" s="8">
        <f>IFERROR(VLOOKUP($A4, All!$A$1:$AB$700,12,0),Math!J$2)</f>
        <v>25.6</v>
      </c>
      <c r="M4" s="8">
        <f>IFERROR(VLOOKUP($A4, All!$A$1:$AB$700,13,0),Math!K$2)</f>
        <v>9.3000000000000007</v>
      </c>
      <c r="N4" s="8">
        <f>IFERROR(VLOOKUP($A4, All!$A$1:$AB$700,14,0),Math!L$2)</f>
        <v>18</v>
      </c>
      <c r="O4" s="8">
        <f>IFERROR(VLOOKUP($A4, All!$A$1:$AB$700,15,0),Math!M$2)</f>
        <v>5.2</v>
      </c>
      <c r="P4" s="8">
        <f>IFERROR(VLOOKUP($A4, All!$A$1:$AB$700,16,0),Math!N$2)</f>
        <v>6.1</v>
      </c>
      <c r="Q4" s="31">
        <f>IFERROR(VLOOKUP($A4, All!$A$1:$AB$700,17,0),0)</f>
        <v>0.78838281718936221</v>
      </c>
      <c r="R4" s="31">
        <f>IFERROR(VLOOKUP($A4, All!$A$1:$AB$700,18,0),0)</f>
        <v>0.84579015037906013</v>
      </c>
      <c r="S4" s="31">
        <f>IFERROR(VLOOKUP($A4, All!$A$1:$AB$700,19,0),0)</f>
        <v>0.47902538995459598</v>
      </c>
      <c r="T4" s="31">
        <f>IFERROR(VLOOKUP($A4, All!$A$1:$AB$700,20,0),0)</f>
        <v>2.4859285316790634</v>
      </c>
      <c r="U4" s="31">
        <f>IFERROR(VLOOKUP($A4, All!$A$1:$AB$700,21,0),0)</f>
        <v>0.15826084840175575</v>
      </c>
      <c r="V4" s="31">
        <f>IFERROR(VLOOKUP($A4, All!$A$1:$AB$700,22,0),0)</f>
        <v>-0.18468519304824169</v>
      </c>
      <c r="W4" s="31">
        <f>IFERROR(VLOOKUP($A4, All!$A$1:$AB$700,23,0),0)</f>
        <v>1.8572235265777084</v>
      </c>
      <c r="X4" s="31">
        <f>IFERROR(VLOOKUP($A4, All!$A$1:$AB$700,24,0),0)</f>
        <v>-1.8090596335094493</v>
      </c>
      <c r="Y4" s="31">
        <f>IFERROR(VLOOKUP($A4, All!$A$1:$AB$700,25,0),0)</f>
        <v>2.0745757418177027</v>
      </c>
    </row>
    <row r="5" spans="1:25">
      <c r="A5" s="7" t="s">
        <v>31</v>
      </c>
      <c r="B5" s="8">
        <f>IFERROR(VLOOKUP($A5, All!$A$1:$AB$699,2,0),300)</f>
        <v>31</v>
      </c>
      <c r="C5" s="8">
        <f>IFERROR(VLOOKUP($A5, All!$A$1:$AB$699,3,0),70)</f>
        <v>66</v>
      </c>
      <c r="D5" s="8">
        <f>IFERROR(VLOOKUP($A5, All!$A$1:$AB$699,4,0),Math!B$2)</f>
        <v>0.44</v>
      </c>
      <c r="E5" s="8">
        <f>IFERROR(VLOOKUP($A5, All!$A$1:$AB$700,5,0),Math!C$2)</f>
        <v>0.76</v>
      </c>
      <c r="F5" s="8">
        <f>IFERROR(VLOOKUP($A5, All!$A$1:$AB$700,6,0),Math!D$2)</f>
        <v>2.4</v>
      </c>
      <c r="G5" s="8">
        <f>IFERROR(VLOOKUP($A5, All!$A$1:$AB$700,7,0),Math!E$2)</f>
        <v>5.5</v>
      </c>
      <c r="H5" s="8">
        <f>IFERROR(VLOOKUP($A5, All!$A$1:$AB$700,8,0),Math!F$2)</f>
        <v>1.3</v>
      </c>
      <c r="I5" s="8">
        <f>IFERROR(VLOOKUP($A5, All!$A$1:$AB$700,9,0),Math!G$2)</f>
        <v>2</v>
      </c>
      <c r="J5" s="8">
        <f>IFERROR(VLOOKUP($A5, All!$A$1:$AB$700,10,0),Math!H$2)</f>
        <v>1.3</v>
      </c>
      <c r="K5" s="8">
        <f>IFERROR(VLOOKUP($A5, All!$A$1:$AB$700,11,0),Math!I$2)</f>
        <v>1.2</v>
      </c>
      <c r="L5" s="8">
        <f>IFERROR(VLOOKUP($A5, All!$A$1:$AB$700,12,0),Math!J$2)</f>
        <v>13.5</v>
      </c>
      <c r="M5" s="8">
        <f>IFERROR(VLOOKUP($A5, All!$A$1:$AB$700,13,0),Math!K$2)</f>
        <v>4.5999999999999996</v>
      </c>
      <c r="N5" s="8">
        <f>IFERROR(VLOOKUP($A5, All!$A$1:$AB$700,14,0),Math!L$2)</f>
        <v>10.4</v>
      </c>
      <c r="O5" s="8">
        <f>IFERROR(VLOOKUP($A5, All!$A$1:$AB$700,15,0),Math!M$2)</f>
        <v>1.9</v>
      </c>
      <c r="P5" s="8">
        <f>IFERROR(VLOOKUP($A5, All!$A$1:$AB$700,16,0),Math!N$2)</f>
        <v>2.5</v>
      </c>
      <c r="Q5" s="31">
        <f>IFERROR(VLOOKUP($A5, All!$A$1:$AB$700,17,0),0)</f>
        <v>-0.69041261950814947</v>
      </c>
      <c r="R5" s="31">
        <f>IFERROR(VLOOKUP($A5, All!$A$1:$AB$700,18,0),0)</f>
        <v>-0.24477021543921229</v>
      </c>
      <c r="S5" s="31">
        <f>IFERROR(VLOOKUP($A5, All!$A$1:$AB$700,19,0),0)</f>
        <v>1.0184683966602219</v>
      </c>
      <c r="T5" s="31">
        <f>IFERROR(VLOOKUP($A5, All!$A$1:$AB$700,20,0),0)</f>
        <v>-0.13463626376598151</v>
      </c>
      <c r="U5" s="31">
        <f>IFERROR(VLOOKUP($A5, All!$A$1:$AB$700,21,0),0)</f>
        <v>-0.9954632445429008</v>
      </c>
      <c r="V5" s="31">
        <f>IFERROR(VLOOKUP($A5, All!$A$1:$AB$700,22,0),0)</f>
        <v>2.7175106977098347</v>
      </c>
      <c r="W5" s="31">
        <f>IFERROR(VLOOKUP($A5, All!$A$1:$AB$700,23,0),0)</f>
        <v>1.1209604833358027</v>
      </c>
      <c r="X5" s="31">
        <f>IFERROR(VLOOKUP($A5, All!$A$1:$AB$700,24,0),0)</f>
        <v>0.73985642408636254</v>
      </c>
      <c r="Y5" s="31">
        <f>IFERROR(VLOOKUP($A5, All!$A$1:$AB$700,25,0),0)</f>
        <v>-0.3514768798111948</v>
      </c>
    </row>
    <row r="6" spans="1:25">
      <c r="A6" s="7" t="s">
        <v>32</v>
      </c>
      <c r="B6" s="8">
        <f>IFERROR(VLOOKUP($A6, All!$A$1:$AB$699,2,0),300)</f>
        <v>33</v>
      </c>
      <c r="C6" s="8">
        <f>IFERROR(VLOOKUP($A6, All!$A$1:$AB$699,3,0),70)</f>
        <v>76</v>
      </c>
      <c r="D6" s="8">
        <f>IFERROR(VLOOKUP($A6, All!$A$1:$AB$699,4,0),Math!B$2)</f>
        <v>0.62</v>
      </c>
      <c r="E6" s="8">
        <f>IFERROR(VLOOKUP($A6, All!$A$1:$AB$700,5,0),Math!C$2)</f>
        <v>0.64</v>
      </c>
      <c r="F6" s="8">
        <f>IFERROR(VLOOKUP($A6, All!$A$1:$AB$700,6,0),Math!D$2)</f>
        <v>0</v>
      </c>
      <c r="G6" s="8">
        <f>IFERROR(VLOOKUP($A6, All!$A$1:$AB$700,7,0),Math!E$2)</f>
        <v>9.1</v>
      </c>
      <c r="H6" s="8">
        <f>IFERROR(VLOOKUP($A6, All!$A$1:$AB$700,8,0),Math!F$2)</f>
        <v>0.8</v>
      </c>
      <c r="I6" s="8">
        <f>IFERROR(VLOOKUP($A6, All!$A$1:$AB$700,9,0),Math!G$2)</f>
        <v>1</v>
      </c>
      <c r="J6" s="8">
        <f>IFERROR(VLOOKUP($A6, All!$A$1:$AB$700,10,0),Math!H$2)</f>
        <v>2.7</v>
      </c>
      <c r="K6" s="8">
        <f>IFERROR(VLOOKUP($A6, All!$A$1:$AB$700,11,0),Math!I$2)</f>
        <v>0.9</v>
      </c>
      <c r="L6" s="8">
        <f>IFERROR(VLOOKUP($A6, All!$A$1:$AB$700,12,0),Math!J$2)</f>
        <v>10.9</v>
      </c>
      <c r="M6" s="8">
        <f>IFERROR(VLOOKUP($A6, All!$A$1:$AB$700,13,0),Math!K$2)</f>
        <v>4.5999999999999996</v>
      </c>
      <c r="N6" s="8">
        <f>IFERROR(VLOOKUP($A6, All!$A$1:$AB$700,14,0),Math!L$2)</f>
        <v>7.4</v>
      </c>
      <c r="O6" s="8">
        <f>IFERROR(VLOOKUP($A6, All!$A$1:$AB$700,15,0),Math!M$2)</f>
        <v>1.6</v>
      </c>
      <c r="P6" s="8">
        <f>IFERROR(VLOOKUP($A6, All!$A$1:$AB$700,16,0),Math!N$2)</f>
        <v>2.5</v>
      </c>
      <c r="Q6" s="31">
        <f>IFERROR(VLOOKUP($A6, All!$A$1:$AB$700,17,0),0)</f>
        <v>2.6368771130612512</v>
      </c>
      <c r="R6" s="31">
        <f>IFERROR(VLOOKUP($A6, All!$A$1:$AB$700,18,0),0)</f>
        <v>-1.6988507031969093</v>
      </c>
      <c r="S6" s="31">
        <f>IFERROR(VLOOKUP($A6, All!$A$1:$AB$700,19,0),0)</f>
        <v>-1.5708580355267823</v>
      </c>
      <c r="T6" s="31">
        <f>IFERROR(VLOOKUP($A6, All!$A$1:$AB$700,20,0),0)</f>
        <v>1.2326149338575199</v>
      </c>
      <c r="U6" s="31">
        <f>IFERROR(VLOOKUP($A6, All!$A$1:$AB$700,21,0),0)</f>
        <v>-1.246272829965652</v>
      </c>
      <c r="V6" s="31">
        <f>IFERROR(VLOOKUP($A6, All!$A$1:$AB$700,22,0),0)</f>
        <v>7.9150797020674304E-2</v>
      </c>
      <c r="W6" s="31">
        <f>IFERROR(VLOOKUP($A6, All!$A$1:$AB$700,23,0),0)</f>
        <v>3.6978811346824738</v>
      </c>
      <c r="X6" s="31">
        <f>IFERROR(VLOOKUP($A6, All!$A$1:$AB$700,24,0),0)</f>
        <v>1.1423168542330695</v>
      </c>
      <c r="Y6" s="31">
        <f>IFERROR(VLOOKUP($A6, All!$A$1:$AB$700,25,0),0)</f>
        <v>-0.87277744313641237</v>
      </c>
    </row>
    <row r="7" spans="1:25">
      <c r="A7" s="7" t="s">
        <v>36</v>
      </c>
      <c r="B7" s="8">
        <f>IFERROR(VLOOKUP($A7, All!$A$1:$AB$699,2,0),300)</f>
        <v>38</v>
      </c>
      <c r="C7" s="8">
        <f>IFERROR(VLOOKUP($A7, All!$A$1:$AB$699,3,0),70)</f>
        <v>62</v>
      </c>
      <c r="D7" s="8">
        <f>IFERROR(VLOOKUP($A7, All!$A$1:$AB$699,4,0),Math!B$2)</f>
        <v>0.45</v>
      </c>
      <c r="E7" s="8">
        <f>IFERROR(VLOOKUP($A7, All!$A$1:$AB$700,5,0),Math!C$2)</f>
        <v>0.8</v>
      </c>
      <c r="F7" s="8">
        <f>IFERROR(VLOOKUP($A7, All!$A$1:$AB$700,6,0),Math!D$2)</f>
        <v>1.9</v>
      </c>
      <c r="G7" s="8">
        <f>IFERROR(VLOOKUP($A7, All!$A$1:$AB$700,7,0),Math!E$2)</f>
        <v>7.6</v>
      </c>
      <c r="H7" s="8">
        <f>IFERROR(VLOOKUP($A7, All!$A$1:$AB$700,8,0),Math!F$2)</f>
        <v>1.2</v>
      </c>
      <c r="I7" s="8">
        <f>IFERROR(VLOOKUP($A7, All!$A$1:$AB$700,9,0),Math!G$2)</f>
        <v>0.7</v>
      </c>
      <c r="J7" s="8">
        <f>IFERROR(VLOOKUP($A7, All!$A$1:$AB$700,10,0),Math!H$2)</f>
        <v>1.9</v>
      </c>
      <c r="K7" s="8">
        <f>IFERROR(VLOOKUP($A7, All!$A$1:$AB$700,11,0),Math!I$2)</f>
        <v>1.8</v>
      </c>
      <c r="L7" s="8">
        <f>IFERROR(VLOOKUP($A7, All!$A$1:$AB$700,12,0),Math!J$2)</f>
        <v>19.899999999999999</v>
      </c>
      <c r="M7" s="8">
        <f>IFERROR(VLOOKUP($A7, All!$A$1:$AB$700,13,0),Math!K$2)</f>
        <v>6.8</v>
      </c>
      <c r="N7" s="8">
        <f>IFERROR(VLOOKUP($A7, All!$A$1:$AB$700,14,0),Math!L$2)</f>
        <v>15.2</v>
      </c>
      <c r="O7" s="8">
        <f>IFERROR(VLOOKUP($A7, All!$A$1:$AB$700,15,0),Math!M$2)</f>
        <v>4.4000000000000004</v>
      </c>
      <c r="P7" s="8">
        <f>IFERROR(VLOOKUP($A7, All!$A$1:$AB$700,16,0),Math!N$2)</f>
        <v>5.5</v>
      </c>
      <c r="Q7" s="31">
        <f>IFERROR(VLOOKUP($A7, All!$A$1:$AB$700,17,0),0)</f>
        <v>-0.50556318992096039</v>
      </c>
      <c r="R7" s="31">
        <f>IFERROR(VLOOKUP($A7, All!$A$1:$AB$700,18,0),0)</f>
        <v>0.23992328048002048</v>
      </c>
      <c r="S7" s="31">
        <f>IFERROR(VLOOKUP($A7, All!$A$1:$AB$700,19,0),0)</f>
        <v>0.47902538995459598</v>
      </c>
      <c r="T7" s="31">
        <f>IFERROR(VLOOKUP($A7, All!$A$1:$AB$700,20,0),0)</f>
        <v>0.66292693484772758</v>
      </c>
      <c r="U7" s="31">
        <f>IFERROR(VLOOKUP($A7, All!$A$1:$AB$700,21,0),0)</f>
        <v>-1.0456251616274512</v>
      </c>
      <c r="V7" s="31">
        <f>IFERROR(VLOOKUP($A7, All!$A$1:$AB$700,22,0),0)</f>
        <v>-0.71235717318607394</v>
      </c>
      <c r="W7" s="31">
        <f>IFERROR(VLOOKUP($A7, All!$A$1:$AB$700,23,0),0)</f>
        <v>2.2253550481986615</v>
      </c>
      <c r="X7" s="31">
        <f>IFERROR(VLOOKUP($A7, All!$A$1:$AB$700,24,0),0)</f>
        <v>-6.5064436207051865E-2</v>
      </c>
      <c r="Y7" s="31">
        <f>IFERROR(VLOOKUP($A7, All!$A$1:$AB$700,25,0),0)</f>
        <v>0.93172450683549435</v>
      </c>
    </row>
    <row r="8" spans="1:25">
      <c r="A8" s="7" t="s">
        <v>662</v>
      </c>
      <c r="B8" s="8">
        <f>IFERROR(VLOOKUP($A8, All!$A$1:$AB$699,2,0),300)</f>
        <v>101</v>
      </c>
      <c r="C8" s="8">
        <f>IFERROR(VLOOKUP($A8, All!$A$1:$AB$699,3,0),70)</f>
        <v>70</v>
      </c>
      <c r="D8" s="8">
        <f>IFERROR(VLOOKUP($A8, All!$A$1:$AB$699,4,0),Math!B$2)</f>
        <v>0.55000000000000004</v>
      </c>
      <c r="E8" s="8">
        <f>IFERROR(VLOOKUP($A8, All!$A$1:$AB$700,5,0),Math!C$2)</f>
        <v>0.81</v>
      </c>
      <c r="F8" s="8">
        <f>IFERROR(VLOOKUP($A8, All!$A$1:$AB$700,6,0),Math!D$2)</f>
        <v>0.1</v>
      </c>
      <c r="G8" s="8">
        <f>IFERROR(VLOOKUP($A8, All!$A$1:$AB$700,7,0),Math!E$2)</f>
        <v>9.6</v>
      </c>
      <c r="H8" s="8">
        <f>IFERROR(VLOOKUP($A8, All!$A$1:$AB$700,8,0),Math!F$2)</f>
        <v>1.9</v>
      </c>
      <c r="I8" s="8">
        <f>IFERROR(VLOOKUP($A8, All!$A$1:$AB$700,9,0),Math!G$2)</f>
        <v>0.5</v>
      </c>
      <c r="J8" s="8">
        <f>IFERROR(VLOOKUP($A8, All!$A$1:$AB$700,10,0),Math!H$2)</f>
        <v>0.4</v>
      </c>
      <c r="K8" s="8">
        <f>IFERROR(VLOOKUP($A8, All!$A$1:$AB$700,11,0),Math!I$2)</f>
        <v>1.9</v>
      </c>
      <c r="L8" s="8">
        <f>IFERROR(VLOOKUP($A8, All!$A$1:$AB$700,12,0),Math!J$2)</f>
        <v>13.9</v>
      </c>
      <c r="M8" s="8">
        <f>IFERROR(VLOOKUP($A8, All!$A$1:$AB$700,13,0),Math!K$2)</f>
        <v>5.6</v>
      </c>
      <c r="N8" s="8">
        <f>IFERROR(VLOOKUP($A8, All!$A$1:$AB$700,14,0),Math!L$2)</f>
        <v>10.199999999999999</v>
      </c>
      <c r="O8" s="8">
        <f>IFERROR(VLOOKUP($A8, All!$A$1:$AB$700,15,0),Math!M$2)</f>
        <v>2.6</v>
      </c>
      <c r="P8" s="8">
        <f>IFERROR(VLOOKUP($A8, All!$A$1:$AB$700,16,0),Math!N$2)</f>
        <v>3.2</v>
      </c>
      <c r="Q8" s="31">
        <f>IFERROR(VLOOKUP($A8, All!$A$1:$AB$700,17,0),0)</f>
        <v>1.3429311059509295</v>
      </c>
      <c r="R8" s="31">
        <f>IFERROR(VLOOKUP($A8, All!$A$1:$AB$700,18,0),0)</f>
        <v>0.36109665445982869</v>
      </c>
      <c r="S8" s="31">
        <f>IFERROR(VLOOKUP($A8, All!$A$1:$AB$700,19,0),0)</f>
        <v>-1.4629694341856569</v>
      </c>
      <c r="T8" s="31">
        <f>IFERROR(VLOOKUP($A8, All!$A$1:$AB$700,20,0),0)</f>
        <v>1.4225109335274506</v>
      </c>
      <c r="U8" s="31">
        <f>IFERROR(VLOOKUP($A8, All!$A$1:$AB$700,21,0),0)</f>
        <v>-0.69449174203559916</v>
      </c>
      <c r="V8" s="31">
        <f>IFERROR(VLOOKUP($A8, All!$A$1:$AB$700,22,0),0)</f>
        <v>-1.2400291533239061</v>
      </c>
      <c r="W8" s="31">
        <f>IFERROR(VLOOKUP($A8, All!$A$1:$AB$700,23,0),0)</f>
        <v>-0.53563136395848565</v>
      </c>
      <c r="X8" s="31">
        <f>IFERROR(VLOOKUP($A8, All!$A$1:$AB$700,24,0),0)</f>
        <v>-0.19921791292262073</v>
      </c>
      <c r="Y8" s="31">
        <f>IFERROR(VLOOKUP($A8, All!$A$1:$AB$700,25,0),0)</f>
        <v>-0.27127679314577663</v>
      </c>
    </row>
    <row r="9" spans="1:25">
      <c r="A9" s="7" t="s">
        <v>669</v>
      </c>
      <c r="B9" s="8">
        <f>IFERROR(VLOOKUP($A9, All!$A$1:$AB$699,2,0),300)</f>
        <v>94</v>
      </c>
      <c r="C9" s="8">
        <f>IFERROR(VLOOKUP($A9, All!$A$1:$AB$699,3,0),70)</f>
        <v>68</v>
      </c>
      <c r="D9" s="8">
        <f>IFERROR(VLOOKUP($A9, All!$A$1:$AB$699,4,0),Math!B$2)</f>
        <v>0.45</v>
      </c>
      <c r="E9" s="8">
        <f>IFERROR(VLOOKUP($A9, All!$A$1:$AB$700,5,0),Math!C$2)</f>
        <v>0.71</v>
      </c>
      <c r="F9" s="8">
        <f>IFERROR(VLOOKUP($A9, All!$A$1:$AB$700,6,0),Math!D$2)</f>
        <v>1.5</v>
      </c>
      <c r="G9" s="8">
        <f>IFERROR(VLOOKUP($A9, All!$A$1:$AB$700,7,0),Math!E$2)</f>
        <v>4.5</v>
      </c>
      <c r="H9" s="8">
        <f>IFERROR(VLOOKUP($A9, All!$A$1:$AB$700,8,0),Math!F$2)</f>
        <v>4.5999999999999996</v>
      </c>
      <c r="I9" s="8">
        <f>IFERROR(VLOOKUP($A9, All!$A$1:$AB$700,9,0),Math!G$2)</f>
        <v>1.3</v>
      </c>
      <c r="J9" s="8">
        <f>IFERROR(VLOOKUP($A9, All!$A$1:$AB$700,10,0),Math!H$2)</f>
        <v>0.6</v>
      </c>
      <c r="K9" s="8">
        <f>IFERROR(VLOOKUP($A9, All!$A$1:$AB$700,11,0),Math!I$2)</f>
        <v>1.9</v>
      </c>
      <c r="L9" s="8">
        <f>IFERROR(VLOOKUP($A9, All!$A$1:$AB$700,12,0),Math!J$2)</f>
        <v>17.399999999999999</v>
      </c>
      <c r="M9" s="8">
        <f>IFERROR(VLOOKUP($A9, All!$A$1:$AB$700,13,0),Math!K$2)</f>
        <v>6.7</v>
      </c>
      <c r="N9" s="8">
        <f>IFERROR(VLOOKUP($A9, All!$A$1:$AB$700,14,0),Math!L$2)</f>
        <v>14.9</v>
      </c>
      <c r="O9" s="8">
        <f>IFERROR(VLOOKUP($A9, All!$A$1:$AB$700,15,0),Math!M$2)</f>
        <v>2.5</v>
      </c>
      <c r="P9" s="8">
        <f>IFERROR(VLOOKUP($A9, All!$A$1:$AB$700,16,0),Math!N$2)</f>
        <v>3.5</v>
      </c>
      <c r="Q9" s="31">
        <f>IFERROR(VLOOKUP($A9, All!$A$1:$AB$700,17,0),0)</f>
        <v>-0.50556318992096039</v>
      </c>
      <c r="R9" s="31">
        <f>IFERROR(VLOOKUP($A9, All!$A$1:$AB$700,18,0),0)</f>
        <v>-0.85063708533825322</v>
      </c>
      <c r="S9" s="31">
        <f>IFERROR(VLOOKUP($A9, All!$A$1:$AB$700,19,0),0)</f>
        <v>4.7470984590095355E-2</v>
      </c>
      <c r="T9" s="31">
        <f>IFERROR(VLOOKUP($A9, All!$A$1:$AB$700,20,0),0)</f>
        <v>-0.514428263105843</v>
      </c>
      <c r="U9" s="31">
        <f>IFERROR(VLOOKUP($A9, All!$A$1:$AB$700,21,0),0)</f>
        <v>0.65988001924725836</v>
      </c>
      <c r="V9" s="31">
        <f>IFERROR(VLOOKUP($A9, All!$A$1:$AB$700,22,0),0)</f>
        <v>0.87065876722742253</v>
      </c>
      <c r="W9" s="31">
        <f>IFERROR(VLOOKUP($A9, All!$A$1:$AB$700,23,0),0)</f>
        <v>-0.16749984233753273</v>
      </c>
      <c r="X9" s="31">
        <f>IFERROR(VLOOKUP($A9, All!$A$1:$AB$700,24,0),0)</f>
        <v>-0.19921791292262073</v>
      </c>
      <c r="Y9" s="31">
        <f>IFERROR(VLOOKUP($A9, All!$A$1:$AB$700,25,0),0)</f>
        <v>0.43047396517663128</v>
      </c>
    </row>
    <row r="10" spans="1:25">
      <c r="A10" s="7" t="s">
        <v>59</v>
      </c>
      <c r="B10" s="8">
        <f>IFERROR(VLOOKUP($A10, All!$A$1:$AB$699,2,0),300)</f>
        <v>47</v>
      </c>
      <c r="C10" s="8">
        <f>IFERROR(VLOOKUP($A10, All!$A$1:$AB$699,3,0),70)</f>
        <v>80</v>
      </c>
      <c r="D10" s="8">
        <f>IFERROR(VLOOKUP($A10, All!$A$1:$AB$699,4,0),Math!B$2)</f>
        <v>0.55000000000000004</v>
      </c>
      <c r="E10" s="8">
        <f>IFERROR(VLOOKUP($A10, All!$A$1:$AB$700,5,0),Math!C$2)</f>
        <v>0.73</v>
      </c>
      <c r="F10" s="8">
        <f>IFERROR(VLOOKUP($A10, All!$A$1:$AB$700,6,0),Math!D$2)</f>
        <v>0</v>
      </c>
      <c r="G10" s="8">
        <f>IFERROR(VLOOKUP($A10, All!$A$1:$AB$700,7,0),Math!E$2)</f>
        <v>10.1</v>
      </c>
      <c r="H10" s="8">
        <f>IFERROR(VLOOKUP($A10, All!$A$1:$AB$700,8,0),Math!F$2)</f>
        <v>3</v>
      </c>
      <c r="I10" s="8">
        <f>IFERROR(VLOOKUP($A10, All!$A$1:$AB$700,9,0),Math!G$2)</f>
        <v>1.2</v>
      </c>
      <c r="J10" s="8">
        <f>IFERROR(VLOOKUP($A10, All!$A$1:$AB$700,10,0),Math!H$2)</f>
        <v>1.3</v>
      </c>
      <c r="K10" s="8">
        <f>IFERROR(VLOOKUP($A10, All!$A$1:$AB$700,11,0),Math!I$2)</f>
        <v>1.9</v>
      </c>
      <c r="L10" s="8">
        <f>IFERROR(VLOOKUP($A10, All!$A$1:$AB$700,12,0),Math!J$2)</f>
        <v>14.4</v>
      </c>
      <c r="M10" s="8">
        <f>IFERROR(VLOOKUP($A10, All!$A$1:$AB$700,13,0),Math!K$2)</f>
        <v>5.8</v>
      </c>
      <c r="N10" s="8">
        <f>IFERROR(VLOOKUP($A10, All!$A$1:$AB$700,14,0),Math!L$2)</f>
        <v>10.6</v>
      </c>
      <c r="O10" s="8">
        <f>IFERROR(VLOOKUP($A10, All!$A$1:$AB$700,15,0),Math!M$2)</f>
        <v>2.7</v>
      </c>
      <c r="P10" s="8">
        <f>IFERROR(VLOOKUP($A10, All!$A$1:$AB$700,16,0),Math!N$2)</f>
        <v>3.7</v>
      </c>
      <c r="Q10" s="31">
        <f>IFERROR(VLOOKUP($A10, All!$A$1:$AB$700,17,0),0)</f>
        <v>1.3429311059509295</v>
      </c>
      <c r="R10" s="31">
        <f>IFERROR(VLOOKUP($A10, All!$A$1:$AB$700,18,0),0)</f>
        <v>-0.6082903373786368</v>
      </c>
      <c r="S10" s="31">
        <f>IFERROR(VLOOKUP($A10, All!$A$1:$AB$700,19,0),0)</f>
        <v>-1.5708580355267823</v>
      </c>
      <c r="T10" s="31">
        <f>IFERROR(VLOOKUP($A10, All!$A$1:$AB$700,20,0),0)</f>
        <v>1.6124069331973814</v>
      </c>
      <c r="U10" s="31">
        <f>IFERROR(VLOOKUP($A10, All!$A$1:$AB$700,21,0),0)</f>
        <v>-0.14271065410554598</v>
      </c>
      <c r="V10" s="31">
        <f>IFERROR(VLOOKUP($A10, All!$A$1:$AB$700,22,0),0)</f>
        <v>0.6068227771585063</v>
      </c>
      <c r="W10" s="31">
        <f>IFERROR(VLOOKUP($A10, All!$A$1:$AB$700,23,0),0)</f>
        <v>1.1209604833358027</v>
      </c>
      <c r="X10" s="31">
        <f>IFERROR(VLOOKUP($A10, All!$A$1:$AB$700,24,0),0)</f>
        <v>-0.19921791292262073</v>
      </c>
      <c r="Y10" s="31">
        <f>IFERROR(VLOOKUP($A10, All!$A$1:$AB$700,25,0),0)</f>
        <v>-0.17102668481400404</v>
      </c>
    </row>
    <row r="11" spans="1:25">
      <c r="A11" s="7" t="s">
        <v>887</v>
      </c>
      <c r="B11" s="8">
        <f>IFERROR(VLOOKUP($A11, All!$A$1:$AB$699,2,0),300)</f>
        <v>82</v>
      </c>
      <c r="C11" s="8">
        <f>IFERROR(VLOOKUP($A11, All!$A$1:$AB$699,3,0),70)</f>
        <v>72</v>
      </c>
      <c r="D11" s="8">
        <f>IFERROR(VLOOKUP($A11, All!$A$1:$AB$699,4,0),Math!B$2)</f>
        <v>0.44</v>
      </c>
      <c r="E11" s="8">
        <f>IFERROR(VLOOKUP($A11, All!$A$1:$AB$700,5,0),Math!C$2)</f>
        <v>0.76</v>
      </c>
      <c r="F11" s="8">
        <f>IFERROR(VLOOKUP($A11, All!$A$1:$AB$700,6,0),Math!D$2)</f>
        <v>1.9</v>
      </c>
      <c r="G11" s="8">
        <f>IFERROR(VLOOKUP($A11, All!$A$1:$AB$700,7,0),Math!E$2)</f>
        <v>4.9000000000000004</v>
      </c>
      <c r="H11" s="8">
        <f>IFERROR(VLOOKUP($A11, All!$A$1:$AB$700,8,0),Math!F$2)</f>
        <v>1.5</v>
      </c>
      <c r="I11" s="8">
        <f>IFERROR(VLOOKUP($A11, All!$A$1:$AB$700,9,0),Math!G$2)</f>
        <v>1.5</v>
      </c>
      <c r="J11" s="8">
        <f>IFERROR(VLOOKUP($A11, All!$A$1:$AB$700,10,0),Math!H$2)</f>
        <v>0.9</v>
      </c>
      <c r="K11" s="8">
        <f>IFERROR(VLOOKUP($A11, All!$A$1:$AB$700,11,0),Math!I$2)</f>
        <v>1.5</v>
      </c>
      <c r="L11" s="8">
        <f>IFERROR(VLOOKUP($A11, All!$A$1:$AB$700,12,0),Math!J$2)</f>
        <v>16.899999999999999</v>
      </c>
      <c r="M11" s="8">
        <f>IFERROR(VLOOKUP($A11, All!$A$1:$AB$700,13,0),Math!K$2)</f>
        <v>6.1</v>
      </c>
      <c r="N11" s="8">
        <f>IFERROR(VLOOKUP($A11, All!$A$1:$AB$700,14,0),Math!L$2)</f>
        <v>13.8</v>
      </c>
      <c r="O11" s="8">
        <f>IFERROR(VLOOKUP($A11, All!$A$1:$AB$700,15,0),Math!M$2)</f>
        <v>2.8</v>
      </c>
      <c r="P11" s="8">
        <f>IFERROR(VLOOKUP($A11, All!$A$1:$AB$700,16,0),Math!N$2)</f>
        <v>3.7</v>
      </c>
      <c r="Q11" s="31">
        <f>IFERROR(VLOOKUP($A11, All!$A$1:$AB$700,17,0),0)</f>
        <v>-0.69041261950814947</v>
      </c>
      <c r="R11" s="31">
        <f>IFERROR(VLOOKUP($A11, All!$A$1:$AB$700,18,0),0)</f>
        <v>-0.24477021543921229</v>
      </c>
      <c r="S11" s="31">
        <f>IFERROR(VLOOKUP($A11, All!$A$1:$AB$700,19,0),0)</f>
        <v>0.47902538995459598</v>
      </c>
      <c r="T11" s="31">
        <f>IFERROR(VLOOKUP($A11, All!$A$1:$AB$700,20,0),0)</f>
        <v>-0.36251146336989831</v>
      </c>
      <c r="U11" s="31">
        <f>IFERROR(VLOOKUP($A11, All!$A$1:$AB$700,21,0),0)</f>
        <v>-0.89513941037380029</v>
      </c>
      <c r="V11" s="31">
        <f>IFERROR(VLOOKUP($A11, All!$A$1:$AB$700,22,0),0)</f>
        <v>1.3983307473652546</v>
      </c>
      <c r="W11" s="31">
        <f>IFERROR(VLOOKUP($A11, All!$A$1:$AB$700,23,0),0)</f>
        <v>0.38469744009389678</v>
      </c>
      <c r="X11" s="31">
        <f>IFERROR(VLOOKUP($A11, All!$A$1:$AB$700,24,0),0)</f>
        <v>0.3373959939396553</v>
      </c>
      <c r="Y11" s="31">
        <f>IFERROR(VLOOKUP($A11, All!$A$1:$AB$700,25,0),0)</f>
        <v>0.33022385684485867</v>
      </c>
    </row>
    <row r="12" spans="1:25">
      <c r="A12" s="7" t="s">
        <v>70</v>
      </c>
      <c r="B12" s="8">
        <f>IFERROR(VLOOKUP($A12, All!$A$1:$AB$699,2,0),300)</f>
        <v>70</v>
      </c>
      <c r="C12" s="8">
        <f>IFERROR(VLOOKUP($A12, All!$A$1:$AB$699,3,0),70)</f>
        <v>76</v>
      </c>
      <c r="D12" s="8">
        <f>IFERROR(VLOOKUP($A12, All!$A$1:$AB$699,4,0),Math!B$2)</f>
        <v>0.44</v>
      </c>
      <c r="E12" s="8">
        <f>IFERROR(VLOOKUP($A12, All!$A$1:$AB$700,5,0),Math!C$2)</f>
        <v>0.83</v>
      </c>
      <c r="F12" s="8">
        <f>IFERROR(VLOOKUP($A12, All!$A$1:$AB$700,6,0),Math!D$2)</f>
        <v>1.4</v>
      </c>
      <c r="G12" s="8">
        <f>IFERROR(VLOOKUP($A12, All!$A$1:$AB$700,7,0),Math!E$2)</f>
        <v>6.7</v>
      </c>
      <c r="H12" s="8">
        <f>IFERROR(VLOOKUP($A12, All!$A$1:$AB$700,8,0),Math!F$2)</f>
        <v>1.4</v>
      </c>
      <c r="I12" s="8">
        <f>IFERROR(VLOOKUP($A12, All!$A$1:$AB$700,9,0),Math!G$2)</f>
        <v>1.2</v>
      </c>
      <c r="J12" s="8">
        <f>IFERROR(VLOOKUP($A12, All!$A$1:$AB$700,10,0),Math!H$2)</f>
        <v>1.5</v>
      </c>
      <c r="K12" s="8">
        <f>IFERROR(VLOOKUP($A12, All!$A$1:$AB$700,11,0),Math!I$2)</f>
        <v>1.2</v>
      </c>
      <c r="L12" s="8">
        <f>IFERROR(VLOOKUP($A12, All!$A$1:$AB$700,12,0),Math!J$2)</f>
        <v>12.5</v>
      </c>
      <c r="M12" s="8">
        <f>IFERROR(VLOOKUP($A12, All!$A$1:$AB$700,13,0),Math!K$2)</f>
        <v>4.5999999999999996</v>
      </c>
      <c r="N12" s="8">
        <f>IFERROR(VLOOKUP($A12, All!$A$1:$AB$700,14,0),Math!L$2)</f>
        <v>10.4</v>
      </c>
      <c r="O12" s="8">
        <f>IFERROR(VLOOKUP($A12, All!$A$1:$AB$700,15,0),Math!M$2)</f>
        <v>1.9</v>
      </c>
      <c r="P12" s="8">
        <f>IFERROR(VLOOKUP($A12, All!$A$1:$AB$700,16,0),Math!N$2)</f>
        <v>2.2999999999999998</v>
      </c>
      <c r="Q12" s="31">
        <f>IFERROR(VLOOKUP($A12, All!$A$1:$AB$700,17,0),0)</f>
        <v>-0.69041261950814947</v>
      </c>
      <c r="R12" s="31">
        <f>IFERROR(VLOOKUP($A12, All!$A$1:$AB$700,18,0),0)</f>
        <v>0.60344340241944372</v>
      </c>
      <c r="S12" s="31">
        <f>IFERROR(VLOOKUP($A12, All!$A$1:$AB$700,19,0),0)</f>
        <v>-6.0417616751029912E-2</v>
      </c>
      <c r="T12" s="31">
        <f>IFERROR(VLOOKUP($A12, All!$A$1:$AB$700,20,0),0)</f>
        <v>0.32111413544185241</v>
      </c>
      <c r="U12" s="31">
        <f>IFERROR(VLOOKUP($A12, All!$A$1:$AB$700,21,0),0)</f>
        <v>-0.9453013274583506</v>
      </c>
      <c r="V12" s="31">
        <f>IFERROR(VLOOKUP($A12, All!$A$1:$AB$700,22,0),0)</f>
        <v>0.6068227771585063</v>
      </c>
      <c r="W12" s="31">
        <f>IFERROR(VLOOKUP($A12, All!$A$1:$AB$700,23,0),0)</f>
        <v>1.4890920049567555</v>
      </c>
      <c r="X12" s="31">
        <f>IFERROR(VLOOKUP($A12, All!$A$1:$AB$700,24,0),0)</f>
        <v>0.73985642408636254</v>
      </c>
      <c r="Y12" s="31">
        <f>IFERROR(VLOOKUP($A12, All!$A$1:$AB$700,25,0),0)</f>
        <v>-0.55197709647474003</v>
      </c>
    </row>
    <row r="13" spans="1:25">
      <c r="A13" s="7" t="s">
        <v>635</v>
      </c>
      <c r="B13" s="8">
        <f>IFERROR(VLOOKUP($A13, All!$A$1:$AB$699,2,0),300)</f>
        <v>67</v>
      </c>
      <c r="C13" s="8">
        <f>IFERROR(VLOOKUP($A13, All!$A$1:$AB$699,3,0),70)</f>
        <v>78</v>
      </c>
      <c r="D13" s="8">
        <f>IFERROR(VLOOKUP($A13, All!$A$1:$AB$699,4,0),Math!B$2)</f>
        <v>0.48</v>
      </c>
      <c r="E13" s="8">
        <f>IFERROR(VLOOKUP($A13, All!$A$1:$AB$700,5,0),Math!C$2)</f>
        <v>0.81</v>
      </c>
      <c r="F13" s="8">
        <f>IFERROR(VLOOKUP($A13, All!$A$1:$AB$700,6,0),Math!D$2)</f>
        <v>1.1000000000000001</v>
      </c>
      <c r="G13" s="8">
        <f>IFERROR(VLOOKUP($A13, All!$A$1:$AB$700,7,0),Math!E$2)</f>
        <v>3.6</v>
      </c>
      <c r="H13" s="8">
        <f>IFERROR(VLOOKUP($A13, All!$A$1:$AB$700,8,0),Math!F$2)</f>
        <v>4.7</v>
      </c>
      <c r="I13" s="8">
        <f>IFERROR(VLOOKUP($A13, All!$A$1:$AB$700,9,0),Math!G$2)</f>
        <v>1.5</v>
      </c>
      <c r="J13" s="8">
        <f>IFERROR(VLOOKUP($A13, All!$A$1:$AB$700,10,0),Math!H$2)</f>
        <v>0.6</v>
      </c>
      <c r="K13" s="8">
        <f>IFERROR(VLOOKUP($A13, All!$A$1:$AB$700,11,0),Math!I$2)</f>
        <v>2.1</v>
      </c>
      <c r="L13" s="8">
        <f>IFERROR(VLOOKUP($A13, All!$A$1:$AB$700,12,0),Math!J$2)</f>
        <v>15.8</v>
      </c>
      <c r="M13" s="8">
        <f>IFERROR(VLOOKUP($A13, All!$A$1:$AB$700,13,0),Math!K$2)</f>
        <v>6.1</v>
      </c>
      <c r="N13" s="8">
        <f>IFERROR(VLOOKUP($A13, All!$A$1:$AB$700,14,0),Math!L$2)</f>
        <v>12.8</v>
      </c>
      <c r="O13" s="8">
        <f>IFERROR(VLOOKUP($A13, All!$A$1:$AB$700,15,0),Math!M$2)</f>
        <v>2.5</v>
      </c>
      <c r="P13" s="8">
        <f>IFERROR(VLOOKUP($A13, All!$A$1:$AB$700,16,0),Math!N$2)</f>
        <v>3.1</v>
      </c>
      <c r="Q13" s="31">
        <f>IFERROR(VLOOKUP($A13, All!$A$1:$AB$700,17,0),0)</f>
        <v>4.8985098840605826E-2</v>
      </c>
      <c r="R13" s="31">
        <f>IFERROR(VLOOKUP($A13, All!$A$1:$AB$700,18,0),0)</f>
        <v>0.36109665445982869</v>
      </c>
      <c r="S13" s="31">
        <f>IFERROR(VLOOKUP($A13, All!$A$1:$AB$700,19,0),0)</f>
        <v>-0.38408342077440522</v>
      </c>
      <c r="T13" s="31">
        <f>IFERROR(VLOOKUP($A13, All!$A$1:$AB$700,20,0),0)</f>
        <v>-0.85624106251171839</v>
      </c>
      <c r="U13" s="31">
        <f>IFERROR(VLOOKUP($A13, All!$A$1:$AB$700,21,0),0)</f>
        <v>0.7100419363318089</v>
      </c>
      <c r="V13" s="31">
        <f>IFERROR(VLOOKUP($A13, All!$A$1:$AB$700,22,0),0)</f>
        <v>1.3983307473652546</v>
      </c>
      <c r="W13" s="31">
        <f>IFERROR(VLOOKUP($A13, All!$A$1:$AB$700,23,0),0)</f>
        <v>-0.16749984233753273</v>
      </c>
      <c r="X13" s="31">
        <f>IFERROR(VLOOKUP($A13, All!$A$1:$AB$700,24,0),0)</f>
        <v>-0.46752486635375906</v>
      </c>
      <c r="Y13" s="31">
        <f>IFERROR(VLOOKUP($A13, All!$A$1:$AB$700,25,0),0)</f>
        <v>0.10967361851495935</v>
      </c>
    </row>
    <row r="14" spans="1:25">
      <c r="A14" s="7" t="s">
        <v>83</v>
      </c>
      <c r="B14" s="8">
        <f>IFERROR(VLOOKUP($A14, All!$A$1:$AB$699,2,0),300)</f>
        <v>90</v>
      </c>
      <c r="C14" s="8">
        <f>IFERROR(VLOOKUP($A14, All!$A$1:$AB$699,3,0),70)</f>
        <v>66</v>
      </c>
      <c r="D14" s="8">
        <f>IFERROR(VLOOKUP($A14, All!$A$1:$AB$699,4,0),Math!B$2)</f>
        <v>0.47</v>
      </c>
      <c r="E14" s="8">
        <f>IFERROR(VLOOKUP($A14, All!$A$1:$AB$700,5,0),Math!C$2)</f>
        <v>0.81</v>
      </c>
      <c r="F14" s="8">
        <f>IFERROR(VLOOKUP($A14, All!$A$1:$AB$700,6,0),Math!D$2)</f>
        <v>2</v>
      </c>
      <c r="G14" s="8">
        <f>IFERROR(VLOOKUP($A14, All!$A$1:$AB$700,7,0),Math!E$2)</f>
        <v>3.1</v>
      </c>
      <c r="H14" s="8">
        <f>IFERROR(VLOOKUP($A14, All!$A$1:$AB$700,8,0),Math!F$2)</f>
        <v>2.4</v>
      </c>
      <c r="I14" s="8">
        <f>IFERROR(VLOOKUP($A14, All!$A$1:$AB$700,9,0),Math!G$2)</f>
        <v>1.4</v>
      </c>
      <c r="J14" s="8">
        <f>IFERROR(VLOOKUP($A14, All!$A$1:$AB$700,10,0),Math!H$2)</f>
        <v>0.3</v>
      </c>
      <c r="K14" s="8">
        <f>IFERROR(VLOOKUP($A14, All!$A$1:$AB$700,11,0),Math!I$2)</f>
        <v>1.3</v>
      </c>
      <c r="L14" s="8">
        <f>IFERROR(VLOOKUP($A14, All!$A$1:$AB$700,12,0),Math!J$2)</f>
        <v>16.600000000000001</v>
      </c>
      <c r="M14" s="8">
        <f>IFERROR(VLOOKUP($A14, All!$A$1:$AB$700,13,0),Math!K$2)</f>
        <v>6.2</v>
      </c>
      <c r="N14" s="8">
        <f>IFERROR(VLOOKUP($A14, All!$A$1:$AB$700,14,0),Math!L$2)</f>
        <v>13.3</v>
      </c>
      <c r="O14" s="8">
        <f>IFERROR(VLOOKUP($A14, All!$A$1:$AB$700,15,0),Math!M$2)</f>
        <v>2.2000000000000002</v>
      </c>
      <c r="P14" s="8">
        <f>IFERROR(VLOOKUP($A14, All!$A$1:$AB$700,16,0),Math!N$2)</f>
        <v>2.7</v>
      </c>
      <c r="Q14" s="31">
        <f>IFERROR(VLOOKUP($A14, All!$A$1:$AB$700,17,0),0)</f>
        <v>-0.13586433074658327</v>
      </c>
      <c r="R14" s="31">
        <f>IFERROR(VLOOKUP($A14, All!$A$1:$AB$700,18,0),0)</f>
        <v>0.36109665445982869</v>
      </c>
      <c r="S14" s="31">
        <f>IFERROR(VLOOKUP($A14, All!$A$1:$AB$700,19,0),0)</f>
        <v>0.58691399129572119</v>
      </c>
      <c r="T14" s="31">
        <f>IFERROR(VLOOKUP($A14, All!$A$1:$AB$700,20,0),0)</f>
        <v>-1.046137062181649</v>
      </c>
      <c r="U14" s="31">
        <f>IFERROR(VLOOKUP($A14, All!$A$1:$AB$700,21,0),0)</f>
        <v>-0.44368215661284777</v>
      </c>
      <c r="V14" s="31">
        <f>IFERROR(VLOOKUP($A14, All!$A$1:$AB$700,22,0),0)</f>
        <v>1.1344947572963382</v>
      </c>
      <c r="W14" s="31">
        <f>IFERROR(VLOOKUP($A14, All!$A$1:$AB$700,23,0),0)</f>
        <v>-0.71969712476896219</v>
      </c>
      <c r="X14" s="31">
        <f>IFERROR(VLOOKUP($A14, All!$A$1:$AB$700,24,0),0)</f>
        <v>0.60570294737079333</v>
      </c>
      <c r="Y14" s="31">
        <f>IFERROR(VLOOKUP($A14, All!$A$1:$AB$700,25,0),0)</f>
        <v>0.27007379184579566</v>
      </c>
    </row>
    <row r="16" spans="1:25">
      <c r="A16" s="9" t="s">
        <v>123</v>
      </c>
      <c r="B16" s="2" t="s">
        <v>121</v>
      </c>
      <c r="C16" s="10" t="s">
        <v>122</v>
      </c>
      <c r="D16" s="12" t="s">
        <v>129</v>
      </c>
      <c r="E16" s="12" t="s">
        <v>130</v>
      </c>
      <c r="F16" s="11" t="s">
        <v>5</v>
      </c>
      <c r="G16" s="11" t="s">
        <v>6</v>
      </c>
      <c r="H16" s="11" t="s">
        <v>7</v>
      </c>
      <c r="I16" s="11" t="s">
        <v>8</v>
      </c>
      <c r="J16" s="11" t="s">
        <v>9</v>
      </c>
      <c r="K16" s="11" t="s">
        <v>10</v>
      </c>
      <c r="L16" s="11" t="s">
        <v>11</v>
      </c>
      <c r="M16" s="12" t="s">
        <v>12</v>
      </c>
      <c r="N16" s="12" t="s">
        <v>13</v>
      </c>
      <c r="O16" s="4" t="s">
        <v>125</v>
      </c>
      <c r="P16" s="17" t="s">
        <v>126</v>
      </c>
      <c r="Q16" s="17" t="s">
        <v>127</v>
      </c>
      <c r="R16" s="18" t="s">
        <v>128</v>
      </c>
    </row>
    <row r="17" spans="1:18">
      <c r="A17" s="6"/>
      <c r="B17" s="15">
        <f t="shared" ref="B17:N17" si="0">AVERAGE(B2:B14)</f>
        <v>51.230769230769234</v>
      </c>
      <c r="C17" s="15">
        <f t="shared" si="0"/>
        <v>73</v>
      </c>
      <c r="D17" s="15">
        <f>(D2+D3+D4+D5+D6+D7+D8+D9+D10+D11+D12+D13+D14)/13</f>
        <v>0.49</v>
      </c>
      <c r="E17" s="15">
        <f>(E2+E3+E4+E5+E6+E7+E8+E9+E10+E11+E12+E13+E14)/13</f>
        <v>0.78538461538461546</v>
      </c>
      <c r="F17" s="15">
        <f t="shared" si="0"/>
        <v>1.4769230769230772</v>
      </c>
      <c r="G17" s="15">
        <f t="shared" si="0"/>
        <v>7.2615384615384606</v>
      </c>
      <c r="H17" s="15">
        <f t="shared" si="0"/>
        <v>3.1538461538461537</v>
      </c>
      <c r="I17" s="15">
        <f t="shared" si="0"/>
        <v>1.2846153846153845</v>
      </c>
      <c r="J17" s="15">
        <f t="shared" si="0"/>
        <v>1.1307692307692307</v>
      </c>
      <c r="K17" s="15">
        <f t="shared" si="0"/>
        <v>2.0307692307692307</v>
      </c>
      <c r="L17" s="15">
        <f t="shared" si="0"/>
        <v>17.746153846153849</v>
      </c>
      <c r="M17" s="15">
        <f>AVERAGE(M2:M14)</f>
        <v>6.4692307692307685</v>
      </c>
      <c r="N17" s="15">
        <f t="shared" si="0"/>
        <v>13.407692307692312</v>
      </c>
      <c r="O17" s="16">
        <f>M17/N17</f>
        <v>0.48250143430866305</v>
      </c>
      <c r="P17" s="16">
        <f>AVERAGE(O2:O14)</f>
        <v>3.3153846153846156</v>
      </c>
      <c r="Q17" s="16">
        <f>AVERAGE(P2:P14)</f>
        <v>4.1307692307692312</v>
      </c>
      <c r="R17" s="15">
        <f>P17/Q17</f>
        <v>0.8026070763500931</v>
      </c>
    </row>
    <row r="19" spans="1:18">
      <c r="A19" s="13" t="s">
        <v>124</v>
      </c>
      <c r="B19" s="11" t="s">
        <v>3</v>
      </c>
      <c r="C19" s="11" t="s">
        <v>4</v>
      </c>
      <c r="D19" s="11" t="s">
        <v>5</v>
      </c>
      <c r="E19" s="11" t="s">
        <v>6</v>
      </c>
      <c r="F19" s="11" t="s">
        <v>7</v>
      </c>
      <c r="G19" s="11" t="s">
        <v>8</v>
      </c>
      <c r="H19" s="11" t="s">
        <v>9</v>
      </c>
      <c r="I19" s="11" t="s">
        <v>10</v>
      </c>
      <c r="J19" s="11" t="s">
        <v>11</v>
      </c>
      <c r="K19" s="12" t="s">
        <v>12</v>
      </c>
      <c r="L19" s="12" t="s">
        <v>13</v>
      </c>
      <c r="M19" s="12" t="s">
        <v>126</v>
      </c>
      <c r="N19" s="12" t="s">
        <v>127</v>
      </c>
    </row>
    <row r="20" spans="1:18">
      <c r="A20" s="6"/>
      <c r="B20" s="16">
        <f>K20/L20</f>
        <v>0.4825014343086631</v>
      </c>
      <c r="C20" s="15">
        <f>M20/N20</f>
        <v>0.80260707635009298</v>
      </c>
      <c r="D20" s="15">
        <f t="shared" ref="D20:N20" si="1">SUM(F2:F14)</f>
        <v>19.200000000000003</v>
      </c>
      <c r="E20" s="15">
        <f t="shared" si="1"/>
        <v>94.399999999999991</v>
      </c>
      <c r="F20" s="15">
        <f t="shared" si="1"/>
        <v>41</v>
      </c>
      <c r="G20" s="15">
        <f t="shared" si="1"/>
        <v>16.7</v>
      </c>
      <c r="H20" s="15">
        <f t="shared" si="1"/>
        <v>14.700000000000001</v>
      </c>
      <c r="I20" s="15">
        <f t="shared" si="1"/>
        <v>26.4</v>
      </c>
      <c r="J20" s="15">
        <f t="shared" si="1"/>
        <v>230.70000000000005</v>
      </c>
      <c r="K20" s="15">
        <f t="shared" si="1"/>
        <v>84.1</v>
      </c>
      <c r="L20" s="15">
        <f t="shared" si="1"/>
        <v>174.30000000000004</v>
      </c>
      <c r="M20" s="15">
        <f t="shared" si="1"/>
        <v>43.1</v>
      </c>
      <c r="N20" s="15">
        <f t="shared" si="1"/>
        <v>53.70000000000001</v>
      </c>
    </row>
    <row r="32" spans="1:18">
      <c r="L32" s="64"/>
    </row>
    <row r="33" spans="12:12">
      <c r="L33" s="64"/>
    </row>
    <row r="34" spans="12:12">
      <c r="L34" s="64"/>
    </row>
    <row r="35" spans="12:12">
      <c r="L35" s="64"/>
    </row>
    <row r="36" spans="12:12">
      <c r="L36" s="64"/>
    </row>
    <row r="37" spans="12:12">
      <c r="L37" s="64"/>
    </row>
    <row r="38" spans="12:12">
      <c r="L38" s="64"/>
    </row>
    <row r="39" spans="12:12">
      <c r="L39" s="64"/>
    </row>
    <row r="40" spans="12:12">
      <c r="L40" s="64"/>
    </row>
    <row r="41" spans="12:12">
      <c r="L41" s="64"/>
    </row>
    <row r="42" spans="12:12">
      <c r="L42" s="64"/>
    </row>
    <row r="43" spans="12:12">
      <c r="L43" s="64"/>
    </row>
  </sheetData>
  <conditionalFormatting sqref="D2:D14">
    <cfRule type="colorScale" priority="18">
      <colorScale>
        <cfvo type="min"/>
        <cfvo type="percentile" val="50"/>
        <cfvo type="max"/>
        <color rgb="FFF8696B"/>
        <color rgb="FFFFEB84"/>
        <color rgb="FF63BE7B"/>
      </colorScale>
    </cfRule>
  </conditionalFormatting>
  <conditionalFormatting sqref="E2:E14">
    <cfRule type="colorScale" priority="17">
      <colorScale>
        <cfvo type="min"/>
        <cfvo type="percentile" val="50"/>
        <cfvo type="max"/>
        <color rgb="FFF8696B"/>
        <color rgb="FFFFEB84"/>
        <color rgb="FF63BE7B"/>
      </colorScale>
    </cfRule>
  </conditionalFormatting>
  <conditionalFormatting sqref="F2:F14">
    <cfRule type="colorScale" priority="16">
      <colorScale>
        <cfvo type="min"/>
        <cfvo type="percentile" val="50"/>
        <cfvo type="max"/>
        <color rgb="FFF8696B"/>
        <color rgb="FFFFEB84"/>
        <color rgb="FF63BE7B"/>
      </colorScale>
    </cfRule>
  </conditionalFormatting>
  <conditionalFormatting sqref="G2:G14">
    <cfRule type="colorScale" priority="15">
      <colorScale>
        <cfvo type="min"/>
        <cfvo type="percentile" val="50"/>
        <cfvo type="max"/>
        <color rgb="FFF8696B"/>
        <color rgb="FFFFEB84"/>
        <color rgb="FF63BE7B"/>
      </colorScale>
    </cfRule>
  </conditionalFormatting>
  <conditionalFormatting sqref="H2:H14">
    <cfRule type="colorScale" priority="14">
      <colorScale>
        <cfvo type="min"/>
        <cfvo type="percentile" val="50"/>
        <cfvo type="max"/>
        <color rgb="FFF8696B"/>
        <color rgb="FFFFEB84"/>
        <color rgb="FF63BE7B"/>
      </colorScale>
    </cfRule>
  </conditionalFormatting>
  <conditionalFormatting sqref="I2:I14">
    <cfRule type="colorScale" priority="13">
      <colorScale>
        <cfvo type="min"/>
        <cfvo type="percentile" val="50"/>
        <cfvo type="max"/>
        <color rgb="FFF8696B"/>
        <color rgb="FFFFEB84"/>
        <color rgb="FF63BE7B"/>
      </colorScale>
    </cfRule>
  </conditionalFormatting>
  <conditionalFormatting sqref="J2:J14">
    <cfRule type="colorScale" priority="12">
      <colorScale>
        <cfvo type="min"/>
        <cfvo type="percentile" val="50"/>
        <cfvo type="max"/>
        <color rgb="FFF8696B"/>
        <color rgb="FFFFEB84"/>
        <color rgb="FF63BE7B"/>
      </colorScale>
    </cfRule>
  </conditionalFormatting>
  <conditionalFormatting sqref="K2:K14">
    <cfRule type="colorScale" priority="11">
      <colorScale>
        <cfvo type="min"/>
        <cfvo type="percentile" val="50"/>
        <cfvo type="max"/>
        <color rgb="FF63BE7B"/>
        <color rgb="FFFFEB84"/>
        <color rgb="FFF8696B"/>
      </colorScale>
    </cfRule>
  </conditionalFormatting>
  <conditionalFormatting sqref="L2:L14">
    <cfRule type="colorScale" priority="10">
      <colorScale>
        <cfvo type="min"/>
        <cfvo type="percentile" val="50"/>
        <cfvo type="max"/>
        <color rgb="FFF8696B"/>
        <color rgb="FFFFEB84"/>
        <color rgb="FF63BE7B"/>
      </colorScale>
    </cfRule>
  </conditionalFormatting>
  <conditionalFormatting sqref="Q2:Q14">
    <cfRule type="colorScale" priority="9">
      <colorScale>
        <cfvo type="min"/>
        <cfvo type="percentile" val="50"/>
        <cfvo type="max"/>
        <color rgb="FFF8696B"/>
        <color rgb="FFFFEB84"/>
        <color rgb="FF63BE7B"/>
      </colorScale>
    </cfRule>
  </conditionalFormatting>
  <conditionalFormatting sqref="R2:R14">
    <cfRule type="colorScale" priority="8">
      <colorScale>
        <cfvo type="min"/>
        <cfvo type="percentile" val="50"/>
        <cfvo type="max"/>
        <color rgb="FFF8696B"/>
        <color rgb="FFFFEB84"/>
        <color rgb="FF63BE7B"/>
      </colorScale>
    </cfRule>
  </conditionalFormatting>
  <conditionalFormatting sqref="S2:S14">
    <cfRule type="colorScale" priority="7">
      <colorScale>
        <cfvo type="min"/>
        <cfvo type="percentile" val="50"/>
        <cfvo type="max"/>
        <color rgb="FFF8696B"/>
        <color rgb="FFFFEB84"/>
        <color rgb="FF63BE7B"/>
      </colorScale>
    </cfRule>
  </conditionalFormatting>
  <conditionalFormatting sqref="T2:T14">
    <cfRule type="colorScale" priority="6">
      <colorScale>
        <cfvo type="min"/>
        <cfvo type="percentile" val="50"/>
        <cfvo type="max"/>
        <color rgb="FFF8696B"/>
        <color rgb="FFFFEB84"/>
        <color rgb="FF63BE7B"/>
      </colorScale>
    </cfRule>
  </conditionalFormatting>
  <conditionalFormatting sqref="U2:U14">
    <cfRule type="colorScale" priority="5">
      <colorScale>
        <cfvo type="min"/>
        <cfvo type="percentile" val="50"/>
        <cfvo type="max"/>
        <color rgb="FFF8696B"/>
        <color rgb="FFFFEB84"/>
        <color rgb="FF63BE7B"/>
      </colorScale>
    </cfRule>
  </conditionalFormatting>
  <conditionalFormatting sqref="V2:V14">
    <cfRule type="colorScale" priority="4">
      <colorScale>
        <cfvo type="min"/>
        <cfvo type="percentile" val="50"/>
        <cfvo type="max"/>
        <color rgb="FFF8696B"/>
        <color rgb="FFFFEB84"/>
        <color rgb="FF63BE7B"/>
      </colorScale>
    </cfRule>
  </conditionalFormatting>
  <conditionalFormatting sqref="W2:W14">
    <cfRule type="colorScale" priority="3">
      <colorScale>
        <cfvo type="min"/>
        <cfvo type="percentile" val="50"/>
        <cfvo type="max"/>
        <color rgb="FFF8696B"/>
        <color rgb="FFFFEB84"/>
        <color rgb="FF63BE7B"/>
      </colorScale>
    </cfRule>
  </conditionalFormatting>
  <conditionalFormatting sqref="X2:X14">
    <cfRule type="colorScale" priority="2">
      <colorScale>
        <cfvo type="min"/>
        <cfvo type="percentile" val="50"/>
        <cfvo type="max"/>
        <color rgb="FFF8696B"/>
        <color rgb="FFFFEB84"/>
        <color rgb="FF63BE7B"/>
      </colorScale>
    </cfRule>
  </conditionalFormatting>
  <conditionalFormatting sqref="Y2:Y14">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45DC1-A41B-9F4A-83F0-31ACA444970E}">
  <sheetPr codeName="Sheet4"/>
  <dimension ref="A1:Y20"/>
  <sheetViews>
    <sheetView workbookViewId="0">
      <selection activeCell="F32" sqref="F32"/>
    </sheetView>
  </sheetViews>
  <sheetFormatPr baseColWidth="10" defaultRowHeight="16"/>
  <cols>
    <col min="1" max="1" width="18.83203125" customWidth="1"/>
  </cols>
  <sheetData>
    <row r="1" spans="1:25">
      <c r="A1" s="1" t="s">
        <v>0</v>
      </c>
      <c r="B1" s="2" t="s">
        <v>1</v>
      </c>
      <c r="C1" s="3" t="s">
        <v>2</v>
      </c>
      <c r="D1" s="4" t="s">
        <v>3</v>
      </c>
      <c r="E1" s="4" t="s">
        <v>4</v>
      </c>
      <c r="F1" s="4" t="s">
        <v>5</v>
      </c>
      <c r="G1" s="4" t="s">
        <v>6</v>
      </c>
      <c r="H1" s="4" t="s">
        <v>7</v>
      </c>
      <c r="I1" s="4" t="s">
        <v>8</v>
      </c>
      <c r="J1" s="4" t="s">
        <v>9</v>
      </c>
      <c r="K1" s="4" t="s">
        <v>10</v>
      </c>
      <c r="L1" s="4" t="s">
        <v>11</v>
      </c>
      <c r="M1" s="5" t="s">
        <v>12</v>
      </c>
      <c r="N1" s="5" t="s">
        <v>13</v>
      </c>
      <c r="O1" s="5" t="s">
        <v>126</v>
      </c>
      <c r="P1" s="5" t="s">
        <v>127</v>
      </c>
      <c r="Q1" s="27" t="s">
        <v>144</v>
      </c>
      <c r="R1" s="28" t="s">
        <v>145</v>
      </c>
      <c r="S1" s="29" t="s">
        <v>146</v>
      </c>
      <c r="T1" s="29" t="s">
        <v>147</v>
      </c>
      <c r="U1" s="29" t="s">
        <v>148</v>
      </c>
      <c r="V1" s="29" t="s">
        <v>149</v>
      </c>
      <c r="W1" s="29" t="s">
        <v>150</v>
      </c>
      <c r="X1" s="29" t="s">
        <v>151</v>
      </c>
      <c r="Y1" s="29" t="s">
        <v>152</v>
      </c>
    </row>
    <row r="2" spans="1:25">
      <c r="A2" s="7" t="s">
        <v>533</v>
      </c>
      <c r="B2" s="8">
        <f>IFERROR(VLOOKUP($A2, All!$A$1:$AB$699,2,0),300)</f>
        <v>19</v>
      </c>
      <c r="C2" s="8">
        <f>IFERROR(VLOOKUP($A2, All!$A$1:$AB$699,3,0),70)</f>
        <v>73</v>
      </c>
      <c r="D2" s="8">
        <f>IFERROR(VLOOKUP($A2, All!$A$1:$AB$699,4,0),Math!B$2)</f>
        <v>0.47</v>
      </c>
      <c r="E2" s="8">
        <f>IFERROR(VLOOKUP($A2, All!$A$1:$AB$700,5,0),Math!C$2)</f>
        <v>0.78</v>
      </c>
      <c r="F2" s="8">
        <f>IFERROR(VLOOKUP($A2, All!$A$1:$AB$700,6,0),Math!D$2)</f>
        <v>1.8</v>
      </c>
      <c r="G2" s="8">
        <f>IFERROR(VLOOKUP($A2, All!$A$1:$AB$700,7,0),Math!E$2)</f>
        <v>5.0999999999999996</v>
      </c>
      <c r="H2" s="8">
        <f>IFERROR(VLOOKUP($A2, All!$A$1:$AB$700,8,0),Math!F$2)</f>
        <v>6.5</v>
      </c>
      <c r="I2" s="8">
        <f>IFERROR(VLOOKUP($A2, All!$A$1:$AB$700,9,0),Math!G$2)</f>
        <v>1.5</v>
      </c>
      <c r="J2" s="8">
        <f>IFERROR(VLOOKUP($A2, All!$A$1:$AB$700,10,0),Math!H$2)</f>
        <v>0.8</v>
      </c>
      <c r="K2" s="8">
        <f>IFERROR(VLOOKUP($A2, All!$A$1:$AB$700,11,0),Math!I$2)</f>
        <v>3</v>
      </c>
      <c r="L2" s="8">
        <f>IFERROR(VLOOKUP($A2, All!$A$1:$AB$700,12,0),Math!J$2)</f>
        <v>22.1</v>
      </c>
      <c r="M2" s="8">
        <f>IFERROR(VLOOKUP($A2, All!$A$1:$AB$700,13,0),Math!K$2)</f>
        <v>8.6</v>
      </c>
      <c r="N2" s="8">
        <f>IFERROR(VLOOKUP($A2, All!$A$1:$AB$700,14,0),Math!L$2)</f>
        <v>18.399999999999999</v>
      </c>
      <c r="O2" s="8">
        <f>IFERROR(VLOOKUP($A2, All!$A$1:$AB$700,15,0),Math!M$2)</f>
        <v>3.1</v>
      </c>
      <c r="P2" s="8">
        <f>IFERROR(VLOOKUP($A2, All!$A$1:$AB$700,16,0),Math!N$2)</f>
        <v>4</v>
      </c>
      <c r="Q2" s="31">
        <f>IFERROR(VLOOKUP($A2, All!$A$1:$AB$700,17,0),0)</f>
        <v>-0.13586433074658327</v>
      </c>
      <c r="R2" s="31">
        <f>IFERROR(VLOOKUP($A2, All!$A$1:$AB$700,18,0),0)</f>
        <v>-2.4234674795958946E-3</v>
      </c>
      <c r="S2" s="31">
        <f>IFERROR(VLOOKUP($A2, All!$A$1:$AB$700,19,0),0)</f>
        <v>0.37113678861347094</v>
      </c>
      <c r="T2" s="31">
        <f>IFERROR(VLOOKUP($A2, All!$A$1:$AB$700,20,0),0)</f>
        <v>-0.28655306350192628</v>
      </c>
      <c r="U2" s="31">
        <f>IFERROR(VLOOKUP($A2, All!$A$1:$AB$700,21,0),0)</f>
        <v>1.6129564438537141</v>
      </c>
      <c r="V2" s="31">
        <f>IFERROR(VLOOKUP($A2, All!$A$1:$AB$700,22,0),0)</f>
        <v>1.3983307473652546</v>
      </c>
      <c r="W2" s="31">
        <f>IFERROR(VLOOKUP($A2, All!$A$1:$AB$700,23,0),0)</f>
        <v>0.20063167928342035</v>
      </c>
      <c r="X2" s="31">
        <f>IFERROR(VLOOKUP($A2, All!$A$1:$AB$700,24,0),0)</f>
        <v>-1.6749061567938803</v>
      </c>
      <c r="Y2" s="31">
        <f>IFERROR(VLOOKUP($A2, All!$A$1:$AB$700,25,0),0)</f>
        <v>1.3728249834952944</v>
      </c>
    </row>
    <row r="3" spans="1:25">
      <c r="A3" s="7" t="s">
        <v>23</v>
      </c>
      <c r="B3" s="8">
        <f>IFERROR(VLOOKUP($A3, All!$A$1:$AB$699,2,0),300)</f>
        <v>18</v>
      </c>
      <c r="C3" s="8">
        <f>IFERROR(VLOOKUP($A3, All!$A$1:$AB$699,3,0),70)</f>
        <v>77</v>
      </c>
      <c r="D3" s="8">
        <f>IFERROR(VLOOKUP($A3, All!$A$1:$AB$699,4,0),Math!B$2)</f>
        <v>0.68</v>
      </c>
      <c r="E3" s="8">
        <f>IFERROR(VLOOKUP($A3, All!$A$1:$AB$700,5,0),Math!C$2)</f>
        <v>0.65</v>
      </c>
      <c r="F3" s="8">
        <f>IFERROR(VLOOKUP($A3, All!$A$1:$AB$700,6,0),Math!D$2)</f>
        <v>0</v>
      </c>
      <c r="G3" s="8">
        <f>IFERROR(VLOOKUP($A3, All!$A$1:$AB$700,7,0),Math!E$2)</f>
        <v>13.5</v>
      </c>
      <c r="H3" s="8">
        <f>IFERROR(VLOOKUP($A3, All!$A$1:$AB$700,8,0),Math!F$2)</f>
        <v>2.1</v>
      </c>
      <c r="I3" s="8">
        <f>IFERROR(VLOOKUP($A3, All!$A$1:$AB$700,9,0),Math!G$2)</f>
        <v>0.8</v>
      </c>
      <c r="J3" s="8">
        <f>IFERROR(VLOOKUP($A3, All!$A$1:$AB$700,10,0),Math!H$2)</f>
        <v>2.4</v>
      </c>
      <c r="K3" s="8">
        <f>IFERROR(VLOOKUP($A3, All!$A$1:$AB$700,11,0),Math!I$2)</f>
        <v>1.6</v>
      </c>
      <c r="L3" s="8">
        <f>IFERROR(VLOOKUP($A3, All!$A$1:$AB$700,12,0),Math!J$2)</f>
        <v>16.899999999999999</v>
      </c>
      <c r="M3" s="8">
        <f>IFERROR(VLOOKUP($A3, All!$A$1:$AB$700,13,0),Math!K$2)</f>
        <v>6.3</v>
      </c>
      <c r="N3" s="8">
        <f>IFERROR(VLOOKUP($A3, All!$A$1:$AB$700,14,0),Math!L$2)</f>
        <v>9.3000000000000007</v>
      </c>
      <c r="O3" s="8">
        <f>IFERROR(VLOOKUP($A3, All!$A$1:$AB$700,15,0),Math!M$2)</f>
        <v>4.4000000000000004</v>
      </c>
      <c r="P3" s="8">
        <f>IFERROR(VLOOKUP($A3, All!$A$1:$AB$700,16,0),Math!N$2)</f>
        <v>6.8</v>
      </c>
      <c r="Q3" s="31">
        <f>IFERROR(VLOOKUP($A3, All!$A$1:$AB$700,17,0),0)</f>
        <v>3.7459736905843855</v>
      </c>
      <c r="R3" s="31">
        <f>IFERROR(VLOOKUP($A3, All!$A$1:$AB$700,18,0),0)</f>
        <v>-1.5776773292171011</v>
      </c>
      <c r="S3" s="31">
        <f>IFERROR(VLOOKUP($A3, All!$A$1:$AB$700,19,0),0)</f>
        <v>-1.5708580355267823</v>
      </c>
      <c r="T3" s="31">
        <f>IFERROR(VLOOKUP($A3, All!$A$1:$AB$700,20,0),0)</f>
        <v>2.9036997309529107</v>
      </c>
      <c r="U3" s="31">
        <f>IFERROR(VLOOKUP($A3, All!$A$1:$AB$700,21,0),0)</f>
        <v>-0.59416790786649853</v>
      </c>
      <c r="V3" s="31">
        <f>IFERROR(VLOOKUP($A3, All!$A$1:$AB$700,22,0),0)</f>
        <v>-0.44852118311715766</v>
      </c>
      <c r="W3" s="31">
        <f>IFERROR(VLOOKUP($A3, All!$A$1:$AB$700,23,0),0)</f>
        <v>3.145683852251044</v>
      </c>
      <c r="X3" s="31">
        <f>IFERROR(VLOOKUP($A3, All!$A$1:$AB$700,24,0),0)</f>
        <v>0.20324251722408615</v>
      </c>
      <c r="Y3" s="31">
        <f>IFERROR(VLOOKUP($A3, All!$A$1:$AB$700,25,0),0)</f>
        <v>0.33022385684485867</v>
      </c>
    </row>
    <row r="4" spans="1:25">
      <c r="A4" s="7" t="s">
        <v>534</v>
      </c>
      <c r="B4" s="8">
        <f>IFERROR(VLOOKUP($A4, All!$A$1:$AB$699,2,0),300)</f>
        <v>29</v>
      </c>
      <c r="C4" s="8">
        <f>IFERROR(VLOOKUP($A4, All!$A$1:$AB$699,3,0),70)</f>
        <v>76</v>
      </c>
      <c r="D4" s="8">
        <f>IFERROR(VLOOKUP($A4, All!$A$1:$AB$699,4,0),Math!B$2)</f>
        <v>0.51</v>
      </c>
      <c r="E4" s="8">
        <f>IFERROR(VLOOKUP($A4, All!$A$1:$AB$700,5,0),Math!C$2)</f>
        <v>0.85</v>
      </c>
      <c r="F4" s="8">
        <f>IFERROR(VLOOKUP($A4, All!$A$1:$AB$700,6,0),Math!D$2)</f>
        <v>0.1</v>
      </c>
      <c r="G4" s="8">
        <f>IFERROR(VLOOKUP($A4, All!$A$1:$AB$700,7,0),Math!E$2)</f>
        <v>8.9</v>
      </c>
      <c r="H4" s="8">
        <f>IFERROR(VLOOKUP($A4, All!$A$1:$AB$700,8,0),Math!F$2)</f>
        <v>2.1</v>
      </c>
      <c r="I4" s="8">
        <f>IFERROR(VLOOKUP($A4, All!$A$1:$AB$700,9,0),Math!G$2)</f>
        <v>0.5</v>
      </c>
      <c r="J4" s="8">
        <f>IFERROR(VLOOKUP($A4, All!$A$1:$AB$700,10,0),Math!H$2)</f>
        <v>1.2</v>
      </c>
      <c r="K4" s="8">
        <f>IFERROR(VLOOKUP($A4, All!$A$1:$AB$700,11,0),Math!I$2)</f>
        <v>1.8</v>
      </c>
      <c r="L4" s="8">
        <f>IFERROR(VLOOKUP($A4, All!$A$1:$AB$700,12,0),Math!J$2)</f>
        <v>20.8</v>
      </c>
      <c r="M4" s="8">
        <f>IFERROR(VLOOKUP($A4, All!$A$1:$AB$700,13,0),Math!K$2)</f>
        <v>8.1</v>
      </c>
      <c r="N4" s="8">
        <f>IFERROR(VLOOKUP($A4, All!$A$1:$AB$700,14,0),Math!L$2)</f>
        <v>16</v>
      </c>
      <c r="O4" s="8">
        <f>IFERROR(VLOOKUP($A4, All!$A$1:$AB$700,15,0),Math!M$2)</f>
        <v>4.5</v>
      </c>
      <c r="P4" s="8">
        <f>IFERROR(VLOOKUP($A4, All!$A$1:$AB$700,16,0),Math!N$2)</f>
        <v>5.3</v>
      </c>
      <c r="Q4" s="31">
        <f>IFERROR(VLOOKUP($A4, All!$A$1:$AB$700,17,0),0)</f>
        <v>0.60353338760217312</v>
      </c>
      <c r="R4" s="31">
        <f>IFERROR(VLOOKUP($A4, All!$A$1:$AB$700,18,0),0)</f>
        <v>0.84579015037906013</v>
      </c>
      <c r="S4" s="31">
        <f>IFERROR(VLOOKUP($A4, All!$A$1:$AB$700,19,0),0)</f>
        <v>-1.4629694341856569</v>
      </c>
      <c r="T4" s="31">
        <f>IFERROR(VLOOKUP($A4, All!$A$1:$AB$700,20,0),0)</f>
        <v>1.1566565339895478</v>
      </c>
      <c r="U4" s="31">
        <f>IFERROR(VLOOKUP($A4, All!$A$1:$AB$700,21,0),0)</f>
        <v>-0.59416790786649853</v>
      </c>
      <c r="V4" s="31">
        <f>IFERROR(VLOOKUP($A4, All!$A$1:$AB$700,22,0),0)</f>
        <v>-1.2400291533239061</v>
      </c>
      <c r="W4" s="31">
        <f>IFERROR(VLOOKUP($A4, All!$A$1:$AB$700,23,0),0)</f>
        <v>0.93689472252532613</v>
      </c>
      <c r="X4" s="31">
        <f>IFERROR(VLOOKUP($A4, All!$A$1:$AB$700,24,0),0)</f>
        <v>-6.5064436207051865E-2</v>
      </c>
      <c r="Y4" s="31">
        <f>IFERROR(VLOOKUP($A4, All!$A$1:$AB$700,25,0),0)</f>
        <v>1.1121747018326855</v>
      </c>
    </row>
    <row r="5" spans="1:25">
      <c r="A5" s="7" t="s">
        <v>33</v>
      </c>
      <c r="B5" s="8">
        <f>IFERROR(VLOOKUP($A5, All!$A$1:$AB$699,2,0),300)</f>
        <v>26</v>
      </c>
      <c r="C5" s="8">
        <f>IFERROR(VLOOKUP($A5, All!$A$1:$AB$699,3,0),70)</f>
        <v>70</v>
      </c>
      <c r="D5" s="8">
        <f>IFERROR(VLOOKUP($A5, All!$A$1:$AB$699,4,0),Math!B$2)</f>
        <v>0.46</v>
      </c>
      <c r="E5" s="8">
        <f>IFERROR(VLOOKUP($A5, All!$A$1:$AB$700,5,0),Math!C$2)</f>
        <v>0.84</v>
      </c>
      <c r="F5" s="8">
        <f>IFERROR(VLOOKUP($A5, All!$A$1:$AB$700,6,0),Math!D$2)</f>
        <v>2.2000000000000002</v>
      </c>
      <c r="G5" s="8">
        <f>IFERROR(VLOOKUP($A5, All!$A$1:$AB$700,7,0),Math!E$2)</f>
        <v>3.4</v>
      </c>
      <c r="H5" s="8">
        <f>IFERROR(VLOOKUP($A5, All!$A$1:$AB$700,8,0),Math!F$2)</f>
        <v>6</v>
      </c>
      <c r="I5" s="8">
        <f>IFERROR(VLOOKUP($A5, All!$A$1:$AB$700,9,0),Math!G$2)</f>
        <v>1.2</v>
      </c>
      <c r="J5" s="8">
        <f>IFERROR(VLOOKUP($A5, All!$A$1:$AB$700,10,0),Math!H$2)</f>
        <v>0.3</v>
      </c>
      <c r="K5" s="8">
        <f>IFERROR(VLOOKUP($A5, All!$A$1:$AB$700,11,0),Math!I$2)</f>
        <v>1.8</v>
      </c>
      <c r="L5" s="8">
        <f>IFERROR(VLOOKUP($A5, All!$A$1:$AB$700,12,0),Math!J$2)</f>
        <v>19.3</v>
      </c>
      <c r="M5" s="8">
        <f>IFERROR(VLOOKUP($A5, All!$A$1:$AB$700,13,0),Math!K$2)</f>
        <v>6.1</v>
      </c>
      <c r="N5" s="8">
        <f>IFERROR(VLOOKUP($A5, All!$A$1:$AB$700,14,0),Math!L$2)</f>
        <v>13.4</v>
      </c>
      <c r="O5" s="8">
        <f>IFERROR(VLOOKUP($A5, All!$A$1:$AB$700,15,0),Math!M$2)</f>
        <v>4.9000000000000004</v>
      </c>
      <c r="P5" s="8">
        <f>IFERROR(VLOOKUP($A5, All!$A$1:$AB$700,16,0),Math!N$2)</f>
        <v>5.8</v>
      </c>
      <c r="Q5" s="31">
        <f>IFERROR(VLOOKUP($A5, All!$A$1:$AB$700,17,0),0)</f>
        <v>-0.3207137603337713</v>
      </c>
      <c r="R5" s="31">
        <f>IFERROR(VLOOKUP($A5, All!$A$1:$AB$700,18,0),0)</f>
        <v>0.72461677639925193</v>
      </c>
      <c r="S5" s="31">
        <f>IFERROR(VLOOKUP($A5, All!$A$1:$AB$700,19,0),0)</f>
        <v>0.80269119397797173</v>
      </c>
      <c r="T5" s="31">
        <f>IFERROR(VLOOKUP($A5, All!$A$1:$AB$700,20,0),0)</f>
        <v>-0.93219946237969076</v>
      </c>
      <c r="U5" s="31">
        <f>IFERROR(VLOOKUP($A5, All!$A$1:$AB$700,21,0),0)</f>
        <v>1.3621468584309626</v>
      </c>
      <c r="V5" s="31">
        <f>IFERROR(VLOOKUP($A5, All!$A$1:$AB$700,22,0),0)</f>
        <v>0.6068227771585063</v>
      </c>
      <c r="W5" s="31">
        <f>IFERROR(VLOOKUP($A5, All!$A$1:$AB$700,23,0),0)</f>
        <v>-0.71969712476896219</v>
      </c>
      <c r="X5" s="31">
        <f>IFERROR(VLOOKUP($A5, All!$A$1:$AB$700,24,0),0)</f>
        <v>-6.5064436207051865E-2</v>
      </c>
      <c r="Y5" s="31">
        <f>IFERROR(VLOOKUP($A5, All!$A$1:$AB$700,25,0),0)</f>
        <v>0.81142437683736768</v>
      </c>
    </row>
    <row r="6" spans="1:25">
      <c r="A6" s="7" t="s">
        <v>38</v>
      </c>
      <c r="B6" s="8">
        <f>IFERROR(VLOOKUP($A6, All!$A$1:$AB$699,2,0),300)</f>
        <v>28</v>
      </c>
      <c r="C6" s="8">
        <f>IFERROR(VLOOKUP($A6, All!$A$1:$AB$699,3,0),70)</f>
        <v>74</v>
      </c>
      <c r="D6" s="8">
        <f>IFERROR(VLOOKUP($A6, All!$A$1:$AB$699,4,0),Math!B$2)</f>
        <v>0.45</v>
      </c>
      <c r="E6" s="8">
        <f>IFERROR(VLOOKUP($A6, All!$A$1:$AB$700,5,0),Math!C$2)</f>
        <v>0.69</v>
      </c>
      <c r="F6" s="8">
        <f>IFERROR(VLOOKUP($A6, All!$A$1:$AB$700,6,0),Math!D$2)</f>
        <v>1</v>
      </c>
      <c r="G6" s="8">
        <f>IFERROR(VLOOKUP($A6, All!$A$1:$AB$700,7,0),Math!E$2)</f>
        <v>7.7</v>
      </c>
      <c r="H6" s="8">
        <f>IFERROR(VLOOKUP($A6, All!$A$1:$AB$700,8,0),Math!F$2)</f>
        <v>7.6</v>
      </c>
      <c r="I6" s="8">
        <f>IFERROR(VLOOKUP($A6, All!$A$1:$AB$700,9,0),Math!G$2)</f>
        <v>1.5</v>
      </c>
      <c r="J6" s="8">
        <f>IFERROR(VLOOKUP($A6, All!$A$1:$AB$700,10,0),Math!H$2)</f>
        <v>1.2</v>
      </c>
      <c r="K6" s="8">
        <f>IFERROR(VLOOKUP($A6, All!$A$1:$AB$700,11,0),Math!I$2)</f>
        <v>2.7</v>
      </c>
      <c r="L6" s="8">
        <f>IFERROR(VLOOKUP($A6, All!$A$1:$AB$700,12,0),Math!J$2)</f>
        <v>10.3</v>
      </c>
      <c r="M6" s="8">
        <f>IFERROR(VLOOKUP($A6, All!$A$1:$AB$700,13,0),Math!K$2)</f>
        <v>4.0999999999999996</v>
      </c>
      <c r="N6" s="8">
        <f>IFERROR(VLOOKUP($A6, All!$A$1:$AB$700,14,0),Math!L$2)</f>
        <v>9.1</v>
      </c>
      <c r="O6" s="8">
        <f>IFERROR(VLOOKUP($A6, All!$A$1:$AB$700,15,0),Math!M$2)</f>
        <v>1.1000000000000001</v>
      </c>
      <c r="P6" s="8">
        <f>IFERROR(VLOOKUP($A6, All!$A$1:$AB$700,16,0),Math!N$2)</f>
        <v>1.6</v>
      </c>
      <c r="Q6" s="31">
        <f>IFERROR(VLOOKUP($A6, All!$A$1:$AB$700,17,0),0)</f>
        <v>-0.50556318992096039</v>
      </c>
      <c r="R6" s="31">
        <f>IFERROR(VLOOKUP($A6, All!$A$1:$AB$700,18,0),0)</f>
        <v>-1.0929838332978696</v>
      </c>
      <c r="S6" s="31">
        <f>IFERROR(VLOOKUP($A6, All!$A$1:$AB$700,19,0),0)</f>
        <v>-0.49197202211553048</v>
      </c>
      <c r="T6" s="31">
        <f>IFERROR(VLOOKUP($A6, All!$A$1:$AB$700,20,0),0)</f>
        <v>0.70090613478171393</v>
      </c>
      <c r="U6" s="31">
        <f>IFERROR(VLOOKUP($A6, All!$A$1:$AB$700,21,0),0)</f>
        <v>2.1647375317837669</v>
      </c>
      <c r="V6" s="31">
        <f>IFERROR(VLOOKUP($A6, All!$A$1:$AB$700,22,0),0)</f>
        <v>1.3983307473652546</v>
      </c>
      <c r="W6" s="31">
        <f>IFERROR(VLOOKUP($A6, All!$A$1:$AB$700,23,0),0)</f>
        <v>0.93689472252532613</v>
      </c>
      <c r="X6" s="31">
        <f>IFERROR(VLOOKUP($A6, All!$A$1:$AB$700,24,0),0)</f>
        <v>-1.2724457266471734</v>
      </c>
      <c r="Y6" s="31">
        <f>IFERROR(VLOOKUP($A6, All!$A$1:$AB$700,25,0),0)</f>
        <v>-0.99307757313453937</v>
      </c>
    </row>
    <row r="7" spans="1:25">
      <c r="A7" s="7" t="s">
        <v>43</v>
      </c>
      <c r="B7" s="8">
        <f>IFERROR(VLOOKUP($A7, All!$A$1:$AB$699,2,0),300)</f>
        <v>40</v>
      </c>
      <c r="C7" s="8">
        <f>IFERROR(VLOOKUP($A7, All!$A$1:$AB$699,3,0),70)</f>
        <v>68</v>
      </c>
      <c r="D7" s="8">
        <f>IFERROR(VLOOKUP($A7, All!$A$1:$AB$699,4,0),Math!B$2)</f>
        <v>0.43</v>
      </c>
      <c r="E7" s="8">
        <f>IFERROR(VLOOKUP($A7, All!$A$1:$AB$700,5,0),Math!C$2)</f>
        <v>0.83</v>
      </c>
      <c r="F7" s="8">
        <f>IFERROR(VLOOKUP($A7, All!$A$1:$AB$700,6,0),Math!D$2)</f>
        <v>2.5</v>
      </c>
      <c r="G7" s="8">
        <f>IFERROR(VLOOKUP($A7, All!$A$1:$AB$700,7,0),Math!E$2)</f>
        <v>4.7</v>
      </c>
      <c r="H7" s="8">
        <f>IFERROR(VLOOKUP($A7, All!$A$1:$AB$700,8,0),Math!F$2)</f>
        <v>7.1</v>
      </c>
      <c r="I7" s="8">
        <f>IFERROR(VLOOKUP($A7, All!$A$1:$AB$700,9,0),Math!G$2)</f>
        <v>1.3</v>
      </c>
      <c r="J7" s="8">
        <f>IFERROR(VLOOKUP($A7, All!$A$1:$AB$700,10,0),Math!H$2)</f>
        <v>0.5</v>
      </c>
      <c r="K7" s="8">
        <f>IFERROR(VLOOKUP($A7, All!$A$1:$AB$700,11,0),Math!I$2)</f>
        <v>2.7</v>
      </c>
      <c r="L7" s="8">
        <f>IFERROR(VLOOKUP($A7, All!$A$1:$AB$700,12,0),Math!J$2)</f>
        <v>16.3</v>
      </c>
      <c r="M7" s="8">
        <f>IFERROR(VLOOKUP($A7, All!$A$1:$AB$700,13,0),Math!K$2)</f>
        <v>5.7</v>
      </c>
      <c r="N7" s="8">
        <f>IFERROR(VLOOKUP($A7, All!$A$1:$AB$700,14,0),Math!L$2)</f>
        <v>13.2</v>
      </c>
      <c r="O7" s="8">
        <f>IFERROR(VLOOKUP($A7, All!$A$1:$AB$700,15,0),Math!M$2)</f>
        <v>2.5</v>
      </c>
      <c r="P7" s="8">
        <f>IFERROR(VLOOKUP($A7, All!$A$1:$AB$700,16,0),Math!N$2)</f>
        <v>3</v>
      </c>
      <c r="Q7" s="31">
        <f>IFERROR(VLOOKUP($A7, All!$A$1:$AB$700,17,0),0)</f>
        <v>-0.87526204909533856</v>
      </c>
      <c r="R7" s="31">
        <f>IFERROR(VLOOKUP($A7, All!$A$1:$AB$700,18,0),0)</f>
        <v>0.60344340241944372</v>
      </c>
      <c r="S7" s="31">
        <f>IFERROR(VLOOKUP($A7, All!$A$1:$AB$700,19,0),0)</f>
        <v>1.126356998001347</v>
      </c>
      <c r="T7" s="31">
        <f>IFERROR(VLOOKUP($A7, All!$A$1:$AB$700,20,0),0)</f>
        <v>-0.43846986323787068</v>
      </c>
      <c r="U7" s="31">
        <f>IFERROR(VLOOKUP($A7, All!$A$1:$AB$700,21,0),0)</f>
        <v>1.9139279463610155</v>
      </c>
      <c r="V7" s="31">
        <f>IFERROR(VLOOKUP($A7, All!$A$1:$AB$700,22,0),0)</f>
        <v>0.87065876722742253</v>
      </c>
      <c r="W7" s="31">
        <f>IFERROR(VLOOKUP($A7, All!$A$1:$AB$700,23,0),0)</f>
        <v>-0.35156560314800916</v>
      </c>
      <c r="X7" s="31">
        <f>IFERROR(VLOOKUP($A7, All!$A$1:$AB$700,24,0),0)</f>
        <v>-1.2724457266471734</v>
      </c>
      <c r="Y7" s="31">
        <f>IFERROR(VLOOKUP($A7, All!$A$1:$AB$700,25,0),0)</f>
        <v>0.20992372684673197</v>
      </c>
    </row>
    <row r="8" spans="1:25">
      <c r="A8" s="7" t="s">
        <v>67</v>
      </c>
      <c r="B8" s="8">
        <f>IFERROR(VLOOKUP($A8, All!$A$1:$AB$699,2,0),300)</f>
        <v>75</v>
      </c>
      <c r="C8" s="8">
        <f>IFERROR(VLOOKUP($A8, All!$A$1:$AB$699,3,0),70)</f>
        <v>76</v>
      </c>
      <c r="D8" s="8">
        <f>IFERROR(VLOOKUP($A8, All!$A$1:$AB$699,4,0),Math!B$2)</f>
        <v>0.43</v>
      </c>
      <c r="E8" s="8">
        <f>IFERROR(VLOOKUP($A8, All!$A$1:$AB$700,5,0),Math!C$2)</f>
        <v>0.83</v>
      </c>
      <c r="F8" s="8">
        <f>IFERROR(VLOOKUP($A8, All!$A$1:$AB$700,6,0),Math!D$2)</f>
        <v>1.8</v>
      </c>
      <c r="G8" s="8">
        <f>IFERROR(VLOOKUP($A8, All!$A$1:$AB$700,7,0),Math!E$2)</f>
        <v>3.3</v>
      </c>
      <c r="H8" s="8">
        <f>IFERROR(VLOOKUP($A8, All!$A$1:$AB$700,8,0),Math!F$2)</f>
        <v>4.5999999999999996</v>
      </c>
      <c r="I8" s="8">
        <f>IFERROR(VLOOKUP($A8, All!$A$1:$AB$700,9,0),Math!G$2)</f>
        <v>2</v>
      </c>
      <c r="J8" s="8">
        <f>IFERROR(VLOOKUP($A8, All!$A$1:$AB$700,10,0),Math!H$2)</f>
        <v>0.5</v>
      </c>
      <c r="K8" s="8">
        <f>IFERROR(VLOOKUP($A8, All!$A$1:$AB$700,11,0),Math!I$2)</f>
        <v>1.6</v>
      </c>
      <c r="L8" s="8">
        <f>IFERROR(VLOOKUP($A8, All!$A$1:$AB$700,12,0),Math!J$2)</f>
        <v>10.199999999999999</v>
      </c>
      <c r="M8" s="8">
        <f>IFERROR(VLOOKUP($A8, All!$A$1:$AB$700,13,0),Math!K$2)</f>
        <v>3.5</v>
      </c>
      <c r="N8" s="8">
        <f>IFERROR(VLOOKUP($A8, All!$A$1:$AB$700,14,0),Math!L$2)</f>
        <v>8.1</v>
      </c>
      <c r="O8" s="8">
        <f>IFERROR(VLOOKUP($A8, All!$A$1:$AB$700,15,0),Math!M$2)</f>
        <v>1.5</v>
      </c>
      <c r="P8" s="8">
        <f>IFERROR(VLOOKUP($A8, All!$A$1:$AB$700,16,0),Math!N$2)</f>
        <v>1.8</v>
      </c>
      <c r="Q8" s="31">
        <f>IFERROR(VLOOKUP($A8, All!$A$1:$AB$700,17,0),0)</f>
        <v>-0.87526204909533856</v>
      </c>
      <c r="R8" s="31">
        <f>IFERROR(VLOOKUP($A8, All!$A$1:$AB$700,18,0),0)</f>
        <v>0.60344340241944372</v>
      </c>
      <c r="S8" s="31">
        <f>IFERROR(VLOOKUP($A8, All!$A$1:$AB$700,19,0),0)</f>
        <v>0.37113678861347094</v>
      </c>
      <c r="T8" s="31">
        <f>IFERROR(VLOOKUP($A8, All!$A$1:$AB$700,20,0),0)</f>
        <v>-0.97017866231367689</v>
      </c>
      <c r="U8" s="31">
        <f>IFERROR(VLOOKUP($A8, All!$A$1:$AB$700,21,0),0)</f>
        <v>0.65988001924725836</v>
      </c>
      <c r="V8" s="31">
        <f>IFERROR(VLOOKUP($A8, All!$A$1:$AB$700,22,0),0)</f>
        <v>2.7175106977098347</v>
      </c>
      <c r="W8" s="31">
        <f>IFERROR(VLOOKUP($A8, All!$A$1:$AB$700,23,0),0)</f>
        <v>-0.35156560314800916</v>
      </c>
      <c r="X8" s="31">
        <f>IFERROR(VLOOKUP($A8, All!$A$1:$AB$700,24,0),0)</f>
        <v>0.20324251722408615</v>
      </c>
      <c r="Y8" s="31">
        <f>IFERROR(VLOOKUP($A8, All!$A$1:$AB$700,25,0),0)</f>
        <v>-1.0131275948008942</v>
      </c>
    </row>
    <row r="9" spans="1:25">
      <c r="A9" s="7" t="s">
        <v>75</v>
      </c>
      <c r="B9" s="8">
        <f>IFERROR(VLOOKUP($A9, All!$A$1:$AB$699,2,0),300)</f>
        <v>98</v>
      </c>
      <c r="C9" s="8">
        <f>IFERROR(VLOOKUP($A9, All!$A$1:$AB$699,3,0),70)</f>
        <v>78</v>
      </c>
      <c r="D9" s="8">
        <f>IFERROR(VLOOKUP($A9, All!$A$1:$AB$699,4,0),Math!B$2)</f>
        <v>0.44</v>
      </c>
      <c r="E9" s="8">
        <f>IFERROR(VLOOKUP($A9, All!$A$1:$AB$700,5,0),Math!C$2)</f>
        <v>0.81</v>
      </c>
      <c r="F9" s="8">
        <f>IFERROR(VLOOKUP($A9, All!$A$1:$AB$700,6,0),Math!D$2)</f>
        <v>1.5</v>
      </c>
      <c r="G9" s="8">
        <f>IFERROR(VLOOKUP($A9, All!$A$1:$AB$700,7,0),Math!E$2)</f>
        <v>3.7</v>
      </c>
      <c r="H9" s="8">
        <f>IFERROR(VLOOKUP($A9, All!$A$1:$AB$700,8,0),Math!F$2)</f>
        <v>2.2999999999999998</v>
      </c>
      <c r="I9" s="8">
        <f>IFERROR(VLOOKUP($A9, All!$A$1:$AB$700,9,0),Math!G$2)</f>
        <v>1.7</v>
      </c>
      <c r="J9" s="8">
        <f>IFERROR(VLOOKUP($A9, All!$A$1:$AB$700,10,0),Math!H$2)</f>
        <v>0.6</v>
      </c>
      <c r="K9" s="8">
        <f>IFERROR(VLOOKUP($A9, All!$A$1:$AB$700,11,0),Math!I$2)</f>
        <v>0.9</v>
      </c>
      <c r="L9" s="8">
        <f>IFERROR(VLOOKUP($A9, All!$A$1:$AB$700,12,0),Math!J$2)</f>
        <v>10.1</v>
      </c>
      <c r="M9" s="8">
        <f>IFERROR(VLOOKUP($A9, All!$A$1:$AB$700,13,0),Math!K$2)</f>
        <v>3.6</v>
      </c>
      <c r="N9" s="8">
        <f>IFERROR(VLOOKUP($A9, All!$A$1:$AB$700,14,0),Math!L$2)</f>
        <v>8.1</v>
      </c>
      <c r="O9" s="8">
        <f>IFERROR(VLOOKUP($A9, All!$A$1:$AB$700,15,0),Math!M$2)</f>
        <v>1.3</v>
      </c>
      <c r="P9" s="8">
        <f>IFERROR(VLOOKUP($A9, All!$A$1:$AB$700,16,0),Math!N$2)</f>
        <v>1.6</v>
      </c>
      <c r="Q9" s="31">
        <f>IFERROR(VLOOKUP($A9, All!$A$1:$AB$700,17,0),0)</f>
        <v>-0.69041261950814947</v>
      </c>
      <c r="R9" s="31">
        <f>IFERROR(VLOOKUP($A9, All!$A$1:$AB$700,18,0),0)</f>
        <v>0.36109665445982869</v>
      </c>
      <c r="S9" s="31">
        <f>IFERROR(VLOOKUP($A9, All!$A$1:$AB$700,19,0),0)</f>
        <v>4.7470984590095355E-2</v>
      </c>
      <c r="T9" s="31">
        <f>IFERROR(VLOOKUP($A9, All!$A$1:$AB$700,20,0),0)</f>
        <v>-0.81826186257773215</v>
      </c>
      <c r="U9" s="31">
        <f>IFERROR(VLOOKUP($A9, All!$A$1:$AB$700,21,0),0)</f>
        <v>-0.49384407369739808</v>
      </c>
      <c r="V9" s="31">
        <f>IFERROR(VLOOKUP($A9, All!$A$1:$AB$700,22,0),0)</f>
        <v>1.9260027275030867</v>
      </c>
      <c r="W9" s="31">
        <f>IFERROR(VLOOKUP($A9, All!$A$1:$AB$700,23,0),0)</f>
        <v>-0.16749984233753273</v>
      </c>
      <c r="X9" s="31">
        <f>IFERROR(VLOOKUP($A9, All!$A$1:$AB$700,24,0),0)</f>
        <v>1.1423168542330695</v>
      </c>
      <c r="Y9" s="31">
        <f>IFERROR(VLOOKUP($A9, All!$A$1:$AB$700,25,0),0)</f>
        <v>-1.0331776164672486</v>
      </c>
    </row>
    <row r="10" spans="1:25">
      <c r="A10" s="7" t="s">
        <v>82</v>
      </c>
      <c r="B10" s="8">
        <f>IFERROR(VLOOKUP($A10, All!$A$1:$AB$699,2,0),300)</f>
        <v>89</v>
      </c>
      <c r="C10" s="8">
        <f>IFERROR(VLOOKUP($A10, All!$A$1:$AB$699,3,0),70)</f>
        <v>72</v>
      </c>
      <c r="D10" s="8">
        <f>IFERROR(VLOOKUP($A10, All!$A$1:$AB$699,4,0),Math!B$2)</f>
        <v>0.44</v>
      </c>
      <c r="E10" s="8">
        <f>IFERROR(VLOOKUP($A10, All!$A$1:$AB$700,5,0),Math!C$2)</f>
        <v>0.81</v>
      </c>
      <c r="F10" s="8">
        <f>IFERROR(VLOOKUP($A10, All!$A$1:$AB$700,6,0),Math!D$2)</f>
        <v>0.9</v>
      </c>
      <c r="G10" s="8">
        <f>IFERROR(VLOOKUP($A10, All!$A$1:$AB$700,7,0),Math!E$2)</f>
        <v>4.7</v>
      </c>
      <c r="H10" s="8">
        <f>IFERROR(VLOOKUP($A10, All!$A$1:$AB$700,8,0),Math!F$2)</f>
        <v>4.4000000000000004</v>
      </c>
      <c r="I10" s="8">
        <f>IFERROR(VLOOKUP($A10, All!$A$1:$AB$700,9,0),Math!G$2)</f>
        <v>1.5</v>
      </c>
      <c r="J10" s="8">
        <f>IFERROR(VLOOKUP($A10, All!$A$1:$AB$700,10,0),Math!H$2)</f>
        <v>0.5</v>
      </c>
      <c r="K10" s="8">
        <f>IFERROR(VLOOKUP($A10, All!$A$1:$AB$700,11,0),Math!I$2)</f>
        <v>1.3</v>
      </c>
      <c r="L10" s="8">
        <f>IFERROR(VLOOKUP($A10, All!$A$1:$AB$700,12,0),Math!J$2)</f>
        <v>12.6</v>
      </c>
      <c r="M10" s="8">
        <f>IFERROR(VLOOKUP($A10, All!$A$1:$AB$700,13,0),Math!K$2)</f>
        <v>4.7</v>
      </c>
      <c r="N10" s="8">
        <f>IFERROR(VLOOKUP($A10, All!$A$1:$AB$700,14,0),Math!L$2)</f>
        <v>10.7</v>
      </c>
      <c r="O10" s="8">
        <f>IFERROR(VLOOKUP($A10, All!$A$1:$AB$700,15,0),Math!M$2)</f>
        <v>2.2000000000000002</v>
      </c>
      <c r="P10" s="8">
        <f>IFERROR(VLOOKUP($A10, All!$A$1:$AB$700,16,0),Math!N$2)</f>
        <v>2.7</v>
      </c>
      <c r="Q10" s="31">
        <f>IFERROR(VLOOKUP($A10, All!$A$1:$AB$700,17,0),0)</f>
        <v>-0.69041261950814947</v>
      </c>
      <c r="R10" s="31">
        <f>IFERROR(VLOOKUP($A10, All!$A$1:$AB$700,18,0),0)</f>
        <v>0.36109665445982869</v>
      </c>
      <c r="S10" s="31">
        <f>IFERROR(VLOOKUP($A10, All!$A$1:$AB$700,19,0),0)</f>
        <v>-0.59986062345665569</v>
      </c>
      <c r="T10" s="31">
        <f>IFERROR(VLOOKUP($A10, All!$A$1:$AB$700,20,0),0)</f>
        <v>-0.43846986323787068</v>
      </c>
      <c r="U10" s="31">
        <f>IFERROR(VLOOKUP($A10, All!$A$1:$AB$700,21,0),0)</f>
        <v>0.55955618507815819</v>
      </c>
      <c r="V10" s="31">
        <f>IFERROR(VLOOKUP($A10, All!$A$1:$AB$700,22,0),0)</f>
        <v>1.3983307473652546</v>
      </c>
      <c r="W10" s="31">
        <f>IFERROR(VLOOKUP($A10, All!$A$1:$AB$700,23,0),0)</f>
        <v>-0.35156560314800916</v>
      </c>
      <c r="X10" s="31">
        <f>IFERROR(VLOOKUP($A10, All!$A$1:$AB$700,24,0),0)</f>
        <v>0.60570294737079333</v>
      </c>
      <c r="Y10" s="31">
        <f>IFERROR(VLOOKUP($A10, All!$A$1:$AB$700,25,0),0)</f>
        <v>-0.53192707480838564</v>
      </c>
    </row>
    <row r="11" spans="1:25">
      <c r="A11" s="7" t="s">
        <v>654</v>
      </c>
      <c r="B11" s="8">
        <f>IFERROR(VLOOKUP($A11, All!$A$1:$AB$699,2,0),300)</f>
        <v>59</v>
      </c>
      <c r="C11" s="8">
        <f>IFERROR(VLOOKUP($A11, All!$A$1:$AB$699,3,0),70)</f>
        <v>70</v>
      </c>
      <c r="D11" s="8">
        <f>IFERROR(VLOOKUP($A11, All!$A$1:$AB$699,4,0),Math!B$2)</f>
        <v>0.49</v>
      </c>
      <c r="E11" s="8">
        <f>IFERROR(VLOOKUP($A11, All!$A$1:$AB$700,5,0),Math!C$2)</f>
        <v>0.93</v>
      </c>
      <c r="F11" s="8">
        <f>IFERROR(VLOOKUP($A11, All!$A$1:$AB$700,6,0),Math!D$2)</f>
        <v>1.9</v>
      </c>
      <c r="G11" s="8">
        <f>IFERROR(VLOOKUP($A11, All!$A$1:$AB$700,7,0),Math!E$2)</f>
        <v>4.5999999999999996</v>
      </c>
      <c r="H11" s="8">
        <f>IFERROR(VLOOKUP($A11, All!$A$1:$AB$700,8,0),Math!F$2)</f>
        <v>4.9000000000000004</v>
      </c>
      <c r="I11" s="8">
        <f>IFERROR(VLOOKUP($A11, All!$A$1:$AB$700,9,0),Math!G$2)</f>
        <v>0.8</v>
      </c>
      <c r="J11" s="8">
        <f>IFERROR(VLOOKUP($A11, All!$A$1:$AB$700,10,0),Math!H$2)</f>
        <v>0.2</v>
      </c>
      <c r="K11" s="8">
        <f>IFERROR(VLOOKUP($A11, All!$A$1:$AB$700,11,0),Math!I$2)</f>
        <v>1.8</v>
      </c>
      <c r="L11" s="8">
        <f>IFERROR(VLOOKUP($A11, All!$A$1:$AB$700,12,0),Math!J$2)</f>
        <v>17.399999999999999</v>
      </c>
      <c r="M11" s="8">
        <f>IFERROR(VLOOKUP($A11, All!$A$1:$AB$700,13,0),Math!K$2)</f>
        <v>6.5</v>
      </c>
      <c r="N11" s="8">
        <f>IFERROR(VLOOKUP($A11, All!$A$1:$AB$700,14,0),Math!L$2)</f>
        <v>13.2</v>
      </c>
      <c r="O11" s="8">
        <f>IFERROR(VLOOKUP($A11, All!$A$1:$AB$700,15,0),Math!M$2)</f>
        <v>2.6</v>
      </c>
      <c r="P11" s="8">
        <f>IFERROR(VLOOKUP($A11, All!$A$1:$AB$700,16,0),Math!N$2)</f>
        <v>2.8</v>
      </c>
      <c r="Q11" s="31">
        <f>IFERROR(VLOOKUP($A11, All!$A$1:$AB$700,17,0),0)</f>
        <v>0.23383452842779492</v>
      </c>
      <c r="R11" s="31">
        <f>IFERROR(VLOOKUP($A11, All!$A$1:$AB$700,18,0),0)</f>
        <v>1.8151771422175256</v>
      </c>
      <c r="S11" s="31">
        <f>IFERROR(VLOOKUP($A11, All!$A$1:$AB$700,19,0),0)</f>
        <v>0.47902538995459598</v>
      </c>
      <c r="T11" s="31">
        <f>IFERROR(VLOOKUP($A11, All!$A$1:$AB$700,20,0),0)</f>
        <v>-0.47644906317185703</v>
      </c>
      <c r="U11" s="31">
        <f>IFERROR(VLOOKUP($A11, All!$A$1:$AB$700,21,0),0)</f>
        <v>0.81036577050090963</v>
      </c>
      <c r="V11" s="31">
        <f>IFERROR(VLOOKUP($A11, All!$A$1:$AB$700,22,0),0)</f>
        <v>-0.44852118311715766</v>
      </c>
      <c r="W11" s="31">
        <f>IFERROR(VLOOKUP($A11, All!$A$1:$AB$700,23,0),0)</f>
        <v>-0.90376288557943862</v>
      </c>
      <c r="X11" s="31">
        <f>IFERROR(VLOOKUP($A11, All!$A$1:$AB$700,24,0),0)</f>
        <v>-6.5064436207051865E-2</v>
      </c>
      <c r="Y11" s="31">
        <f>IFERROR(VLOOKUP($A11, All!$A$1:$AB$700,25,0),0)</f>
        <v>0.43047396517663128</v>
      </c>
    </row>
    <row r="12" spans="1:25">
      <c r="A12" s="7" t="s">
        <v>93</v>
      </c>
      <c r="B12" s="8">
        <f>IFERROR(VLOOKUP($A12, All!$A$1:$AB$699,2,0),300)</f>
        <v>125</v>
      </c>
      <c r="C12" s="8">
        <f>IFERROR(VLOOKUP($A12, All!$A$1:$AB$699,3,0),70)</f>
        <v>76</v>
      </c>
      <c r="D12" s="8">
        <f>IFERROR(VLOOKUP($A12, All!$A$1:$AB$699,4,0),Math!B$2)</f>
        <v>0.47</v>
      </c>
      <c r="E12" s="8">
        <f>IFERROR(VLOOKUP($A12, All!$A$1:$AB$700,5,0),Math!C$2)</f>
        <v>0.81</v>
      </c>
      <c r="F12" s="8">
        <f>IFERROR(VLOOKUP($A12, All!$A$1:$AB$700,6,0),Math!D$2)</f>
        <v>0.8</v>
      </c>
      <c r="G12" s="8">
        <f>IFERROR(VLOOKUP($A12, All!$A$1:$AB$700,7,0),Math!E$2)</f>
        <v>3.7</v>
      </c>
      <c r="H12" s="8">
        <f>IFERROR(VLOOKUP($A12, All!$A$1:$AB$700,8,0),Math!F$2)</f>
        <v>5.3</v>
      </c>
      <c r="I12" s="8">
        <f>IFERROR(VLOOKUP($A12, All!$A$1:$AB$700,9,0),Math!G$2)</f>
        <v>1</v>
      </c>
      <c r="J12" s="8">
        <f>IFERROR(VLOOKUP($A12, All!$A$1:$AB$700,10,0),Math!H$2)</f>
        <v>0.2</v>
      </c>
      <c r="K12" s="8">
        <f>IFERROR(VLOOKUP($A12, All!$A$1:$AB$700,11,0),Math!I$2)</f>
        <v>1.5</v>
      </c>
      <c r="L12" s="8">
        <f>IFERROR(VLOOKUP($A12, All!$A$1:$AB$700,12,0),Math!J$2)</f>
        <v>11.4</v>
      </c>
      <c r="M12" s="8">
        <f>IFERROR(VLOOKUP($A12, All!$A$1:$AB$700,13,0),Math!K$2)</f>
        <v>4.4000000000000004</v>
      </c>
      <c r="N12" s="8">
        <f>IFERROR(VLOOKUP($A12, All!$A$1:$AB$700,14,0),Math!L$2)</f>
        <v>9.3000000000000007</v>
      </c>
      <c r="O12" s="8">
        <f>IFERROR(VLOOKUP($A12, All!$A$1:$AB$700,15,0),Math!M$2)</f>
        <v>1.7</v>
      </c>
      <c r="P12" s="8">
        <f>IFERROR(VLOOKUP($A12, All!$A$1:$AB$700,16,0),Math!N$2)</f>
        <v>2.1</v>
      </c>
      <c r="Q12" s="31">
        <f>IFERROR(VLOOKUP($A12, All!$A$1:$AB$700,17,0),0)</f>
        <v>-0.13586433074658327</v>
      </c>
      <c r="R12" s="31">
        <f>IFERROR(VLOOKUP($A12, All!$A$1:$AB$700,18,0),0)</f>
        <v>0.36109665445982869</v>
      </c>
      <c r="S12" s="31">
        <f>IFERROR(VLOOKUP($A12, All!$A$1:$AB$700,19,0),0)</f>
        <v>-0.7077492247977808</v>
      </c>
      <c r="T12" s="31">
        <f>IFERROR(VLOOKUP($A12, All!$A$1:$AB$700,20,0),0)</f>
        <v>-0.81826186257773215</v>
      </c>
      <c r="U12" s="31">
        <f>IFERROR(VLOOKUP($A12, All!$A$1:$AB$700,21,0),0)</f>
        <v>1.0110134388391105</v>
      </c>
      <c r="V12" s="31">
        <f>IFERROR(VLOOKUP($A12, All!$A$1:$AB$700,22,0),0)</f>
        <v>7.9150797020674304E-2</v>
      </c>
      <c r="W12" s="31">
        <f>IFERROR(VLOOKUP($A12, All!$A$1:$AB$700,23,0),0)</f>
        <v>-0.90376288557943862</v>
      </c>
      <c r="X12" s="31">
        <f>IFERROR(VLOOKUP($A12, All!$A$1:$AB$700,24,0),0)</f>
        <v>0.3373959939396553</v>
      </c>
      <c r="Y12" s="31">
        <f>IFERROR(VLOOKUP($A12, All!$A$1:$AB$700,25,0),0)</f>
        <v>-0.77252733480463975</v>
      </c>
    </row>
    <row r="13" spans="1:25">
      <c r="A13" s="7" t="s">
        <v>98</v>
      </c>
      <c r="B13" s="8">
        <f>IFERROR(VLOOKUP($A13, All!$A$1:$AB$699,2,0),300)</f>
        <v>142</v>
      </c>
      <c r="C13" s="8">
        <f>IFERROR(VLOOKUP($A13, All!$A$1:$AB$699,3,0),70)</f>
        <v>74</v>
      </c>
      <c r="D13" s="8">
        <f>IFERROR(VLOOKUP($A13, All!$A$1:$AB$699,4,0),Math!B$2)</f>
        <v>0.42</v>
      </c>
      <c r="E13" s="8">
        <f>IFERROR(VLOOKUP($A13, All!$A$1:$AB$700,5,0),Math!C$2)</f>
        <v>0.89</v>
      </c>
      <c r="F13" s="8">
        <f>IFERROR(VLOOKUP($A13, All!$A$1:$AB$700,6,0),Math!D$2)</f>
        <v>2.1</v>
      </c>
      <c r="G13" s="8">
        <f>IFERROR(VLOOKUP($A13, All!$A$1:$AB$700,7,0),Math!E$2)</f>
        <v>2.5</v>
      </c>
      <c r="H13" s="8">
        <f>IFERROR(VLOOKUP($A13, All!$A$1:$AB$700,8,0),Math!F$2)</f>
        <v>4.0999999999999996</v>
      </c>
      <c r="I13" s="8">
        <f>IFERROR(VLOOKUP($A13, All!$A$1:$AB$700,9,0),Math!G$2)</f>
        <v>0.7</v>
      </c>
      <c r="J13" s="8">
        <f>IFERROR(VLOOKUP($A13, All!$A$1:$AB$700,10,0),Math!H$2)</f>
        <v>0.1</v>
      </c>
      <c r="K13" s="8">
        <f>IFERROR(VLOOKUP($A13, All!$A$1:$AB$700,11,0),Math!I$2)</f>
        <v>1.7</v>
      </c>
      <c r="L13" s="8">
        <f>IFERROR(VLOOKUP($A13, All!$A$1:$AB$700,12,0),Math!J$2)</f>
        <v>15.1</v>
      </c>
      <c r="M13" s="8">
        <f>IFERROR(VLOOKUP($A13, All!$A$1:$AB$700,13,0),Math!K$2)</f>
        <v>5.3</v>
      </c>
      <c r="N13" s="8">
        <f>IFERROR(VLOOKUP($A13, All!$A$1:$AB$700,14,0),Math!L$2)</f>
        <v>12.5</v>
      </c>
      <c r="O13" s="8">
        <f>IFERROR(VLOOKUP($A13, All!$A$1:$AB$700,15,0),Math!M$2)</f>
        <v>2.5</v>
      </c>
      <c r="P13" s="8">
        <f>IFERROR(VLOOKUP($A13, All!$A$1:$AB$700,16,0),Math!N$2)</f>
        <v>2.8</v>
      </c>
      <c r="Q13" s="31">
        <f>IFERROR(VLOOKUP($A13, All!$A$1:$AB$700,17,0),0)</f>
        <v>-1.0601114786825276</v>
      </c>
      <c r="R13" s="31">
        <f>IFERROR(VLOOKUP($A13, All!$A$1:$AB$700,18,0),0)</f>
        <v>1.330483646298293</v>
      </c>
      <c r="S13" s="31">
        <f>IFERROR(VLOOKUP($A13, All!$A$1:$AB$700,19,0),0)</f>
        <v>0.69480259263684652</v>
      </c>
      <c r="T13" s="31">
        <f>IFERROR(VLOOKUP($A13, All!$A$1:$AB$700,20,0),0)</f>
        <v>-1.274012261785566</v>
      </c>
      <c r="U13" s="31">
        <f>IFERROR(VLOOKUP($A13, All!$A$1:$AB$700,21,0),0)</f>
        <v>0.40907043382450697</v>
      </c>
      <c r="V13" s="31">
        <f>IFERROR(VLOOKUP($A13, All!$A$1:$AB$700,22,0),0)</f>
        <v>-0.71235717318607394</v>
      </c>
      <c r="W13" s="31">
        <f>IFERROR(VLOOKUP($A13, All!$A$1:$AB$700,23,0),0)</f>
        <v>-1.0878286463899152</v>
      </c>
      <c r="X13" s="31">
        <f>IFERROR(VLOOKUP($A13, All!$A$1:$AB$700,24,0),0)</f>
        <v>6.9089040508517302E-2</v>
      </c>
      <c r="Y13" s="31">
        <f>IFERROR(VLOOKUP($A13, All!$A$1:$AB$700,25,0),0)</f>
        <v>-3.0676533149522515E-2</v>
      </c>
    </row>
    <row r="14" spans="1:25">
      <c r="A14" s="7" t="s">
        <v>664</v>
      </c>
      <c r="B14" s="8">
        <f>IFERROR(VLOOKUP($A14, All!$A$1:$AB$699,2,0),300)</f>
        <v>92</v>
      </c>
      <c r="C14" s="8">
        <f>IFERROR(VLOOKUP($A14, All!$A$1:$AB$699,3,0),70)</f>
        <v>76</v>
      </c>
      <c r="D14" s="8">
        <f>IFERROR(VLOOKUP($A14, All!$A$1:$AB$699,4,0),Math!B$2)</f>
        <v>0.62</v>
      </c>
      <c r="E14" s="8">
        <f>IFERROR(VLOOKUP($A14, All!$A$1:$AB$700,5,0),Math!C$2)</f>
        <v>0.65</v>
      </c>
      <c r="F14" s="8">
        <f>IFERROR(VLOOKUP($A14, All!$A$1:$AB$700,6,0),Math!D$2)</f>
        <v>0</v>
      </c>
      <c r="G14" s="8">
        <f>IFERROR(VLOOKUP($A14, All!$A$1:$AB$700,7,0),Math!E$2)</f>
        <v>7.4</v>
      </c>
      <c r="H14" s="8">
        <f>IFERROR(VLOOKUP($A14, All!$A$1:$AB$700,8,0),Math!F$2)</f>
        <v>0.8</v>
      </c>
      <c r="I14" s="8">
        <f>IFERROR(VLOOKUP($A14, All!$A$1:$AB$700,9,0),Math!G$2)</f>
        <v>0.6</v>
      </c>
      <c r="J14" s="8">
        <f>IFERROR(VLOOKUP($A14, All!$A$1:$AB$700,10,0),Math!H$2)</f>
        <v>1.9</v>
      </c>
      <c r="K14" s="8">
        <f>IFERROR(VLOOKUP($A14, All!$A$1:$AB$700,11,0),Math!I$2)</f>
        <v>1.5</v>
      </c>
      <c r="L14" s="8">
        <f>IFERROR(VLOOKUP($A14, All!$A$1:$AB$700,12,0),Math!J$2)</f>
        <v>11.3</v>
      </c>
      <c r="M14" s="8">
        <f>IFERROR(VLOOKUP($A14, All!$A$1:$AB$700,13,0),Math!K$2)</f>
        <v>4.9000000000000004</v>
      </c>
      <c r="N14" s="8">
        <f>IFERROR(VLOOKUP($A14, All!$A$1:$AB$700,14,0),Math!L$2)</f>
        <v>7.9</v>
      </c>
      <c r="O14" s="8">
        <f>IFERROR(VLOOKUP($A14, All!$A$1:$AB$700,15,0),Math!M$2)</f>
        <v>1.5</v>
      </c>
      <c r="P14" s="8">
        <f>IFERROR(VLOOKUP($A14, All!$A$1:$AB$700,16,0),Math!N$2)</f>
        <v>2.2999999999999998</v>
      </c>
      <c r="Q14" s="31">
        <f>IFERROR(VLOOKUP($A14, All!$A$1:$AB$700,17,0),0)</f>
        <v>2.6368771130612512</v>
      </c>
      <c r="R14" s="31">
        <f>IFERROR(VLOOKUP($A14, All!$A$1:$AB$700,18,0),0)</f>
        <v>-1.5776773292171011</v>
      </c>
      <c r="S14" s="31">
        <f>IFERROR(VLOOKUP($A14, All!$A$1:$AB$700,19,0),0)</f>
        <v>-1.5708580355267823</v>
      </c>
      <c r="T14" s="31">
        <f>IFERROR(VLOOKUP($A14, All!$A$1:$AB$700,20,0),0)</f>
        <v>0.58696853497975554</v>
      </c>
      <c r="U14" s="31">
        <f>IFERROR(VLOOKUP($A14, All!$A$1:$AB$700,21,0),0)</f>
        <v>-1.246272829965652</v>
      </c>
      <c r="V14" s="31">
        <f>IFERROR(VLOOKUP($A14, All!$A$1:$AB$700,22,0),0)</f>
        <v>-0.97619316325498995</v>
      </c>
      <c r="W14" s="31">
        <f>IFERROR(VLOOKUP($A14, All!$A$1:$AB$700,23,0),0)</f>
        <v>2.2253550481986615</v>
      </c>
      <c r="X14" s="31">
        <f>IFERROR(VLOOKUP($A14, All!$A$1:$AB$700,24,0),0)</f>
        <v>0.3373959939396553</v>
      </c>
      <c r="Y14" s="31">
        <f>IFERROR(VLOOKUP($A14, All!$A$1:$AB$700,25,0),0)</f>
        <v>-0.79257735647099414</v>
      </c>
    </row>
    <row r="16" spans="1:25">
      <c r="A16" s="9" t="s">
        <v>123</v>
      </c>
      <c r="B16" s="2" t="s">
        <v>121</v>
      </c>
      <c r="C16" s="10" t="s">
        <v>122</v>
      </c>
      <c r="D16" s="12" t="s">
        <v>129</v>
      </c>
      <c r="E16" s="12" t="s">
        <v>130</v>
      </c>
      <c r="F16" s="11" t="s">
        <v>5</v>
      </c>
      <c r="G16" s="11" t="s">
        <v>6</v>
      </c>
      <c r="H16" s="11" t="s">
        <v>7</v>
      </c>
      <c r="I16" s="11" t="s">
        <v>8</v>
      </c>
      <c r="J16" s="11" t="s">
        <v>9</v>
      </c>
      <c r="K16" s="11" t="s">
        <v>10</v>
      </c>
      <c r="L16" s="11" t="s">
        <v>11</v>
      </c>
      <c r="M16" s="12" t="s">
        <v>12</v>
      </c>
      <c r="N16" s="12" t="s">
        <v>13</v>
      </c>
      <c r="O16" s="4" t="s">
        <v>125</v>
      </c>
      <c r="P16" s="17" t="s">
        <v>126</v>
      </c>
      <c r="Q16" s="17" t="s">
        <v>127</v>
      </c>
      <c r="R16" s="18" t="s">
        <v>128</v>
      </c>
    </row>
    <row r="17" spans="1:18">
      <c r="A17" s="6"/>
      <c r="B17" s="15">
        <f t="shared" ref="B17:N17" si="0">AVERAGE(B2:B14)</f>
        <v>64.615384615384613</v>
      </c>
      <c r="C17" s="15">
        <f t="shared" si="0"/>
        <v>73.84615384615384</v>
      </c>
      <c r="D17" s="15">
        <f t="shared" si="0"/>
        <v>0.48538461538461541</v>
      </c>
      <c r="E17" s="15">
        <f t="shared" si="0"/>
        <v>0.79769230769230781</v>
      </c>
      <c r="F17" s="15">
        <f t="shared" si="0"/>
        <v>1.276923076923077</v>
      </c>
      <c r="G17" s="15">
        <f t="shared" si="0"/>
        <v>5.6307692307692321</v>
      </c>
      <c r="H17" s="15">
        <f t="shared" si="0"/>
        <v>4.4461538461538455</v>
      </c>
      <c r="I17" s="15">
        <f t="shared" si="0"/>
        <v>1.1615384615384614</v>
      </c>
      <c r="J17" s="15">
        <f t="shared" si="0"/>
        <v>0.79999999999999993</v>
      </c>
      <c r="K17" s="15">
        <f t="shared" si="0"/>
        <v>1.8384615384615384</v>
      </c>
      <c r="L17" s="15">
        <f t="shared" si="0"/>
        <v>14.907692307692308</v>
      </c>
      <c r="M17" s="15">
        <f t="shared" si="0"/>
        <v>5.5230769230769239</v>
      </c>
      <c r="N17" s="15">
        <f t="shared" si="0"/>
        <v>11.476923076923079</v>
      </c>
      <c r="O17" s="16">
        <f>M17/N17</f>
        <v>0.48123324396782841</v>
      </c>
      <c r="P17" s="16">
        <f>AVERAGE(O2:O14)</f>
        <v>2.5999999999999996</v>
      </c>
      <c r="Q17" s="16">
        <f>AVERAGE(P2:P14)</f>
        <v>3.2769230769230768</v>
      </c>
      <c r="R17" s="15">
        <f>P17/Q17</f>
        <v>0.79342723004694826</v>
      </c>
    </row>
    <row r="19" spans="1:18">
      <c r="A19" s="13" t="s">
        <v>124</v>
      </c>
      <c r="B19" s="11" t="s">
        <v>3</v>
      </c>
      <c r="C19" s="11" t="s">
        <v>4</v>
      </c>
      <c r="D19" s="11" t="s">
        <v>5</v>
      </c>
      <c r="E19" s="11" t="s">
        <v>6</v>
      </c>
      <c r="F19" s="11" t="s">
        <v>7</v>
      </c>
      <c r="G19" s="11" t="s">
        <v>8</v>
      </c>
      <c r="H19" s="11" t="s">
        <v>9</v>
      </c>
      <c r="I19" s="11" t="s">
        <v>10</v>
      </c>
      <c r="J19" s="11" t="s">
        <v>11</v>
      </c>
      <c r="K19" s="12" t="s">
        <v>12</v>
      </c>
      <c r="L19" s="12" t="s">
        <v>13</v>
      </c>
      <c r="M19" s="12" t="s">
        <v>126</v>
      </c>
      <c r="N19" s="12" t="s">
        <v>127</v>
      </c>
    </row>
    <row r="20" spans="1:18">
      <c r="A20" s="6"/>
      <c r="B20" s="16">
        <f>K20/L20</f>
        <v>0.48123324396782846</v>
      </c>
      <c r="C20" s="15">
        <f>M20/N20</f>
        <v>0.79342723004694826</v>
      </c>
      <c r="D20" s="15">
        <f t="shared" ref="D20:N20" si="1">SUM(F2:F14)</f>
        <v>16.600000000000001</v>
      </c>
      <c r="E20" s="15">
        <f t="shared" si="1"/>
        <v>73.200000000000017</v>
      </c>
      <c r="F20" s="15">
        <f t="shared" si="1"/>
        <v>57.79999999999999</v>
      </c>
      <c r="G20" s="15">
        <f t="shared" si="1"/>
        <v>15.1</v>
      </c>
      <c r="H20" s="15">
        <f t="shared" si="1"/>
        <v>10.399999999999999</v>
      </c>
      <c r="I20" s="15">
        <f t="shared" si="1"/>
        <v>23.9</v>
      </c>
      <c r="J20" s="15">
        <f t="shared" si="1"/>
        <v>193.8</v>
      </c>
      <c r="K20" s="15">
        <f t="shared" si="1"/>
        <v>71.800000000000011</v>
      </c>
      <c r="L20" s="15">
        <f t="shared" si="1"/>
        <v>149.20000000000002</v>
      </c>
      <c r="M20" s="15">
        <f t="shared" si="1"/>
        <v>33.799999999999997</v>
      </c>
      <c r="N20" s="15">
        <f t="shared" si="1"/>
        <v>42.6</v>
      </c>
    </row>
  </sheetData>
  <sortState xmlns:xlrd2="http://schemas.microsoft.com/office/spreadsheetml/2017/richdata2" ref="A2:P14">
    <sortCondition ref="B2"/>
  </sortState>
  <conditionalFormatting sqref="D2:D14">
    <cfRule type="colorScale" priority="18">
      <colorScale>
        <cfvo type="min"/>
        <cfvo type="percentile" val="50"/>
        <cfvo type="max"/>
        <color rgb="FFF8696B"/>
        <color rgb="FFFFEB84"/>
        <color rgb="FF63BE7B"/>
      </colorScale>
    </cfRule>
  </conditionalFormatting>
  <conditionalFormatting sqref="E2:E14">
    <cfRule type="colorScale" priority="17">
      <colorScale>
        <cfvo type="min"/>
        <cfvo type="percentile" val="50"/>
        <cfvo type="max"/>
        <color rgb="FFF8696B"/>
        <color rgb="FFFFEB84"/>
        <color rgb="FF63BE7B"/>
      </colorScale>
    </cfRule>
  </conditionalFormatting>
  <conditionalFormatting sqref="F2:F14">
    <cfRule type="colorScale" priority="16">
      <colorScale>
        <cfvo type="min"/>
        <cfvo type="percentile" val="50"/>
        <cfvo type="max"/>
        <color rgb="FFF8696B"/>
        <color rgb="FFFFEB84"/>
        <color rgb="FF63BE7B"/>
      </colorScale>
    </cfRule>
  </conditionalFormatting>
  <conditionalFormatting sqref="G2:G14">
    <cfRule type="colorScale" priority="15">
      <colorScale>
        <cfvo type="min"/>
        <cfvo type="percentile" val="50"/>
        <cfvo type="max"/>
        <color rgb="FFF8696B"/>
        <color rgb="FFFFEB84"/>
        <color rgb="FF63BE7B"/>
      </colorScale>
    </cfRule>
  </conditionalFormatting>
  <conditionalFormatting sqref="H2:H14">
    <cfRule type="colorScale" priority="14">
      <colorScale>
        <cfvo type="min"/>
        <cfvo type="percentile" val="50"/>
        <cfvo type="max"/>
        <color rgb="FFF8696B"/>
        <color rgb="FFFFEB84"/>
        <color rgb="FF63BE7B"/>
      </colorScale>
    </cfRule>
  </conditionalFormatting>
  <conditionalFormatting sqref="I2:I14">
    <cfRule type="colorScale" priority="13">
      <colorScale>
        <cfvo type="min"/>
        <cfvo type="percentile" val="50"/>
        <cfvo type="max"/>
        <color rgb="FFF8696B"/>
        <color rgb="FFFFEB84"/>
        <color rgb="FF63BE7B"/>
      </colorScale>
    </cfRule>
  </conditionalFormatting>
  <conditionalFormatting sqref="J2:J14">
    <cfRule type="colorScale" priority="12">
      <colorScale>
        <cfvo type="min"/>
        <cfvo type="percentile" val="50"/>
        <cfvo type="max"/>
        <color rgb="FFF8696B"/>
        <color rgb="FFFFEB84"/>
        <color rgb="FF63BE7B"/>
      </colorScale>
    </cfRule>
  </conditionalFormatting>
  <conditionalFormatting sqref="K2:K14">
    <cfRule type="colorScale" priority="11">
      <colorScale>
        <cfvo type="min"/>
        <cfvo type="percentile" val="50"/>
        <cfvo type="max"/>
        <color rgb="FF63BE7B"/>
        <color rgb="FFFFEB84"/>
        <color rgb="FFF8696B"/>
      </colorScale>
    </cfRule>
  </conditionalFormatting>
  <conditionalFormatting sqref="L2:L14">
    <cfRule type="colorScale" priority="10">
      <colorScale>
        <cfvo type="min"/>
        <cfvo type="percentile" val="50"/>
        <cfvo type="max"/>
        <color rgb="FFF8696B"/>
        <color rgb="FFFFEB84"/>
        <color rgb="FF63BE7B"/>
      </colorScale>
    </cfRule>
  </conditionalFormatting>
  <conditionalFormatting sqref="Q2:Q14">
    <cfRule type="colorScale" priority="9">
      <colorScale>
        <cfvo type="min"/>
        <cfvo type="percentile" val="50"/>
        <cfvo type="max"/>
        <color rgb="FFF8696B"/>
        <color rgb="FFFFEB84"/>
        <color rgb="FF63BE7B"/>
      </colorScale>
    </cfRule>
  </conditionalFormatting>
  <conditionalFormatting sqref="R2:R14">
    <cfRule type="colorScale" priority="8">
      <colorScale>
        <cfvo type="min"/>
        <cfvo type="percentile" val="50"/>
        <cfvo type="max"/>
        <color rgb="FFF8696B"/>
        <color rgb="FFFFEB84"/>
        <color rgb="FF63BE7B"/>
      </colorScale>
    </cfRule>
  </conditionalFormatting>
  <conditionalFormatting sqref="S2:S14">
    <cfRule type="colorScale" priority="7">
      <colorScale>
        <cfvo type="min"/>
        <cfvo type="percentile" val="50"/>
        <cfvo type="max"/>
        <color rgb="FFF8696B"/>
        <color rgb="FFFFEB84"/>
        <color rgb="FF63BE7B"/>
      </colorScale>
    </cfRule>
  </conditionalFormatting>
  <conditionalFormatting sqref="T2:T14">
    <cfRule type="colorScale" priority="6">
      <colorScale>
        <cfvo type="min"/>
        <cfvo type="percentile" val="50"/>
        <cfvo type="max"/>
        <color rgb="FFF8696B"/>
        <color rgb="FFFFEB84"/>
        <color rgb="FF63BE7B"/>
      </colorScale>
    </cfRule>
  </conditionalFormatting>
  <conditionalFormatting sqref="U2:U14">
    <cfRule type="colorScale" priority="5">
      <colorScale>
        <cfvo type="min"/>
        <cfvo type="percentile" val="50"/>
        <cfvo type="max"/>
        <color rgb="FFF8696B"/>
        <color rgb="FFFFEB84"/>
        <color rgb="FF63BE7B"/>
      </colorScale>
    </cfRule>
  </conditionalFormatting>
  <conditionalFormatting sqref="V2:V14">
    <cfRule type="colorScale" priority="4">
      <colorScale>
        <cfvo type="min"/>
        <cfvo type="percentile" val="50"/>
        <cfvo type="max"/>
        <color rgb="FFF8696B"/>
        <color rgb="FFFFEB84"/>
        <color rgb="FF63BE7B"/>
      </colorScale>
    </cfRule>
  </conditionalFormatting>
  <conditionalFormatting sqref="W2:W14">
    <cfRule type="colorScale" priority="3">
      <colorScale>
        <cfvo type="min"/>
        <cfvo type="percentile" val="50"/>
        <cfvo type="max"/>
        <color rgb="FFF8696B"/>
        <color rgb="FFFFEB84"/>
        <color rgb="FF63BE7B"/>
      </colorScale>
    </cfRule>
  </conditionalFormatting>
  <conditionalFormatting sqref="X2:X14">
    <cfRule type="colorScale" priority="2">
      <colorScale>
        <cfvo type="min"/>
        <cfvo type="percentile" val="50"/>
        <cfvo type="max"/>
        <color rgb="FFF8696B"/>
        <color rgb="FFFFEB84"/>
        <color rgb="FF63BE7B"/>
      </colorScale>
    </cfRule>
  </conditionalFormatting>
  <conditionalFormatting sqref="Y2:Y14">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A4D21-C66A-DC46-B229-20CE29D3F780}">
  <sheetPr codeName="Sheet5"/>
  <dimension ref="A1:Y20"/>
  <sheetViews>
    <sheetView workbookViewId="0">
      <selection activeCell="E30" sqref="E30"/>
    </sheetView>
  </sheetViews>
  <sheetFormatPr baseColWidth="10" defaultRowHeight="16"/>
  <cols>
    <col min="1" max="1" width="18.83203125" customWidth="1"/>
  </cols>
  <sheetData>
    <row r="1" spans="1:25">
      <c r="A1" s="1" t="s">
        <v>0</v>
      </c>
      <c r="B1" s="2" t="s">
        <v>1</v>
      </c>
      <c r="C1" s="3" t="s">
        <v>2</v>
      </c>
      <c r="D1" s="4" t="s">
        <v>3</v>
      </c>
      <c r="E1" s="4" t="s">
        <v>4</v>
      </c>
      <c r="F1" s="4" t="s">
        <v>5</v>
      </c>
      <c r="G1" s="4" t="s">
        <v>6</v>
      </c>
      <c r="H1" s="4" t="s">
        <v>7</v>
      </c>
      <c r="I1" s="4" t="s">
        <v>8</v>
      </c>
      <c r="J1" s="4" t="s">
        <v>9</v>
      </c>
      <c r="K1" s="4" t="s">
        <v>10</v>
      </c>
      <c r="L1" s="4" t="s">
        <v>11</v>
      </c>
      <c r="M1" s="5" t="s">
        <v>12</v>
      </c>
      <c r="N1" s="5" t="s">
        <v>13</v>
      </c>
      <c r="O1" s="5" t="s">
        <v>126</v>
      </c>
      <c r="P1" s="5" t="s">
        <v>127</v>
      </c>
      <c r="Q1" s="27" t="s">
        <v>144</v>
      </c>
      <c r="R1" s="28" t="s">
        <v>145</v>
      </c>
      <c r="S1" s="29" t="s">
        <v>146</v>
      </c>
      <c r="T1" s="29" t="s">
        <v>147</v>
      </c>
      <c r="U1" s="29" t="s">
        <v>148</v>
      </c>
      <c r="V1" s="29" t="s">
        <v>149</v>
      </c>
      <c r="W1" s="29" t="s">
        <v>150</v>
      </c>
      <c r="X1" s="29" t="s">
        <v>151</v>
      </c>
      <c r="Y1" s="29" t="s">
        <v>152</v>
      </c>
    </row>
    <row r="2" spans="1:25">
      <c r="A2" s="7" t="s">
        <v>653</v>
      </c>
      <c r="B2" s="8">
        <f>IFERROR(VLOOKUP($A2, All!$A$1:$AB$699,2,0),300)</f>
        <v>7</v>
      </c>
      <c r="C2" s="8">
        <f>IFERROR(VLOOKUP($A2, All!$A$1:$AB$699,3,0),70)</f>
        <v>66</v>
      </c>
      <c r="D2" s="8">
        <f>IFERROR(VLOOKUP($A2, All!$A$1:$AB$699,4,0),Math!B$2)</f>
        <v>0.49</v>
      </c>
      <c r="E2" s="8">
        <f>IFERROR(VLOOKUP($A2, All!$A$1:$AB$700,5,0),Math!C$2)</f>
        <v>0.8</v>
      </c>
      <c r="F2" s="8">
        <f>IFERROR(VLOOKUP($A2, All!$A$1:$AB$700,6,0),Math!D$2)</f>
        <v>1.2</v>
      </c>
      <c r="G2" s="8">
        <f>IFERROR(VLOOKUP($A2, All!$A$1:$AB$700,7,0),Math!E$2)</f>
        <v>13.6</v>
      </c>
      <c r="H2" s="8">
        <f>IFERROR(VLOOKUP($A2, All!$A$1:$AB$700,8,0),Math!F$2)</f>
        <v>3.7</v>
      </c>
      <c r="I2" s="8">
        <f>IFERROR(VLOOKUP($A2, All!$A$1:$AB$700,9,0),Math!G$2)</f>
        <v>0.7</v>
      </c>
      <c r="J2" s="8">
        <f>IFERROR(VLOOKUP($A2, All!$A$1:$AB$700,10,0),Math!H$2)</f>
        <v>1.9</v>
      </c>
      <c r="K2" s="8">
        <f>IFERROR(VLOOKUP($A2, All!$A$1:$AB$700,11,0),Math!I$2)</f>
        <v>3.3</v>
      </c>
      <c r="L2" s="8">
        <f>IFERROR(VLOOKUP($A2, All!$A$1:$AB$700,12,0),Math!J$2)</f>
        <v>27.6</v>
      </c>
      <c r="M2" s="8">
        <f>IFERROR(VLOOKUP($A2, All!$A$1:$AB$700,13,0),Math!K$2)</f>
        <v>9.1</v>
      </c>
      <c r="N2" s="8">
        <f>IFERROR(VLOOKUP($A2, All!$A$1:$AB$700,14,0),Math!L$2)</f>
        <v>18.600000000000001</v>
      </c>
      <c r="O2" s="8">
        <f>IFERROR(VLOOKUP($A2, All!$A$1:$AB$700,15,0),Math!M$2)</f>
        <v>8.1999999999999993</v>
      </c>
      <c r="P2" s="8">
        <f>IFERROR(VLOOKUP($A2, All!$A$1:$AB$700,16,0),Math!N$2)</f>
        <v>10.199999999999999</v>
      </c>
      <c r="Q2" s="31">
        <f>IFERROR(VLOOKUP($A2, All!$A$1:$AB$700,17,0),0)</f>
        <v>0.23383452842779492</v>
      </c>
      <c r="R2" s="31">
        <f>IFERROR(VLOOKUP($A2, All!$A$1:$AB$700,18,0),0)</f>
        <v>0.23992328048002048</v>
      </c>
      <c r="S2" s="31">
        <f>IFERROR(VLOOKUP($A2, All!$A$1:$AB$700,19,0),0)</f>
        <v>-0.27619481943328023</v>
      </c>
      <c r="T2" s="31">
        <f>IFERROR(VLOOKUP($A2, All!$A$1:$AB$700,20,0),0)</f>
        <v>2.9416789308868969</v>
      </c>
      <c r="U2" s="31">
        <f>IFERROR(VLOOKUP($A2, All!$A$1:$AB$700,21,0),0)</f>
        <v>0.20842276548630609</v>
      </c>
      <c r="V2" s="31">
        <f>IFERROR(VLOOKUP($A2, All!$A$1:$AB$700,22,0),0)</f>
        <v>-0.71235717318607394</v>
      </c>
      <c r="W2" s="31">
        <f>IFERROR(VLOOKUP($A2, All!$A$1:$AB$700,23,0),0)</f>
        <v>2.2253550481986615</v>
      </c>
      <c r="X2" s="31">
        <f>IFERROR(VLOOKUP($A2, All!$A$1:$AB$700,24,0),0)</f>
        <v>-2.0773665869405873</v>
      </c>
      <c r="Y2" s="31">
        <f>IFERROR(VLOOKUP($A2, All!$A$1:$AB$700,25,0),0)</f>
        <v>2.4755761751447931</v>
      </c>
    </row>
    <row r="3" spans="1:25">
      <c r="A3" s="7" t="s">
        <v>24</v>
      </c>
      <c r="B3" s="8">
        <f>IFERROR(VLOOKUP($A3, All!$A$1:$AB$699,2,0),300)</f>
        <v>20</v>
      </c>
      <c r="C3" s="8">
        <f>IFERROR(VLOOKUP($A3, All!$A$1:$AB$699,3,0),70)</f>
        <v>78</v>
      </c>
      <c r="D3" s="8">
        <f>IFERROR(VLOOKUP($A3, All!$A$1:$AB$699,4,0),Math!B$2)</f>
        <v>0.54</v>
      </c>
      <c r="E3" s="8">
        <f>IFERROR(VLOOKUP($A3, All!$A$1:$AB$700,5,0),Math!C$2)</f>
        <v>0.6</v>
      </c>
      <c r="F3" s="8">
        <f>IFERROR(VLOOKUP($A3, All!$A$1:$AB$700,6,0),Math!D$2)</f>
        <v>0.1</v>
      </c>
      <c r="G3" s="8">
        <f>IFERROR(VLOOKUP($A3, All!$A$1:$AB$700,7,0),Math!E$2)</f>
        <v>16</v>
      </c>
      <c r="H3" s="8">
        <f>IFERROR(VLOOKUP($A3, All!$A$1:$AB$700,8,0),Math!F$2)</f>
        <v>1.5</v>
      </c>
      <c r="I3" s="8">
        <f>IFERROR(VLOOKUP($A3, All!$A$1:$AB$700,9,0),Math!G$2)</f>
        <v>1.7</v>
      </c>
      <c r="J3" s="8">
        <f>IFERROR(VLOOKUP($A3, All!$A$1:$AB$700,10,0),Math!H$2)</f>
        <v>1.9</v>
      </c>
      <c r="K3" s="8">
        <f>IFERROR(VLOOKUP($A3, All!$A$1:$AB$700,11,0),Math!I$2)</f>
        <v>2.2000000000000002</v>
      </c>
      <c r="L3" s="8">
        <f>IFERROR(VLOOKUP($A3, All!$A$1:$AB$700,12,0),Math!J$2)</f>
        <v>18.600000000000001</v>
      </c>
      <c r="M3" s="8">
        <f>IFERROR(VLOOKUP($A3, All!$A$1:$AB$700,13,0),Math!K$2)</f>
        <v>7.6</v>
      </c>
      <c r="N3" s="8">
        <f>IFERROR(VLOOKUP($A3, All!$A$1:$AB$700,14,0),Math!L$2)</f>
        <v>14.2</v>
      </c>
      <c r="O3" s="8">
        <f>IFERROR(VLOOKUP($A3, All!$A$1:$AB$700,15,0),Math!M$2)</f>
        <v>3.3</v>
      </c>
      <c r="P3" s="8">
        <f>IFERROR(VLOOKUP($A3, All!$A$1:$AB$700,16,0),Math!N$2)</f>
        <v>5.5</v>
      </c>
      <c r="Q3" s="31">
        <f>IFERROR(VLOOKUP($A3, All!$A$1:$AB$700,17,0),0)</f>
        <v>1.1580816763637403</v>
      </c>
      <c r="R3" s="31">
        <f>IFERROR(VLOOKUP($A3, All!$A$1:$AB$700,18,0),0)</f>
        <v>-2.1835441991161422</v>
      </c>
      <c r="S3" s="31">
        <f>IFERROR(VLOOKUP($A3, All!$A$1:$AB$700,19,0),0)</f>
        <v>-1.4629694341856569</v>
      </c>
      <c r="T3" s="31">
        <f>IFERROR(VLOOKUP($A3, All!$A$1:$AB$700,20,0),0)</f>
        <v>3.8531797293025645</v>
      </c>
      <c r="U3" s="31">
        <f>IFERROR(VLOOKUP($A3, All!$A$1:$AB$700,21,0),0)</f>
        <v>-0.89513941037380029</v>
      </c>
      <c r="V3" s="31">
        <f>IFERROR(VLOOKUP($A3, All!$A$1:$AB$700,22,0),0)</f>
        <v>1.9260027275030867</v>
      </c>
      <c r="W3" s="31">
        <f>IFERROR(VLOOKUP($A3, All!$A$1:$AB$700,23,0),0)</f>
        <v>2.2253550481986615</v>
      </c>
      <c r="X3" s="31">
        <f>IFERROR(VLOOKUP($A3, All!$A$1:$AB$700,24,0),0)</f>
        <v>-0.60167834306932821</v>
      </c>
      <c r="Y3" s="31">
        <f>IFERROR(VLOOKUP($A3, All!$A$1:$AB$700,25,0),0)</f>
        <v>0.67107422517288617</v>
      </c>
    </row>
    <row r="4" spans="1:25">
      <c r="A4" s="7" t="s">
        <v>671</v>
      </c>
      <c r="B4" s="8">
        <f>IFERROR(VLOOKUP($A4, All!$A$1:$AB$699,2,0),300)</f>
        <v>48</v>
      </c>
      <c r="C4" s="8">
        <f>IFERROR(VLOOKUP($A4, All!$A$1:$AB$699,3,0),70)</f>
        <v>78</v>
      </c>
      <c r="D4" s="8">
        <f>IFERROR(VLOOKUP($A4, All!$A$1:$AB$699,4,0),Math!B$2)</f>
        <v>0.46</v>
      </c>
      <c r="E4" s="8">
        <f>IFERROR(VLOOKUP($A4, All!$A$1:$AB$700,5,0),Math!C$2)</f>
        <v>0.73</v>
      </c>
      <c r="F4" s="8">
        <f>IFERROR(VLOOKUP($A4, All!$A$1:$AB$700,6,0),Math!D$2)</f>
        <v>1.3</v>
      </c>
      <c r="G4" s="8">
        <f>IFERROR(VLOOKUP($A4, All!$A$1:$AB$700,7,0),Math!E$2)</f>
        <v>4.2</v>
      </c>
      <c r="H4" s="8">
        <f>IFERROR(VLOOKUP($A4, All!$A$1:$AB$700,8,0),Math!F$2)</f>
        <v>7.9</v>
      </c>
      <c r="I4" s="8">
        <f>IFERROR(VLOOKUP($A4, All!$A$1:$AB$700,9,0),Math!G$2)</f>
        <v>1.6</v>
      </c>
      <c r="J4" s="8">
        <f>IFERROR(VLOOKUP($A4, All!$A$1:$AB$700,10,0),Math!H$2)</f>
        <v>0.7</v>
      </c>
      <c r="K4" s="8">
        <f>IFERROR(VLOOKUP($A4, All!$A$1:$AB$700,11,0),Math!I$2)</f>
        <v>2.9</v>
      </c>
      <c r="L4" s="8">
        <f>IFERROR(VLOOKUP($A4, All!$A$1:$AB$700,12,0),Math!J$2)</f>
        <v>19</v>
      </c>
      <c r="M4" s="8">
        <f>IFERROR(VLOOKUP($A4, All!$A$1:$AB$700,13,0),Math!K$2)</f>
        <v>6.9</v>
      </c>
      <c r="N4" s="8">
        <f>IFERROR(VLOOKUP($A4, All!$A$1:$AB$700,14,0),Math!L$2)</f>
        <v>14.9</v>
      </c>
      <c r="O4" s="8">
        <f>IFERROR(VLOOKUP($A4, All!$A$1:$AB$700,15,0),Math!M$2)</f>
        <v>4</v>
      </c>
      <c r="P4" s="8">
        <f>IFERROR(VLOOKUP($A4, All!$A$1:$AB$700,16,0),Math!N$2)</f>
        <v>5.5</v>
      </c>
      <c r="Q4" s="31">
        <f>IFERROR(VLOOKUP($A4, All!$A$1:$AB$700,17,0),0)</f>
        <v>-0.3207137603337713</v>
      </c>
      <c r="R4" s="31">
        <f>IFERROR(VLOOKUP($A4, All!$A$1:$AB$700,18,0),0)</f>
        <v>-0.6082903373786368</v>
      </c>
      <c r="S4" s="31">
        <f>IFERROR(VLOOKUP($A4, All!$A$1:$AB$700,19,0),0)</f>
        <v>-0.16830621809215493</v>
      </c>
      <c r="T4" s="31">
        <f>IFERROR(VLOOKUP($A4, All!$A$1:$AB$700,20,0),0)</f>
        <v>-0.62836586290780139</v>
      </c>
      <c r="U4" s="31">
        <f>IFERROR(VLOOKUP($A4, All!$A$1:$AB$700,21,0),0)</f>
        <v>2.315223283037418</v>
      </c>
      <c r="V4" s="31">
        <f>IFERROR(VLOOKUP($A4, All!$A$1:$AB$700,22,0),0)</f>
        <v>1.6621667374341709</v>
      </c>
      <c r="W4" s="31">
        <f>IFERROR(VLOOKUP($A4, All!$A$1:$AB$700,23,0),0)</f>
        <v>1.6565918472943714E-2</v>
      </c>
      <c r="X4" s="31">
        <f>IFERROR(VLOOKUP($A4, All!$A$1:$AB$700,24,0),0)</f>
        <v>-1.5407526800783111</v>
      </c>
      <c r="Y4" s="31">
        <f>IFERROR(VLOOKUP($A4, All!$A$1:$AB$700,25,0),0)</f>
        <v>0.75127431183830395</v>
      </c>
    </row>
    <row r="5" spans="1:25">
      <c r="A5" s="7" t="s">
        <v>648</v>
      </c>
      <c r="B5" s="8">
        <f>IFERROR(VLOOKUP($A5, All!$A$1:$AB$699,2,0),300)</f>
        <v>96</v>
      </c>
      <c r="C5" s="8">
        <f>IFERROR(VLOOKUP($A5, All!$A$1:$AB$699,3,0),70)</f>
        <v>78</v>
      </c>
      <c r="D5" s="8">
        <f>IFERROR(VLOOKUP($A5, All!$A$1:$AB$699,4,0),Math!B$2)</f>
        <v>0.57999999999999996</v>
      </c>
      <c r="E5" s="8">
        <f>IFERROR(VLOOKUP($A5, All!$A$1:$AB$700,5,0),Math!C$2)</f>
        <v>0.51</v>
      </c>
      <c r="F5" s="8">
        <f>IFERROR(VLOOKUP($A5, All!$A$1:$AB$700,6,0),Math!D$2)</f>
        <v>0</v>
      </c>
      <c r="G5" s="8">
        <f>IFERROR(VLOOKUP($A5, All!$A$1:$AB$700,7,0),Math!E$2)</f>
        <v>11.3</v>
      </c>
      <c r="H5" s="8">
        <f>IFERROR(VLOOKUP($A5, All!$A$1:$AB$700,8,0),Math!F$2)</f>
        <v>1.7</v>
      </c>
      <c r="I5" s="8">
        <f>IFERROR(VLOOKUP($A5, All!$A$1:$AB$700,9,0),Math!G$2)</f>
        <v>1.5</v>
      </c>
      <c r="J5" s="8">
        <f>IFERROR(VLOOKUP($A5, All!$A$1:$AB$700,10,0),Math!H$2)</f>
        <v>1</v>
      </c>
      <c r="K5" s="8">
        <f>IFERROR(VLOOKUP($A5, All!$A$1:$AB$700,11,0),Math!I$2)</f>
        <v>1.7</v>
      </c>
      <c r="L5" s="8">
        <f>IFERROR(VLOOKUP($A5, All!$A$1:$AB$700,12,0),Math!J$2)</f>
        <v>14.4</v>
      </c>
      <c r="M5" s="8">
        <f>IFERROR(VLOOKUP($A5, All!$A$1:$AB$700,13,0),Math!K$2)</f>
        <v>6.3</v>
      </c>
      <c r="N5" s="8">
        <f>IFERROR(VLOOKUP($A5, All!$A$1:$AB$700,14,0),Math!L$2)</f>
        <v>10.9</v>
      </c>
      <c r="O5" s="8">
        <f>IFERROR(VLOOKUP($A5, All!$A$1:$AB$700,15,0),Math!M$2)</f>
        <v>1.9</v>
      </c>
      <c r="P5" s="8">
        <f>IFERROR(VLOOKUP($A5, All!$A$1:$AB$700,16,0),Math!N$2)</f>
        <v>3.7</v>
      </c>
      <c r="Q5" s="31">
        <f>IFERROR(VLOOKUP($A5, All!$A$1:$AB$700,17,0),0)</f>
        <v>1.8974793947124946</v>
      </c>
      <c r="R5" s="31">
        <f>IFERROR(VLOOKUP($A5, All!$A$1:$AB$700,18,0),0)</f>
        <v>-3.2741045649344143</v>
      </c>
      <c r="S5" s="31">
        <f>IFERROR(VLOOKUP($A5, All!$A$1:$AB$700,19,0),0)</f>
        <v>-1.5708580355267823</v>
      </c>
      <c r="T5" s="31">
        <f>IFERROR(VLOOKUP($A5, All!$A$1:$AB$700,20,0),0)</f>
        <v>2.0681573324052156</v>
      </c>
      <c r="U5" s="31">
        <f>IFERROR(VLOOKUP($A5, All!$A$1:$AB$700,21,0),0)</f>
        <v>-0.79481557620469967</v>
      </c>
      <c r="V5" s="31">
        <f>IFERROR(VLOOKUP($A5, All!$A$1:$AB$700,22,0),0)</f>
        <v>1.3983307473652546</v>
      </c>
      <c r="W5" s="31">
        <f>IFERROR(VLOOKUP($A5, All!$A$1:$AB$700,23,0),0)</f>
        <v>0.56876320090437327</v>
      </c>
      <c r="X5" s="31">
        <f>IFERROR(VLOOKUP($A5, All!$A$1:$AB$700,24,0),0)</f>
        <v>6.9089040508517302E-2</v>
      </c>
      <c r="Y5" s="31">
        <f>IFERROR(VLOOKUP($A5, All!$A$1:$AB$700,25,0),0)</f>
        <v>-0.17102668481400404</v>
      </c>
    </row>
    <row r="6" spans="1:25">
      <c r="A6" s="7" t="s">
        <v>63</v>
      </c>
      <c r="B6" s="8">
        <f>IFERROR(VLOOKUP($A6, All!$A$1:$AB$699,2,0),300)</f>
        <v>74</v>
      </c>
      <c r="C6" s="8">
        <f>IFERROR(VLOOKUP($A6, All!$A$1:$AB$699,3,0),70)</f>
        <v>76</v>
      </c>
      <c r="D6" s="8">
        <f>IFERROR(VLOOKUP($A6, All!$A$1:$AB$699,4,0),Math!B$2)</f>
        <v>0.5</v>
      </c>
      <c r="E6" s="8">
        <f>IFERROR(VLOOKUP($A6, All!$A$1:$AB$700,5,0),Math!C$2)</f>
        <v>0.73</v>
      </c>
      <c r="F6" s="8">
        <f>IFERROR(VLOOKUP($A6, All!$A$1:$AB$700,6,0),Math!D$2)</f>
        <v>1</v>
      </c>
      <c r="G6" s="8">
        <f>IFERROR(VLOOKUP($A6, All!$A$1:$AB$700,7,0),Math!E$2)</f>
        <v>9</v>
      </c>
      <c r="H6" s="8">
        <f>IFERROR(VLOOKUP($A6, All!$A$1:$AB$700,8,0),Math!F$2)</f>
        <v>3.8</v>
      </c>
      <c r="I6" s="8">
        <f>IFERROR(VLOOKUP($A6, All!$A$1:$AB$700,9,0),Math!G$2)</f>
        <v>0.7</v>
      </c>
      <c r="J6" s="8">
        <f>IFERROR(VLOOKUP($A6, All!$A$1:$AB$700,10,0),Math!H$2)</f>
        <v>0.7</v>
      </c>
      <c r="K6" s="8">
        <f>IFERROR(VLOOKUP($A6, All!$A$1:$AB$700,11,0),Math!I$2)</f>
        <v>2.9</v>
      </c>
      <c r="L6" s="8">
        <f>IFERROR(VLOOKUP($A6, All!$A$1:$AB$700,12,0),Math!J$2)</f>
        <v>21</v>
      </c>
      <c r="M6" s="8">
        <f>IFERROR(VLOOKUP($A6, All!$A$1:$AB$700,13,0),Math!K$2)</f>
        <v>7.3</v>
      </c>
      <c r="N6" s="8">
        <f>IFERROR(VLOOKUP($A6, All!$A$1:$AB$700,14,0),Math!L$2)</f>
        <v>14.7</v>
      </c>
      <c r="O6" s="8">
        <f>IFERROR(VLOOKUP($A6, All!$A$1:$AB$700,15,0),Math!M$2)</f>
        <v>5.4</v>
      </c>
      <c r="P6" s="8">
        <f>IFERROR(VLOOKUP($A6, All!$A$1:$AB$700,16,0),Math!N$2)</f>
        <v>7.4</v>
      </c>
      <c r="Q6" s="31">
        <f>IFERROR(VLOOKUP($A6, All!$A$1:$AB$700,17,0),0)</f>
        <v>0.41868395801498404</v>
      </c>
      <c r="R6" s="31">
        <f>IFERROR(VLOOKUP($A6, All!$A$1:$AB$700,18,0),0)</f>
        <v>-0.6082903373786368</v>
      </c>
      <c r="S6" s="31">
        <f>IFERROR(VLOOKUP($A6, All!$A$1:$AB$700,19,0),0)</f>
        <v>-0.49197202211553048</v>
      </c>
      <c r="T6" s="31">
        <f>IFERROR(VLOOKUP($A6, All!$A$1:$AB$700,20,0),0)</f>
        <v>1.1946357339235338</v>
      </c>
      <c r="U6" s="31">
        <f>IFERROR(VLOOKUP($A6, All!$A$1:$AB$700,21,0),0)</f>
        <v>0.25858468257085621</v>
      </c>
      <c r="V6" s="31">
        <f>IFERROR(VLOOKUP($A6, All!$A$1:$AB$700,22,0),0)</f>
        <v>-0.71235717318607394</v>
      </c>
      <c r="W6" s="31">
        <f>IFERROR(VLOOKUP($A6, All!$A$1:$AB$700,23,0),0)</f>
        <v>1.6565918472943714E-2</v>
      </c>
      <c r="X6" s="31">
        <f>IFERROR(VLOOKUP($A6, All!$A$1:$AB$700,24,0),0)</f>
        <v>-1.5407526800783111</v>
      </c>
      <c r="Y6" s="31">
        <f>IFERROR(VLOOKUP($A6, All!$A$1:$AB$700,25,0),0)</f>
        <v>1.1522747451653943</v>
      </c>
    </row>
    <row r="7" spans="1:25">
      <c r="A7" s="7" t="s">
        <v>68</v>
      </c>
      <c r="B7" s="8">
        <f>IFERROR(VLOOKUP($A7, All!$A$1:$AB$699,2,0),300)</f>
        <v>87</v>
      </c>
      <c r="C7" s="8">
        <f>IFERROR(VLOOKUP($A7, All!$A$1:$AB$699,3,0),70)</f>
        <v>78</v>
      </c>
      <c r="D7" s="8">
        <f>IFERROR(VLOOKUP($A7, All!$A$1:$AB$699,4,0),Math!B$2)</f>
        <v>0.62</v>
      </c>
      <c r="E7" s="8">
        <f>IFERROR(VLOOKUP($A7, All!$A$1:$AB$700,5,0),Math!C$2)</f>
        <v>0.64</v>
      </c>
      <c r="F7" s="8">
        <f>IFERROR(VLOOKUP($A7, All!$A$1:$AB$700,6,0),Math!D$2)</f>
        <v>0</v>
      </c>
      <c r="G7" s="8">
        <f>IFERROR(VLOOKUP($A7, All!$A$1:$AB$700,7,0),Math!E$2)</f>
        <v>6.9</v>
      </c>
      <c r="H7" s="8">
        <f>IFERROR(VLOOKUP($A7, All!$A$1:$AB$700,8,0),Math!F$2)</f>
        <v>2.2000000000000002</v>
      </c>
      <c r="I7" s="8">
        <f>IFERROR(VLOOKUP($A7, All!$A$1:$AB$700,9,0),Math!G$2)</f>
        <v>1</v>
      </c>
      <c r="J7" s="8">
        <f>IFERROR(VLOOKUP($A7, All!$A$1:$AB$700,10,0),Math!H$2)</f>
        <v>1.5</v>
      </c>
      <c r="K7" s="8">
        <f>IFERROR(VLOOKUP($A7, All!$A$1:$AB$700,11,0),Math!I$2)</f>
        <v>1.7</v>
      </c>
      <c r="L7" s="8">
        <f>IFERROR(VLOOKUP($A7, All!$A$1:$AB$700,12,0),Math!J$2)</f>
        <v>16.399999999999999</v>
      </c>
      <c r="M7" s="8">
        <f>IFERROR(VLOOKUP($A7, All!$A$1:$AB$700,13,0),Math!K$2)</f>
        <v>6.4</v>
      </c>
      <c r="N7" s="8">
        <f>IFERROR(VLOOKUP($A7, All!$A$1:$AB$700,14,0),Math!L$2)</f>
        <v>10.3</v>
      </c>
      <c r="O7" s="8">
        <f>IFERROR(VLOOKUP($A7, All!$A$1:$AB$700,15,0),Math!M$2)</f>
        <v>3.6</v>
      </c>
      <c r="P7" s="8">
        <f>IFERROR(VLOOKUP($A7, All!$A$1:$AB$700,16,0),Math!N$2)</f>
        <v>5.6</v>
      </c>
      <c r="Q7" s="31">
        <f>IFERROR(VLOOKUP($A7, All!$A$1:$AB$700,17,0),0)</f>
        <v>2.6368771130612512</v>
      </c>
      <c r="R7" s="31">
        <f>IFERROR(VLOOKUP($A7, All!$A$1:$AB$700,18,0),0)</f>
        <v>-1.6988507031969093</v>
      </c>
      <c r="S7" s="31">
        <f>IFERROR(VLOOKUP($A7, All!$A$1:$AB$700,19,0),0)</f>
        <v>-1.5708580355267823</v>
      </c>
      <c r="T7" s="31">
        <f>IFERROR(VLOOKUP($A7, All!$A$1:$AB$700,20,0),0)</f>
        <v>0.39707253530982478</v>
      </c>
      <c r="U7" s="31">
        <f>IFERROR(VLOOKUP($A7, All!$A$1:$AB$700,21,0),0)</f>
        <v>-0.54400599078194822</v>
      </c>
      <c r="V7" s="31">
        <f>IFERROR(VLOOKUP($A7, All!$A$1:$AB$700,22,0),0)</f>
        <v>7.9150797020674304E-2</v>
      </c>
      <c r="W7" s="31">
        <f>IFERROR(VLOOKUP($A7, All!$A$1:$AB$700,23,0),0)</f>
        <v>1.4890920049567555</v>
      </c>
      <c r="X7" s="31">
        <f>IFERROR(VLOOKUP($A7, All!$A$1:$AB$700,24,0),0)</f>
        <v>6.9089040508517302E-2</v>
      </c>
      <c r="Y7" s="31">
        <f>IFERROR(VLOOKUP($A7, All!$A$1:$AB$700,25,0),0)</f>
        <v>0.22997374851308608</v>
      </c>
    </row>
    <row r="8" spans="1:25">
      <c r="A8" s="7" t="s">
        <v>888</v>
      </c>
      <c r="B8" s="8">
        <f>IFERROR(VLOOKUP($A8, All!$A$1:$AB$699,2,0),300)</f>
        <v>86</v>
      </c>
      <c r="C8" s="8">
        <f>IFERROR(VLOOKUP($A8, All!$A$1:$AB$699,3,0),70)</f>
        <v>70</v>
      </c>
      <c r="D8" s="8">
        <f>IFERROR(VLOOKUP($A8, All!$A$1:$AB$699,4,0),Math!B$2)</f>
        <v>0.49</v>
      </c>
      <c r="E8" s="8">
        <f>IFERROR(VLOOKUP($A8, All!$A$1:$AB$700,5,0),Math!C$2)</f>
        <v>0.8</v>
      </c>
      <c r="F8" s="8">
        <f>IFERROR(VLOOKUP($A8, All!$A$1:$AB$700,6,0),Math!D$2)</f>
        <v>0.1</v>
      </c>
      <c r="G8" s="8">
        <f>IFERROR(VLOOKUP($A8, All!$A$1:$AB$700,7,0),Math!E$2)</f>
        <v>8.5</v>
      </c>
      <c r="H8" s="8">
        <f>IFERROR(VLOOKUP($A8, All!$A$1:$AB$700,8,0),Math!F$2)</f>
        <v>2.2000000000000002</v>
      </c>
      <c r="I8" s="8">
        <f>IFERROR(VLOOKUP($A8, All!$A$1:$AB$700,9,0),Math!G$2)</f>
        <v>0.7</v>
      </c>
      <c r="J8" s="8">
        <f>IFERROR(VLOOKUP($A8, All!$A$1:$AB$700,10,0),Math!H$2)</f>
        <v>1.6</v>
      </c>
      <c r="K8" s="8">
        <f>IFERROR(VLOOKUP($A8, All!$A$1:$AB$700,11,0),Math!I$2)</f>
        <v>1.7</v>
      </c>
      <c r="L8" s="8">
        <f>IFERROR(VLOOKUP($A8, All!$A$1:$AB$700,12,0),Math!J$2)</f>
        <v>12.5</v>
      </c>
      <c r="M8" s="8">
        <f>IFERROR(VLOOKUP($A8, All!$A$1:$AB$700,13,0),Math!K$2)</f>
        <v>5</v>
      </c>
      <c r="N8" s="8">
        <f>IFERROR(VLOOKUP($A8, All!$A$1:$AB$700,14,0),Math!L$2)</f>
        <v>10.199999999999999</v>
      </c>
      <c r="O8" s="8">
        <f>IFERROR(VLOOKUP($A8, All!$A$1:$AB$700,15,0),Math!M$2)</f>
        <v>2.4</v>
      </c>
      <c r="P8" s="8">
        <f>IFERROR(VLOOKUP($A8, All!$A$1:$AB$700,16,0),Math!N$2)</f>
        <v>3</v>
      </c>
      <c r="Q8" s="31">
        <f>IFERROR(VLOOKUP($A8, All!$A$1:$AB$700,17,0),0)</f>
        <v>0.23383452842779492</v>
      </c>
      <c r="R8" s="31">
        <f>IFERROR(VLOOKUP($A8, All!$A$1:$AB$700,18,0),0)</f>
        <v>0.23992328048002048</v>
      </c>
      <c r="S8" s="31">
        <f>IFERROR(VLOOKUP($A8, All!$A$1:$AB$700,19,0),0)</f>
        <v>-1.4629694341856569</v>
      </c>
      <c r="T8" s="31">
        <f>IFERROR(VLOOKUP($A8, All!$A$1:$AB$700,20,0),0)</f>
        <v>1.0047397342536031</v>
      </c>
      <c r="U8" s="31">
        <f>IFERROR(VLOOKUP($A8, All!$A$1:$AB$700,21,0),0)</f>
        <v>-0.54400599078194822</v>
      </c>
      <c r="V8" s="31">
        <f>IFERROR(VLOOKUP($A8, All!$A$1:$AB$700,22,0),0)</f>
        <v>-0.71235717318607394</v>
      </c>
      <c r="W8" s="31">
        <f>IFERROR(VLOOKUP($A8, All!$A$1:$AB$700,23,0),0)</f>
        <v>1.6731577657672323</v>
      </c>
      <c r="X8" s="31">
        <f>IFERROR(VLOOKUP($A8, All!$A$1:$AB$700,24,0),0)</f>
        <v>6.9089040508517302E-2</v>
      </c>
      <c r="Y8" s="31">
        <f>IFERROR(VLOOKUP($A8, All!$A$1:$AB$700,25,0),0)</f>
        <v>-0.55197709647474003</v>
      </c>
    </row>
    <row r="9" spans="1:25">
      <c r="A9" s="7" t="s">
        <v>889</v>
      </c>
      <c r="B9" s="8">
        <f>IFERROR(VLOOKUP($A9, All!$A$1:$AB$699,2,0),300)</f>
        <v>68</v>
      </c>
      <c r="C9" s="8">
        <f>IFERROR(VLOOKUP($A9, All!$A$1:$AB$699,3,0),70)</f>
        <v>73</v>
      </c>
      <c r="D9" s="8">
        <f>IFERROR(VLOOKUP($A9, All!$A$1:$AB$699,4,0),Math!B$2)</f>
        <v>0.51</v>
      </c>
      <c r="E9" s="8">
        <f>IFERROR(VLOOKUP($A9, All!$A$1:$AB$700,5,0),Math!C$2)</f>
        <v>0.73</v>
      </c>
      <c r="F9" s="8">
        <f>IFERROR(VLOOKUP($A9, All!$A$1:$AB$700,6,0),Math!D$2)</f>
        <v>0.6</v>
      </c>
      <c r="G9" s="8">
        <f>IFERROR(VLOOKUP($A9, All!$A$1:$AB$700,7,0),Math!E$2)</f>
        <v>10.3</v>
      </c>
      <c r="H9" s="8">
        <f>IFERROR(VLOOKUP($A9, All!$A$1:$AB$700,8,0),Math!F$2)</f>
        <v>1.5</v>
      </c>
      <c r="I9" s="8">
        <f>IFERROR(VLOOKUP($A9, All!$A$1:$AB$700,9,0),Math!G$2)</f>
        <v>0.6</v>
      </c>
      <c r="J9" s="8">
        <f>IFERROR(VLOOKUP($A9, All!$A$1:$AB$700,10,0),Math!H$2)</f>
        <v>1.3</v>
      </c>
      <c r="K9" s="8">
        <f>IFERROR(VLOOKUP($A9, All!$A$1:$AB$700,11,0),Math!I$2)</f>
        <v>2</v>
      </c>
      <c r="L9" s="8">
        <f>IFERROR(VLOOKUP($A9, All!$A$1:$AB$700,12,0),Math!J$2)</f>
        <v>20.2</v>
      </c>
      <c r="M9" s="8">
        <f>IFERROR(VLOOKUP($A9, All!$A$1:$AB$700,13,0),Math!K$2)</f>
        <v>7.8</v>
      </c>
      <c r="N9" s="8">
        <f>IFERROR(VLOOKUP($A9, All!$A$1:$AB$700,14,0),Math!L$2)</f>
        <v>15.3</v>
      </c>
      <c r="O9" s="8">
        <f>IFERROR(VLOOKUP($A9, All!$A$1:$AB$700,15,0),Math!M$2)</f>
        <v>4</v>
      </c>
      <c r="P9" s="8">
        <f>IFERROR(VLOOKUP($A9, All!$A$1:$AB$700,16,0),Math!N$2)</f>
        <v>5.5</v>
      </c>
      <c r="Q9" s="31">
        <f>IFERROR(VLOOKUP($A9, All!$A$1:$AB$700,17,0),0)</f>
        <v>0.60353338760217312</v>
      </c>
      <c r="R9" s="31">
        <f>IFERROR(VLOOKUP($A9, All!$A$1:$AB$700,18,0),0)</f>
        <v>-0.6082903373786368</v>
      </c>
      <c r="S9" s="31">
        <f>IFERROR(VLOOKUP($A9, All!$A$1:$AB$700,19,0),0)</f>
        <v>-0.92352642748003122</v>
      </c>
      <c r="T9" s="31">
        <f>IFERROR(VLOOKUP($A9, All!$A$1:$AB$700,20,0),0)</f>
        <v>1.6883653330653541</v>
      </c>
      <c r="U9" s="31">
        <f>IFERROR(VLOOKUP($A9, All!$A$1:$AB$700,21,0),0)</f>
        <v>-0.89513941037380029</v>
      </c>
      <c r="V9" s="31">
        <f>IFERROR(VLOOKUP($A9, All!$A$1:$AB$700,22,0),0)</f>
        <v>-0.97619316325498995</v>
      </c>
      <c r="W9" s="31">
        <f>IFERROR(VLOOKUP($A9, All!$A$1:$AB$700,23,0),0)</f>
        <v>1.1209604833358027</v>
      </c>
      <c r="X9" s="31">
        <f>IFERROR(VLOOKUP($A9, All!$A$1:$AB$700,24,0),0)</f>
        <v>-0.33337138963818985</v>
      </c>
      <c r="Y9" s="31">
        <f>IFERROR(VLOOKUP($A9, All!$A$1:$AB$700,25,0),0)</f>
        <v>0.99187457183455807</v>
      </c>
    </row>
    <row r="10" spans="1:25">
      <c r="A10" s="7" t="s">
        <v>890</v>
      </c>
      <c r="B10" s="8">
        <f>IFERROR(VLOOKUP($A10, All!$A$1:$AB$699,2,0),300)</f>
        <v>69</v>
      </c>
      <c r="C10" s="8">
        <f>IFERROR(VLOOKUP($A10, All!$A$1:$AB$699,3,0),70)</f>
        <v>68</v>
      </c>
      <c r="D10" s="8">
        <f>IFERROR(VLOOKUP($A10, All!$A$1:$AB$699,4,0),Math!B$2)</f>
        <v>0.53</v>
      </c>
      <c r="E10" s="8">
        <f>IFERROR(VLOOKUP($A10, All!$A$1:$AB$700,5,0),Math!C$2)</f>
        <v>0.68</v>
      </c>
      <c r="F10" s="8">
        <f>IFERROR(VLOOKUP($A10, All!$A$1:$AB$700,6,0),Math!D$2)</f>
        <v>0.6</v>
      </c>
      <c r="G10" s="8">
        <f>IFERROR(VLOOKUP($A10, All!$A$1:$AB$700,7,0),Math!E$2)</f>
        <v>9</v>
      </c>
      <c r="H10" s="8">
        <f>IFERROR(VLOOKUP($A10, All!$A$1:$AB$700,8,0),Math!F$2)</f>
        <v>3.5</v>
      </c>
      <c r="I10" s="8">
        <f>IFERROR(VLOOKUP($A10, All!$A$1:$AB$700,9,0),Math!G$2)</f>
        <v>1.6</v>
      </c>
      <c r="J10" s="8">
        <f>IFERROR(VLOOKUP($A10, All!$A$1:$AB$700,10,0),Math!H$2)</f>
        <v>0.7</v>
      </c>
      <c r="K10" s="8">
        <f>IFERROR(VLOOKUP($A10, All!$A$1:$AB$700,11,0),Math!I$2)</f>
        <v>1.5</v>
      </c>
      <c r="L10" s="8">
        <f>IFERROR(VLOOKUP($A10, All!$A$1:$AB$700,12,0),Math!J$2)</f>
        <v>10.3</v>
      </c>
      <c r="M10" s="8">
        <f>IFERROR(VLOOKUP($A10, All!$A$1:$AB$700,13,0),Math!K$2)</f>
        <v>4.0999999999999996</v>
      </c>
      <c r="N10" s="8">
        <f>IFERROR(VLOOKUP($A10, All!$A$1:$AB$700,14,0),Math!L$2)</f>
        <v>7.8</v>
      </c>
      <c r="O10" s="8">
        <f>IFERROR(VLOOKUP($A10, All!$A$1:$AB$700,15,0),Math!M$2)</f>
        <v>1.5</v>
      </c>
      <c r="P10" s="8">
        <f>IFERROR(VLOOKUP($A10, All!$A$1:$AB$700,16,0),Math!N$2)</f>
        <v>2.2000000000000002</v>
      </c>
      <c r="Q10" s="31">
        <f>IFERROR(VLOOKUP($A10, All!$A$1:$AB$700,17,0),0)</f>
        <v>0.97323224677655129</v>
      </c>
      <c r="R10" s="31">
        <f>IFERROR(VLOOKUP($A10, All!$A$1:$AB$700,18,0),0)</f>
        <v>-1.2141572072776765</v>
      </c>
      <c r="S10" s="31">
        <f>IFERROR(VLOOKUP($A10, All!$A$1:$AB$700,19,0),0)</f>
        <v>-0.92352642748003122</v>
      </c>
      <c r="T10" s="31">
        <f>IFERROR(VLOOKUP($A10, All!$A$1:$AB$700,20,0),0)</f>
        <v>1.1946357339235338</v>
      </c>
      <c r="U10" s="31">
        <f>IFERROR(VLOOKUP($A10, All!$A$1:$AB$700,21,0),0)</f>
        <v>0.10809893131720544</v>
      </c>
      <c r="V10" s="31">
        <f>IFERROR(VLOOKUP($A10, All!$A$1:$AB$700,22,0),0)</f>
        <v>1.6621667374341709</v>
      </c>
      <c r="W10" s="31">
        <f>IFERROR(VLOOKUP($A10, All!$A$1:$AB$700,23,0),0)</f>
        <v>1.6565918472943714E-2</v>
      </c>
      <c r="X10" s="31">
        <f>IFERROR(VLOOKUP($A10, All!$A$1:$AB$700,24,0),0)</f>
        <v>0.3373959939396553</v>
      </c>
      <c r="Y10" s="31">
        <f>IFERROR(VLOOKUP($A10, All!$A$1:$AB$700,25,0),0)</f>
        <v>-0.99307757313453937</v>
      </c>
    </row>
    <row r="11" spans="1:25">
      <c r="A11" s="7" t="s">
        <v>78</v>
      </c>
      <c r="B11" s="8">
        <f>IFERROR(VLOOKUP($A11, All!$A$1:$AB$699,2,0),300)</f>
        <v>114</v>
      </c>
      <c r="C11" s="8">
        <f>IFERROR(VLOOKUP($A11, All!$A$1:$AB$699,3,0),70)</f>
        <v>80</v>
      </c>
      <c r="D11" s="8">
        <f>IFERROR(VLOOKUP($A11, All!$A$1:$AB$699,4,0),Math!B$2)</f>
        <v>0.59</v>
      </c>
      <c r="E11" s="8">
        <f>IFERROR(VLOOKUP($A11, All!$A$1:$AB$700,5,0),Math!C$2)</f>
        <v>0.71</v>
      </c>
      <c r="F11" s="8">
        <f>IFERROR(VLOOKUP($A11, All!$A$1:$AB$700,6,0),Math!D$2)</f>
        <v>0.1</v>
      </c>
      <c r="G11" s="8">
        <f>IFERROR(VLOOKUP($A11, All!$A$1:$AB$700,7,0),Math!E$2)</f>
        <v>8.1</v>
      </c>
      <c r="H11" s="8">
        <f>IFERROR(VLOOKUP($A11, All!$A$1:$AB$700,8,0),Math!F$2)</f>
        <v>1.3</v>
      </c>
      <c r="I11" s="8">
        <f>IFERROR(VLOOKUP($A11, All!$A$1:$AB$700,9,0),Math!G$2)</f>
        <v>0.5</v>
      </c>
      <c r="J11" s="8">
        <f>IFERROR(VLOOKUP($A11, All!$A$1:$AB$700,10,0),Math!H$2)</f>
        <v>1.4</v>
      </c>
      <c r="K11" s="8">
        <f>IFERROR(VLOOKUP($A11, All!$A$1:$AB$700,11,0),Math!I$2)</f>
        <v>1.2</v>
      </c>
      <c r="L11" s="8">
        <f>IFERROR(VLOOKUP($A11, All!$A$1:$AB$700,12,0),Math!J$2)</f>
        <v>10.1</v>
      </c>
      <c r="M11" s="8">
        <f>IFERROR(VLOOKUP($A11, All!$A$1:$AB$700,13,0),Math!K$2)</f>
        <v>3.8</v>
      </c>
      <c r="N11" s="8">
        <f>IFERROR(VLOOKUP($A11, All!$A$1:$AB$700,14,0),Math!L$2)</f>
        <v>6.4</v>
      </c>
      <c r="O11" s="8">
        <f>IFERROR(VLOOKUP($A11, All!$A$1:$AB$700,15,0),Math!M$2)</f>
        <v>2.4</v>
      </c>
      <c r="P11" s="8">
        <f>IFERROR(VLOOKUP($A11, All!$A$1:$AB$700,16,0),Math!N$2)</f>
        <v>3.4</v>
      </c>
      <c r="Q11" s="31">
        <f>IFERROR(VLOOKUP($A11, All!$A$1:$AB$700,17,0),0)</f>
        <v>2.0823288242996836</v>
      </c>
      <c r="R11" s="31">
        <f>IFERROR(VLOOKUP($A11, All!$A$1:$AB$700,18,0),0)</f>
        <v>-0.85063708533825322</v>
      </c>
      <c r="S11" s="31">
        <f>IFERROR(VLOOKUP($A11, All!$A$1:$AB$700,19,0),0)</f>
        <v>-1.4629694341856569</v>
      </c>
      <c r="T11" s="31">
        <f>IFERROR(VLOOKUP($A11, All!$A$1:$AB$700,20,0),0)</f>
        <v>0.85282293451765834</v>
      </c>
      <c r="U11" s="31">
        <f>IFERROR(VLOOKUP($A11, All!$A$1:$AB$700,21,0),0)</f>
        <v>-0.9954632445429008</v>
      </c>
      <c r="V11" s="31">
        <f>IFERROR(VLOOKUP($A11, All!$A$1:$AB$700,22,0),0)</f>
        <v>-1.2400291533239061</v>
      </c>
      <c r="W11" s="31">
        <f>IFERROR(VLOOKUP($A11, All!$A$1:$AB$700,23,0),0)</f>
        <v>1.305026244146279</v>
      </c>
      <c r="X11" s="31">
        <f>IFERROR(VLOOKUP($A11, All!$A$1:$AB$700,24,0),0)</f>
        <v>0.73985642408636254</v>
      </c>
      <c r="Y11" s="31">
        <f>IFERROR(VLOOKUP($A11, All!$A$1:$AB$700,25,0),0)</f>
        <v>-1.0331776164672486</v>
      </c>
    </row>
    <row r="12" spans="1:25">
      <c r="A12" s="7" t="s">
        <v>99</v>
      </c>
      <c r="B12" s="8">
        <f>IFERROR(VLOOKUP($A12, All!$A$1:$AB$699,2,0),300)</f>
        <v>131</v>
      </c>
      <c r="C12" s="8">
        <f>IFERROR(VLOOKUP($A12, All!$A$1:$AB$699,3,0),70)</f>
        <v>72</v>
      </c>
      <c r="D12" s="8">
        <f>IFERROR(VLOOKUP($A12, All!$A$1:$AB$699,4,0),Math!B$2)</f>
        <v>0.44</v>
      </c>
      <c r="E12" s="8">
        <f>IFERROR(VLOOKUP($A12, All!$A$1:$AB$700,5,0),Math!C$2)</f>
        <v>0.73</v>
      </c>
      <c r="F12" s="8">
        <f>IFERROR(VLOOKUP($A12, All!$A$1:$AB$700,6,0),Math!D$2)</f>
        <v>2.2000000000000002</v>
      </c>
      <c r="G12" s="8">
        <f>IFERROR(VLOOKUP($A12, All!$A$1:$AB$700,7,0),Math!E$2)</f>
        <v>5.7</v>
      </c>
      <c r="H12" s="8">
        <f>IFERROR(VLOOKUP($A12, All!$A$1:$AB$700,8,0),Math!F$2)</f>
        <v>3.6</v>
      </c>
      <c r="I12" s="8">
        <f>IFERROR(VLOOKUP($A12, All!$A$1:$AB$700,9,0),Math!G$2)</f>
        <v>0.8</v>
      </c>
      <c r="J12" s="8">
        <f>IFERROR(VLOOKUP($A12, All!$A$1:$AB$700,10,0),Math!H$2)</f>
        <v>0.3</v>
      </c>
      <c r="K12" s="8">
        <f>IFERROR(VLOOKUP($A12, All!$A$1:$AB$700,11,0),Math!I$2)</f>
        <v>2.1</v>
      </c>
      <c r="L12" s="8">
        <f>IFERROR(VLOOKUP($A12, All!$A$1:$AB$700,12,0),Math!J$2)</f>
        <v>17.5</v>
      </c>
      <c r="M12" s="8">
        <f>IFERROR(VLOOKUP($A12, All!$A$1:$AB$700,13,0),Math!K$2)</f>
        <v>5.9</v>
      </c>
      <c r="N12" s="8">
        <f>IFERROR(VLOOKUP($A12, All!$A$1:$AB$700,14,0),Math!L$2)</f>
        <v>13.4</v>
      </c>
      <c r="O12" s="8">
        <f>IFERROR(VLOOKUP($A12, All!$A$1:$AB$700,15,0),Math!M$2)</f>
        <v>3.5</v>
      </c>
      <c r="P12" s="8">
        <f>IFERROR(VLOOKUP($A12, All!$A$1:$AB$700,16,0),Math!N$2)</f>
        <v>4.8</v>
      </c>
      <c r="Q12" s="31">
        <f>IFERROR(VLOOKUP($A12, All!$A$1:$AB$700,17,0),0)</f>
        <v>-0.69041261950814947</v>
      </c>
      <c r="R12" s="31">
        <f>IFERROR(VLOOKUP($A12, All!$A$1:$AB$700,18,0),0)</f>
        <v>-0.6082903373786368</v>
      </c>
      <c r="S12" s="31">
        <f>IFERROR(VLOOKUP($A12, All!$A$1:$AB$700,19,0),0)</f>
        <v>0.80269119397797173</v>
      </c>
      <c r="T12" s="31">
        <f>IFERROR(VLOOKUP($A12, All!$A$1:$AB$700,20,0),0)</f>
        <v>-5.8677863898009143E-2</v>
      </c>
      <c r="U12" s="31">
        <f>IFERROR(VLOOKUP($A12, All!$A$1:$AB$700,21,0),0)</f>
        <v>0.15826084840175575</v>
      </c>
      <c r="V12" s="31">
        <f>IFERROR(VLOOKUP($A12, All!$A$1:$AB$700,22,0),0)</f>
        <v>-0.44852118311715766</v>
      </c>
      <c r="W12" s="31">
        <f>IFERROR(VLOOKUP($A12, All!$A$1:$AB$700,23,0),0)</f>
        <v>-0.71969712476896219</v>
      </c>
      <c r="X12" s="31">
        <f>IFERROR(VLOOKUP($A12, All!$A$1:$AB$700,24,0),0)</f>
        <v>-0.46752486635375906</v>
      </c>
      <c r="Y12" s="31">
        <f>IFERROR(VLOOKUP($A12, All!$A$1:$AB$700,25,0),0)</f>
        <v>0.45052398684298611</v>
      </c>
    </row>
    <row r="13" spans="1:25">
      <c r="A13" s="7" t="s">
        <v>650</v>
      </c>
      <c r="B13" s="8">
        <f>IFERROR(VLOOKUP($A13, All!$A$1:$AB$699,2,0),300)</f>
        <v>81</v>
      </c>
      <c r="C13" s="8">
        <f>IFERROR(VLOOKUP($A13, All!$A$1:$AB$699,3,0),70)</f>
        <v>79</v>
      </c>
      <c r="D13" s="8">
        <f>IFERROR(VLOOKUP($A13, All!$A$1:$AB$699,4,0),Math!B$2)</f>
        <v>0.48</v>
      </c>
      <c r="E13" s="8">
        <f>IFERROR(VLOOKUP($A13, All!$A$1:$AB$700,5,0),Math!C$2)</f>
        <v>0.74</v>
      </c>
      <c r="F13" s="8">
        <f>IFERROR(VLOOKUP($A13, All!$A$1:$AB$700,6,0),Math!D$2)</f>
        <v>1.3</v>
      </c>
      <c r="G13" s="8">
        <f>IFERROR(VLOOKUP($A13, All!$A$1:$AB$700,7,0),Math!E$2)</f>
        <v>6.3</v>
      </c>
      <c r="H13" s="8">
        <f>IFERROR(VLOOKUP($A13, All!$A$1:$AB$700,8,0),Math!F$2)</f>
        <v>1.9</v>
      </c>
      <c r="I13" s="8">
        <f>IFERROR(VLOOKUP($A13, All!$A$1:$AB$700,9,0),Math!G$2)</f>
        <v>1.1000000000000001</v>
      </c>
      <c r="J13" s="8">
        <f>IFERROR(VLOOKUP($A13, All!$A$1:$AB$700,10,0),Math!H$2)</f>
        <v>1</v>
      </c>
      <c r="K13" s="8">
        <f>IFERROR(VLOOKUP($A13, All!$A$1:$AB$700,11,0),Math!I$2)</f>
        <v>0.9</v>
      </c>
      <c r="L13" s="8">
        <f>IFERROR(VLOOKUP($A13, All!$A$1:$AB$700,12,0),Math!J$2)</f>
        <v>16.399999999999999</v>
      </c>
      <c r="M13" s="8">
        <f>IFERROR(VLOOKUP($A13, All!$A$1:$AB$700,13,0),Math!K$2)</f>
        <v>6.8</v>
      </c>
      <c r="N13" s="8">
        <f>IFERROR(VLOOKUP($A13, All!$A$1:$AB$700,14,0),Math!L$2)</f>
        <v>14.3</v>
      </c>
      <c r="O13" s="8">
        <f>IFERROR(VLOOKUP($A13, All!$A$1:$AB$700,15,0),Math!M$2)</f>
        <v>1.4</v>
      </c>
      <c r="P13" s="8">
        <f>IFERROR(VLOOKUP($A13, All!$A$1:$AB$700,16,0),Math!N$2)</f>
        <v>1.9</v>
      </c>
      <c r="Q13" s="31">
        <f>IFERROR(VLOOKUP($A13, All!$A$1:$AB$700,17,0),0)</f>
        <v>4.8985098840605826E-2</v>
      </c>
      <c r="R13" s="31">
        <f>IFERROR(VLOOKUP($A13, All!$A$1:$AB$700,18,0),0)</f>
        <v>-0.48711696339882865</v>
      </c>
      <c r="S13" s="31">
        <f>IFERROR(VLOOKUP($A13, All!$A$1:$AB$700,19,0),0)</f>
        <v>-0.16830621809215493</v>
      </c>
      <c r="T13" s="31">
        <f>IFERROR(VLOOKUP($A13, All!$A$1:$AB$700,20,0),0)</f>
        <v>0.16919733570590764</v>
      </c>
      <c r="U13" s="31">
        <f>IFERROR(VLOOKUP($A13, All!$A$1:$AB$700,21,0),0)</f>
        <v>-0.69449174203559916</v>
      </c>
      <c r="V13" s="31">
        <f>IFERROR(VLOOKUP($A13, All!$A$1:$AB$700,22,0),0)</f>
        <v>0.34298678708959057</v>
      </c>
      <c r="W13" s="31">
        <f>IFERROR(VLOOKUP($A13, All!$A$1:$AB$700,23,0),0)</f>
        <v>0.56876320090437327</v>
      </c>
      <c r="X13" s="31">
        <f>IFERROR(VLOOKUP($A13, All!$A$1:$AB$700,24,0),0)</f>
        <v>1.1423168542330695</v>
      </c>
      <c r="Y13" s="31">
        <f>IFERROR(VLOOKUP($A13, All!$A$1:$AB$700,25,0),0)</f>
        <v>0.22997374851308608</v>
      </c>
    </row>
    <row r="14" spans="1:25">
      <c r="A14" s="7" t="s">
        <v>894</v>
      </c>
      <c r="B14" s="8">
        <f>IFERROR(VLOOKUP($A14, All!$A$1:$AB$699,2,0),300)</f>
        <v>108</v>
      </c>
      <c r="C14" s="8">
        <f>IFERROR(VLOOKUP($A14, All!$A$1:$AB$699,3,0),70)</f>
        <v>68</v>
      </c>
      <c r="D14" s="8">
        <f>IFERROR(VLOOKUP($A14, All!$A$1:$AB$699,4,0),Math!B$2)</f>
        <v>0.47</v>
      </c>
      <c r="E14" s="8">
        <f>IFERROR(VLOOKUP($A14, All!$A$1:$AB$700,5,0),Math!C$2)</f>
        <v>0.75</v>
      </c>
      <c r="F14" s="8">
        <f>IFERROR(VLOOKUP($A14, All!$A$1:$AB$700,6,0),Math!D$2)</f>
        <v>1</v>
      </c>
      <c r="G14" s="8">
        <f>IFERROR(VLOOKUP($A14, All!$A$1:$AB$700,7,0),Math!E$2)</f>
        <v>4.0999999999999996</v>
      </c>
      <c r="H14" s="8">
        <f>IFERROR(VLOOKUP($A14, All!$A$1:$AB$700,8,0),Math!F$2)</f>
        <v>3.4</v>
      </c>
      <c r="I14" s="8">
        <f>IFERROR(VLOOKUP($A14, All!$A$1:$AB$700,9,0),Math!G$2)</f>
        <v>1.1000000000000001</v>
      </c>
      <c r="J14" s="8">
        <f>IFERROR(VLOOKUP($A14, All!$A$1:$AB$700,10,0),Math!H$2)</f>
        <v>0.8</v>
      </c>
      <c r="K14" s="8">
        <f>IFERROR(VLOOKUP($A14, All!$A$1:$AB$700,11,0),Math!I$2)</f>
        <v>1.5</v>
      </c>
      <c r="L14" s="8">
        <f>IFERROR(VLOOKUP($A14, All!$A$1:$AB$700,12,0),Math!J$2)</f>
        <v>11.9</v>
      </c>
      <c r="M14" s="8">
        <f>IFERROR(VLOOKUP($A14, All!$A$1:$AB$700,13,0),Math!K$2)</f>
        <v>4.7</v>
      </c>
      <c r="N14" s="8">
        <f>IFERROR(VLOOKUP($A14, All!$A$1:$AB$700,14,0),Math!L$2)</f>
        <v>9.9</v>
      </c>
      <c r="O14" s="8">
        <f>IFERROR(VLOOKUP($A14, All!$A$1:$AB$700,15,0),Math!M$2)</f>
        <v>1.5</v>
      </c>
      <c r="P14" s="8">
        <f>IFERROR(VLOOKUP($A14, All!$A$1:$AB$700,16,0),Math!N$2)</f>
        <v>2</v>
      </c>
      <c r="Q14" s="31">
        <f>IFERROR(VLOOKUP($A14, All!$A$1:$AB$700,17,0),0)</f>
        <v>-0.13586433074658327</v>
      </c>
      <c r="R14" s="31">
        <f>IFERROR(VLOOKUP($A14, All!$A$1:$AB$700,18,0),0)</f>
        <v>-0.3659435894190205</v>
      </c>
      <c r="S14" s="31">
        <f>IFERROR(VLOOKUP($A14, All!$A$1:$AB$700,19,0),0)</f>
        <v>-0.49197202211553048</v>
      </c>
      <c r="T14" s="31">
        <f>IFERROR(VLOOKUP($A14, All!$A$1:$AB$700,20,0),0)</f>
        <v>-0.66634506284178774</v>
      </c>
      <c r="U14" s="31">
        <f>IFERROR(VLOOKUP($A14, All!$A$1:$AB$700,21,0),0)</f>
        <v>5.7937014232655099E-2</v>
      </c>
      <c r="V14" s="31">
        <f>IFERROR(VLOOKUP($A14, All!$A$1:$AB$700,22,0),0)</f>
        <v>0.34298678708959057</v>
      </c>
      <c r="W14" s="31">
        <f>IFERROR(VLOOKUP($A14, All!$A$1:$AB$700,23,0),0)</f>
        <v>0.20063167928342035</v>
      </c>
      <c r="X14" s="31">
        <f>IFERROR(VLOOKUP($A14, All!$A$1:$AB$700,24,0),0)</f>
        <v>0.3373959939396553</v>
      </c>
      <c r="Y14" s="31">
        <f>IFERROR(VLOOKUP($A14, All!$A$1:$AB$700,25,0),0)</f>
        <v>-0.67227722647286714</v>
      </c>
    </row>
    <row r="16" spans="1:25">
      <c r="A16" s="9" t="s">
        <v>123</v>
      </c>
      <c r="B16" s="2" t="s">
        <v>121</v>
      </c>
      <c r="C16" s="10" t="s">
        <v>122</v>
      </c>
      <c r="D16" s="12" t="s">
        <v>129</v>
      </c>
      <c r="E16" s="12" t="s">
        <v>130</v>
      </c>
      <c r="F16" s="11" t="s">
        <v>5</v>
      </c>
      <c r="G16" s="11" t="s">
        <v>6</v>
      </c>
      <c r="H16" s="11" t="s">
        <v>7</v>
      </c>
      <c r="I16" s="11" t="s">
        <v>8</v>
      </c>
      <c r="J16" s="11" t="s">
        <v>9</v>
      </c>
      <c r="K16" s="11" t="s">
        <v>10</v>
      </c>
      <c r="L16" s="11" t="s">
        <v>11</v>
      </c>
      <c r="M16" s="12" t="s">
        <v>12</v>
      </c>
      <c r="N16" s="12" t="s">
        <v>13</v>
      </c>
      <c r="O16" s="4" t="s">
        <v>125</v>
      </c>
      <c r="P16" s="17" t="s">
        <v>126</v>
      </c>
      <c r="Q16" s="17" t="s">
        <v>127</v>
      </c>
      <c r="R16" s="18" t="s">
        <v>128</v>
      </c>
    </row>
    <row r="17" spans="1:18">
      <c r="A17" s="6"/>
      <c r="B17" s="15">
        <f t="shared" ref="B17:N17" si="0">AVERAGE(B2:B14)</f>
        <v>76.07692307692308</v>
      </c>
      <c r="C17" s="15">
        <f t="shared" si="0"/>
        <v>74.15384615384616</v>
      </c>
      <c r="D17" s="15">
        <f t="shared" si="0"/>
        <v>0.51538461538461544</v>
      </c>
      <c r="E17" s="15">
        <f t="shared" si="0"/>
        <v>0.70384615384615379</v>
      </c>
      <c r="F17" s="15">
        <f t="shared" si="0"/>
        <v>0.73076923076923073</v>
      </c>
      <c r="G17" s="15">
        <f t="shared" si="0"/>
        <v>8.6923076923076916</v>
      </c>
      <c r="H17" s="15">
        <f t="shared" si="0"/>
        <v>2.9384615384615382</v>
      </c>
      <c r="I17" s="15">
        <f t="shared" si="0"/>
        <v>1.0461538461538462</v>
      </c>
      <c r="J17" s="15">
        <f t="shared" si="0"/>
        <v>1.1384615384615386</v>
      </c>
      <c r="K17" s="15">
        <f t="shared" si="0"/>
        <v>1.9692307692307691</v>
      </c>
      <c r="L17" s="15">
        <f t="shared" si="0"/>
        <v>16.607692307692307</v>
      </c>
      <c r="M17" s="15">
        <f t="shared" si="0"/>
        <v>6.2846153846153845</v>
      </c>
      <c r="N17" s="15">
        <f t="shared" si="0"/>
        <v>12.376923076923077</v>
      </c>
      <c r="O17" s="16">
        <f>M17/N17</f>
        <v>0.50776880049720319</v>
      </c>
      <c r="P17" s="16">
        <f>AVERAGE(O2:O14)</f>
        <v>3.3153846153846152</v>
      </c>
      <c r="Q17" s="16">
        <f>AVERAGE(P2:P14)</f>
        <v>4.6692307692307686</v>
      </c>
      <c r="R17" s="15">
        <f>P17/Q17</f>
        <v>0.71004942339373978</v>
      </c>
    </row>
    <row r="19" spans="1:18">
      <c r="A19" s="13" t="s">
        <v>124</v>
      </c>
      <c r="B19" s="11" t="s">
        <v>3</v>
      </c>
      <c r="C19" s="11" t="s">
        <v>4</v>
      </c>
      <c r="D19" s="11" t="s">
        <v>5</v>
      </c>
      <c r="E19" s="11" t="s">
        <v>6</v>
      </c>
      <c r="F19" s="11" t="s">
        <v>7</v>
      </c>
      <c r="G19" s="11" t="s">
        <v>8</v>
      </c>
      <c r="H19" s="11" t="s">
        <v>9</v>
      </c>
      <c r="I19" s="11" t="s">
        <v>10</v>
      </c>
      <c r="J19" s="11" t="s">
        <v>11</v>
      </c>
      <c r="K19" s="12" t="s">
        <v>12</v>
      </c>
      <c r="L19" s="12" t="s">
        <v>13</v>
      </c>
      <c r="M19" s="12" t="s">
        <v>126</v>
      </c>
      <c r="N19" s="12" t="s">
        <v>127</v>
      </c>
    </row>
    <row r="20" spans="1:18">
      <c r="A20" s="6"/>
      <c r="B20" s="16">
        <f>K20/L20</f>
        <v>0.50776880049720319</v>
      </c>
      <c r="C20" s="15">
        <f>M20/N20</f>
        <v>0.71004942339373966</v>
      </c>
      <c r="D20" s="15">
        <f t="shared" ref="D20:N20" si="1">SUM(F2:F14)</f>
        <v>9.5</v>
      </c>
      <c r="E20" s="15">
        <f t="shared" si="1"/>
        <v>112.99999999999999</v>
      </c>
      <c r="F20" s="15">
        <f t="shared" si="1"/>
        <v>38.199999999999996</v>
      </c>
      <c r="G20" s="15">
        <f t="shared" si="1"/>
        <v>13.6</v>
      </c>
      <c r="H20" s="15">
        <f t="shared" si="1"/>
        <v>14.800000000000002</v>
      </c>
      <c r="I20" s="15">
        <f t="shared" si="1"/>
        <v>25.599999999999998</v>
      </c>
      <c r="J20" s="15">
        <f t="shared" si="1"/>
        <v>215.9</v>
      </c>
      <c r="K20" s="15">
        <f t="shared" si="1"/>
        <v>81.7</v>
      </c>
      <c r="L20" s="15">
        <f t="shared" si="1"/>
        <v>160.9</v>
      </c>
      <c r="M20" s="15">
        <f t="shared" si="1"/>
        <v>43.099999999999994</v>
      </c>
      <c r="N20" s="15">
        <f t="shared" si="1"/>
        <v>60.699999999999996</v>
      </c>
    </row>
  </sheetData>
  <sortState xmlns:xlrd2="http://schemas.microsoft.com/office/spreadsheetml/2017/richdata2" ref="A2:P14">
    <sortCondition ref="B2"/>
  </sortState>
  <conditionalFormatting sqref="D2:D14">
    <cfRule type="colorScale" priority="18">
      <colorScale>
        <cfvo type="min"/>
        <cfvo type="percentile" val="50"/>
        <cfvo type="max"/>
        <color rgb="FFF8696B"/>
        <color rgb="FFFFEB84"/>
        <color rgb="FF63BE7B"/>
      </colorScale>
    </cfRule>
  </conditionalFormatting>
  <conditionalFormatting sqref="E2:E14">
    <cfRule type="colorScale" priority="17">
      <colorScale>
        <cfvo type="min"/>
        <cfvo type="percentile" val="50"/>
        <cfvo type="max"/>
        <color rgb="FFF8696B"/>
        <color rgb="FFFFEB84"/>
        <color rgb="FF63BE7B"/>
      </colorScale>
    </cfRule>
  </conditionalFormatting>
  <conditionalFormatting sqref="F2:F14">
    <cfRule type="colorScale" priority="16">
      <colorScale>
        <cfvo type="min"/>
        <cfvo type="percentile" val="50"/>
        <cfvo type="max"/>
        <color rgb="FFF8696B"/>
        <color rgb="FFFFEB84"/>
        <color rgb="FF63BE7B"/>
      </colorScale>
    </cfRule>
  </conditionalFormatting>
  <conditionalFormatting sqref="G2:G14">
    <cfRule type="colorScale" priority="15">
      <colorScale>
        <cfvo type="min"/>
        <cfvo type="percentile" val="50"/>
        <cfvo type="max"/>
        <color rgb="FFF8696B"/>
        <color rgb="FFFFEB84"/>
        <color rgb="FF63BE7B"/>
      </colorScale>
    </cfRule>
  </conditionalFormatting>
  <conditionalFormatting sqref="H2:H14">
    <cfRule type="colorScale" priority="14">
      <colorScale>
        <cfvo type="min"/>
        <cfvo type="percentile" val="50"/>
        <cfvo type="max"/>
        <color rgb="FFF8696B"/>
        <color rgb="FFFFEB84"/>
        <color rgb="FF63BE7B"/>
      </colorScale>
    </cfRule>
  </conditionalFormatting>
  <conditionalFormatting sqref="I2:I14">
    <cfRule type="colorScale" priority="13">
      <colorScale>
        <cfvo type="min"/>
        <cfvo type="percentile" val="50"/>
        <cfvo type="max"/>
        <color rgb="FFF8696B"/>
        <color rgb="FFFFEB84"/>
        <color rgb="FF63BE7B"/>
      </colorScale>
    </cfRule>
  </conditionalFormatting>
  <conditionalFormatting sqref="J2:J14">
    <cfRule type="colorScale" priority="12">
      <colorScale>
        <cfvo type="min"/>
        <cfvo type="percentile" val="50"/>
        <cfvo type="max"/>
        <color rgb="FFF8696B"/>
        <color rgb="FFFFEB84"/>
        <color rgb="FF63BE7B"/>
      </colorScale>
    </cfRule>
  </conditionalFormatting>
  <conditionalFormatting sqref="K2:K14">
    <cfRule type="colorScale" priority="11">
      <colorScale>
        <cfvo type="min"/>
        <cfvo type="percentile" val="50"/>
        <cfvo type="max"/>
        <color rgb="FF63BE7B"/>
        <color rgb="FFFFEB84"/>
        <color rgb="FFF8696B"/>
      </colorScale>
    </cfRule>
  </conditionalFormatting>
  <conditionalFormatting sqref="L2:L14">
    <cfRule type="colorScale" priority="10">
      <colorScale>
        <cfvo type="min"/>
        <cfvo type="percentile" val="50"/>
        <cfvo type="max"/>
        <color rgb="FFF8696B"/>
        <color rgb="FFFFEB84"/>
        <color rgb="FF63BE7B"/>
      </colorScale>
    </cfRule>
  </conditionalFormatting>
  <conditionalFormatting sqref="Q2:Q14">
    <cfRule type="colorScale" priority="9">
      <colorScale>
        <cfvo type="min"/>
        <cfvo type="percentile" val="50"/>
        <cfvo type="max"/>
        <color rgb="FFF8696B"/>
        <color rgb="FFFFEB84"/>
        <color rgb="FF63BE7B"/>
      </colorScale>
    </cfRule>
  </conditionalFormatting>
  <conditionalFormatting sqref="R2:R14">
    <cfRule type="colorScale" priority="8">
      <colorScale>
        <cfvo type="min"/>
        <cfvo type="percentile" val="50"/>
        <cfvo type="max"/>
        <color rgb="FFF8696B"/>
        <color rgb="FFFFEB84"/>
        <color rgb="FF63BE7B"/>
      </colorScale>
    </cfRule>
  </conditionalFormatting>
  <conditionalFormatting sqref="S2:S14">
    <cfRule type="colorScale" priority="7">
      <colorScale>
        <cfvo type="min"/>
        <cfvo type="percentile" val="50"/>
        <cfvo type="max"/>
        <color rgb="FFF8696B"/>
        <color rgb="FFFFEB84"/>
        <color rgb="FF63BE7B"/>
      </colorScale>
    </cfRule>
  </conditionalFormatting>
  <conditionalFormatting sqref="T2:T14">
    <cfRule type="colorScale" priority="6">
      <colorScale>
        <cfvo type="min"/>
        <cfvo type="percentile" val="50"/>
        <cfvo type="max"/>
        <color rgb="FFF8696B"/>
        <color rgb="FFFFEB84"/>
        <color rgb="FF63BE7B"/>
      </colorScale>
    </cfRule>
  </conditionalFormatting>
  <conditionalFormatting sqref="U2:U14">
    <cfRule type="colorScale" priority="5">
      <colorScale>
        <cfvo type="min"/>
        <cfvo type="percentile" val="50"/>
        <cfvo type="max"/>
        <color rgb="FFF8696B"/>
        <color rgb="FFFFEB84"/>
        <color rgb="FF63BE7B"/>
      </colorScale>
    </cfRule>
  </conditionalFormatting>
  <conditionalFormatting sqref="V2:V14">
    <cfRule type="colorScale" priority="4">
      <colorScale>
        <cfvo type="min"/>
        <cfvo type="percentile" val="50"/>
        <cfvo type="max"/>
        <color rgb="FFF8696B"/>
        <color rgb="FFFFEB84"/>
        <color rgb="FF63BE7B"/>
      </colorScale>
    </cfRule>
  </conditionalFormatting>
  <conditionalFormatting sqref="W2:W14">
    <cfRule type="colorScale" priority="3">
      <colorScale>
        <cfvo type="min"/>
        <cfvo type="percentile" val="50"/>
        <cfvo type="max"/>
        <color rgb="FFF8696B"/>
        <color rgb="FFFFEB84"/>
        <color rgb="FF63BE7B"/>
      </colorScale>
    </cfRule>
  </conditionalFormatting>
  <conditionalFormatting sqref="X2:X14">
    <cfRule type="colorScale" priority="2">
      <colorScale>
        <cfvo type="min"/>
        <cfvo type="percentile" val="50"/>
        <cfvo type="max"/>
        <color rgb="FFF8696B"/>
        <color rgb="FFFFEB84"/>
        <color rgb="FF63BE7B"/>
      </colorScale>
    </cfRule>
  </conditionalFormatting>
  <conditionalFormatting sqref="Y2:Y14">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8CD13-ADC9-B240-B3A4-9F3FB9F46E4C}">
  <sheetPr codeName="Sheet6"/>
  <dimension ref="A1:Y20"/>
  <sheetViews>
    <sheetView workbookViewId="0">
      <selection activeCell="F33" sqref="F33"/>
    </sheetView>
  </sheetViews>
  <sheetFormatPr baseColWidth="10" defaultRowHeight="16"/>
  <cols>
    <col min="1" max="1" width="18.83203125" customWidth="1"/>
  </cols>
  <sheetData>
    <row r="1" spans="1:25">
      <c r="A1" s="1" t="s">
        <v>0</v>
      </c>
      <c r="B1" s="2" t="s">
        <v>1</v>
      </c>
      <c r="C1" s="3" t="s">
        <v>2</v>
      </c>
      <c r="D1" s="4" t="s">
        <v>3</v>
      </c>
      <c r="E1" s="4" t="s">
        <v>4</v>
      </c>
      <c r="F1" s="4" t="s">
        <v>5</v>
      </c>
      <c r="G1" s="4" t="s">
        <v>6</v>
      </c>
      <c r="H1" s="4" t="s">
        <v>7</v>
      </c>
      <c r="I1" s="4" t="s">
        <v>8</v>
      </c>
      <c r="J1" s="4" t="s">
        <v>9</v>
      </c>
      <c r="K1" s="4" t="s">
        <v>10</v>
      </c>
      <c r="L1" s="4" t="s">
        <v>11</v>
      </c>
      <c r="M1" s="5" t="s">
        <v>12</v>
      </c>
      <c r="N1" s="5" t="s">
        <v>13</v>
      </c>
      <c r="O1" s="5" t="s">
        <v>126</v>
      </c>
      <c r="P1" s="5" t="s">
        <v>127</v>
      </c>
      <c r="Q1" s="27" t="s">
        <v>144</v>
      </c>
      <c r="R1" s="28" t="s">
        <v>145</v>
      </c>
      <c r="S1" s="29" t="s">
        <v>146</v>
      </c>
      <c r="T1" s="29" t="s">
        <v>147</v>
      </c>
      <c r="U1" s="29" t="s">
        <v>148</v>
      </c>
      <c r="V1" s="29" t="s">
        <v>149</v>
      </c>
      <c r="W1" s="29" t="s">
        <v>150</v>
      </c>
      <c r="X1" s="29" t="s">
        <v>151</v>
      </c>
      <c r="Y1" s="29" t="s">
        <v>152</v>
      </c>
    </row>
    <row r="2" spans="1:25">
      <c r="A2" s="7" t="s">
        <v>21</v>
      </c>
      <c r="B2" s="8">
        <f>IFERROR(VLOOKUP($A2, All!$A$1:$AB$699,2,0),300)</f>
        <v>12</v>
      </c>
      <c r="C2" s="8">
        <f>IFERROR(VLOOKUP($A2, All!$A$1:$AB$699,3,0),70)</f>
        <v>74</v>
      </c>
      <c r="D2" s="8">
        <f>IFERROR(VLOOKUP($A2, All!$A$1:$AB$699,4,0),Math!B$2)</f>
        <v>0.51</v>
      </c>
      <c r="E2" s="8">
        <f>IFERROR(VLOOKUP($A2, All!$A$1:$AB$700,5,0),Math!C$2)</f>
        <v>0.7</v>
      </c>
      <c r="F2" s="8">
        <f>IFERROR(VLOOKUP($A2, All!$A$1:$AB$700,6,0),Math!D$2)</f>
        <v>2.1</v>
      </c>
      <c r="G2" s="8">
        <f>IFERROR(VLOOKUP($A2, All!$A$1:$AB$700,7,0),Math!E$2)</f>
        <v>8.6999999999999993</v>
      </c>
      <c r="H2" s="8">
        <f>IFERROR(VLOOKUP($A2, All!$A$1:$AB$700,8,0),Math!F$2)</f>
        <v>8.8000000000000007</v>
      </c>
      <c r="I2" s="8">
        <f>IFERROR(VLOOKUP($A2, All!$A$1:$AB$700,9,0),Math!G$2)</f>
        <v>1.3</v>
      </c>
      <c r="J2" s="8">
        <f>IFERROR(VLOOKUP($A2, All!$A$1:$AB$700,10,0),Math!H$2)</f>
        <v>0.6</v>
      </c>
      <c r="K2" s="8">
        <f>IFERROR(VLOOKUP($A2, All!$A$1:$AB$700,11,0),Math!I$2)</f>
        <v>3.7</v>
      </c>
      <c r="L2" s="8">
        <f>IFERROR(VLOOKUP($A2, All!$A$1:$AB$700,12,0),Math!J$2)</f>
        <v>26.9</v>
      </c>
      <c r="M2" s="8">
        <f>IFERROR(VLOOKUP($A2, All!$A$1:$AB$700,13,0),Math!K$2)</f>
        <v>9.9</v>
      </c>
      <c r="N2" s="8">
        <f>IFERROR(VLOOKUP($A2, All!$A$1:$AB$700,14,0),Math!L$2)</f>
        <v>19.399999999999999</v>
      </c>
      <c r="O2" s="8">
        <f>IFERROR(VLOOKUP($A2, All!$A$1:$AB$700,15,0),Math!M$2)</f>
        <v>5</v>
      </c>
      <c r="P2" s="8">
        <f>IFERROR(VLOOKUP($A2, All!$A$1:$AB$700,16,0),Math!N$2)</f>
        <v>7.1</v>
      </c>
      <c r="Q2" s="31">
        <f>IFERROR(VLOOKUP($A2, All!$A$1:$AB$700,17,0),0)</f>
        <v>0.60353338760217312</v>
      </c>
      <c r="R2" s="31">
        <f>IFERROR(VLOOKUP($A2, All!$A$1:$AB$700,18,0),0)</f>
        <v>-0.97181045931806143</v>
      </c>
      <c r="S2" s="31">
        <f>IFERROR(VLOOKUP($A2, All!$A$1:$AB$700,19,0),0)</f>
        <v>0.69480259263684652</v>
      </c>
      <c r="T2" s="31">
        <f>IFERROR(VLOOKUP($A2, All!$A$1:$AB$700,20,0),0)</f>
        <v>1.0806981341215751</v>
      </c>
      <c r="U2" s="31">
        <f>IFERROR(VLOOKUP($A2, All!$A$1:$AB$700,21,0),0)</f>
        <v>2.7666805367983707</v>
      </c>
      <c r="V2" s="31">
        <f>IFERROR(VLOOKUP($A2, All!$A$1:$AB$700,22,0),0)</f>
        <v>0.87065876722742253</v>
      </c>
      <c r="W2" s="31">
        <f>IFERROR(VLOOKUP($A2, All!$A$1:$AB$700,23,0),0)</f>
        <v>-0.16749984233753273</v>
      </c>
      <c r="X2" s="31">
        <f>IFERROR(VLOOKUP($A2, All!$A$1:$AB$700,24,0),0)</f>
        <v>-2.6139804938028637</v>
      </c>
      <c r="Y2" s="31">
        <f>IFERROR(VLOOKUP($A2, All!$A$1:$AB$700,25,0),0)</f>
        <v>2.3352260234803111</v>
      </c>
    </row>
    <row r="3" spans="1:25">
      <c r="A3" s="7" t="s">
        <v>35</v>
      </c>
      <c r="B3" s="8">
        <f>IFERROR(VLOOKUP($A3, All!$A$1:$AB$699,2,0),300)</f>
        <v>46</v>
      </c>
      <c r="C3" s="8">
        <f>IFERROR(VLOOKUP($A3, All!$A$1:$AB$699,3,0),70)</f>
        <v>74</v>
      </c>
      <c r="D3" s="8">
        <f>IFERROR(VLOOKUP($A3, All!$A$1:$AB$699,4,0),Math!B$2)</f>
        <v>0.44</v>
      </c>
      <c r="E3" s="8">
        <f>IFERROR(VLOOKUP($A3, All!$A$1:$AB$700,5,0),Math!C$2)</f>
        <v>0.74</v>
      </c>
      <c r="F3" s="8">
        <f>IFERROR(VLOOKUP($A3, All!$A$1:$AB$700,6,0),Math!D$2)</f>
        <v>2.6</v>
      </c>
      <c r="G3" s="8">
        <f>IFERROR(VLOOKUP($A3, All!$A$1:$AB$700,7,0),Math!E$2)</f>
        <v>8.3000000000000007</v>
      </c>
      <c r="H3" s="8">
        <f>IFERROR(VLOOKUP($A3, All!$A$1:$AB$700,8,0),Math!F$2)</f>
        <v>6.7</v>
      </c>
      <c r="I3" s="8">
        <f>IFERROR(VLOOKUP($A3, All!$A$1:$AB$700,9,0),Math!G$2)</f>
        <v>1.2</v>
      </c>
      <c r="J3" s="8">
        <f>IFERROR(VLOOKUP($A3, All!$A$1:$AB$700,10,0),Math!H$2)</f>
        <v>0.3</v>
      </c>
      <c r="K3" s="8">
        <f>IFERROR(VLOOKUP($A3, All!$A$1:$AB$700,11,0),Math!I$2)</f>
        <v>3.6</v>
      </c>
      <c r="L3" s="8">
        <f>IFERROR(VLOOKUP($A3, All!$A$1:$AB$700,12,0),Math!J$2)</f>
        <v>23.5</v>
      </c>
      <c r="M3" s="8">
        <f>IFERROR(VLOOKUP($A3, All!$A$1:$AB$700,13,0),Math!K$2)</f>
        <v>7.8</v>
      </c>
      <c r="N3" s="8">
        <f>IFERROR(VLOOKUP($A3, All!$A$1:$AB$700,14,0),Math!L$2)</f>
        <v>17.7</v>
      </c>
      <c r="O3" s="8">
        <f>IFERROR(VLOOKUP($A3, All!$A$1:$AB$700,15,0),Math!M$2)</f>
        <v>5.3</v>
      </c>
      <c r="P3" s="8">
        <f>IFERROR(VLOOKUP($A3, All!$A$1:$AB$700,16,0),Math!N$2)</f>
        <v>7.2</v>
      </c>
      <c r="Q3" s="31">
        <f>IFERROR(VLOOKUP($A3, All!$A$1:$AB$700,17,0),0)</f>
        <v>-0.69041261950814947</v>
      </c>
      <c r="R3" s="31">
        <f>IFERROR(VLOOKUP($A3, All!$A$1:$AB$700,18,0),0)</f>
        <v>-0.48711696339882865</v>
      </c>
      <c r="S3" s="31">
        <f>IFERROR(VLOOKUP($A3, All!$A$1:$AB$700,19,0),0)</f>
        <v>1.2342455993424724</v>
      </c>
      <c r="T3" s="31">
        <f>IFERROR(VLOOKUP($A3, All!$A$1:$AB$700,20,0),0)</f>
        <v>0.92878133438563104</v>
      </c>
      <c r="U3" s="31">
        <f>IFERROR(VLOOKUP($A3, All!$A$1:$AB$700,21,0),0)</f>
        <v>1.7132802780228147</v>
      </c>
      <c r="V3" s="31">
        <f>IFERROR(VLOOKUP($A3, All!$A$1:$AB$700,22,0),0)</f>
        <v>0.6068227771585063</v>
      </c>
      <c r="W3" s="31">
        <f>IFERROR(VLOOKUP($A3, All!$A$1:$AB$700,23,0),0)</f>
        <v>-0.71969712476896219</v>
      </c>
      <c r="X3" s="31">
        <f>IFERROR(VLOOKUP($A3, All!$A$1:$AB$700,24,0),0)</f>
        <v>-2.4798270170872945</v>
      </c>
      <c r="Y3" s="31">
        <f>IFERROR(VLOOKUP($A3, All!$A$1:$AB$700,25,0),0)</f>
        <v>1.6535252868242574</v>
      </c>
    </row>
    <row r="4" spans="1:25">
      <c r="A4" s="7" t="s">
        <v>40</v>
      </c>
      <c r="B4" s="8">
        <f>IFERROR(VLOOKUP($A4, All!$A$1:$AB$699,2,0),300)</f>
        <v>41</v>
      </c>
      <c r="C4" s="8">
        <f>IFERROR(VLOOKUP($A4, All!$A$1:$AB$699,3,0),70)</f>
        <v>78</v>
      </c>
      <c r="D4" s="8">
        <f>IFERROR(VLOOKUP($A4, All!$A$1:$AB$699,4,0),Math!B$2)</f>
        <v>0.55000000000000004</v>
      </c>
      <c r="E4" s="8">
        <f>IFERROR(VLOOKUP($A4, All!$A$1:$AB$700,5,0),Math!C$2)</f>
        <v>0.63</v>
      </c>
      <c r="F4" s="8">
        <f>IFERROR(VLOOKUP($A4, All!$A$1:$AB$700,6,0),Math!D$2)</f>
        <v>0</v>
      </c>
      <c r="G4" s="8">
        <f>IFERROR(VLOOKUP($A4, All!$A$1:$AB$700,7,0),Math!E$2)</f>
        <v>8.8000000000000007</v>
      </c>
      <c r="H4" s="8">
        <f>IFERROR(VLOOKUP($A4, All!$A$1:$AB$700,8,0),Math!F$2)</f>
        <v>8.6999999999999993</v>
      </c>
      <c r="I4" s="8">
        <f>IFERROR(VLOOKUP($A4, All!$A$1:$AB$700,9,0),Math!G$2)</f>
        <v>1.5</v>
      </c>
      <c r="J4" s="8">
        <f>IFERROR(VLOOKUP($A4, All!$A$1:$AB$700,10,0),Math!H$2)</f>
        <v>0.9</v>
      </c>
      <c r="K4" s="8">
        <f>IFERROR(VLOOKUP($A4, All!$A$1:$AB$700,11,0),Math!I$2)</f>
        <v>3.5</v>
      </c>
      <c r="L4" s="8">
        <f>IFERROR(VLOOKUP($A4, All!$A$1:$AB$700,12,0),Math!J$2)</f>
        <v>17.8</v>
      </c>
      <c r="M4" s="8">
        <f>IFERROR(VLOOKUP($A4, All!$A$1:$AB$700,13,0),Math!K$2)</f>
        <v>7.1</v>
      </c>
      <c r="N4" s="8">
        <f>IFERROR(VLOOKUP($A4, All!$A$1:$AB$700,14,0),Math!L$2)</f>
        <v>12.8</v>
      </c>
      <c r="O4" s="8">
        <f>IFERROR(VLOOKUP($A4, All!$A$1:$AB$700,15,0),Math!M$2)</f>
        <v>3.5</v>
      </c>
      <c r="P4" s="8">
        <f>IFERROR(VLOOKUP($A4, All!$A$1:$AB$700,16,0),Math!N$2)</f>
        <v>5.6</v>
      </c>
      <c r="Q4" s="31">
        <f>IFERROR(VLOOKUP($A4, All!$A$1:$AB$700,17,0),0)</f>
        <v>1.3429311059509295</v>
      </c>
      <c r="R4" s="31">
        <f>IFERROR(VLOOKUP($A4, All!$A$1:$AB$700,18,0),0)</f>
        <v>-1.8200240771767173</v>
      </c>
      <c r="S4" s="31">
        <f>IFERROR(VLOOKUP($A4, All!$A$1:$AB$700,19,0),0)</f>
        <v>-1.5708580355267823</v>
      </c>
      <c r="T4" s="31">
        <f>IFERROR(VLOOKUP($A4, All!$A$1:$AB$700,20,0),0)</f>
        <v>1.1186773340555618</v>
      </c>
      <c r="U4" s="31">
        <f>IFERROR(VLOOKUP($A4, All!$A$1:$AB$700,21,0),0)</f>
        <v>2.7165186197138196</v>
      </c>
      <c r="V4" s="31">
        <f>IFERROR(VLOOKUP($A4, All!$A$1:$AB$700,22,0),0)</f>
        <v>1.3983307473652546</v>
      </c>
      <c r="W4" s="31">
        <f>IFERROR(VLOOKUP($A4, All!$A$1:$AB$700,23,0),0)</f>
        <v>0.38469744009389678</v>
      </c>
      <c r="X4" s="31">
        <f>IFERROR(VLOOKUP($A4, All!$A$1:$AB$700,24,0),0)</f>
        <v>-2.3456735403717253</v>
      </c>
      <c r="Y4" s="31">
        <f>IFERROR(VLOOKUP($A4, All!$A$1:$AB$700,25,0),0)</f>
        <v>0.51067405184204984</v>
      </c>
    </row>
    <row r="5" spans="1:25">
      <c r="A5" s="7" t="s">
        <v>41</v>
      </c>
      <c r="B5" s="8">
        <f>IFERROR(VLOOKUP($A5, All!$A$1:$AB$699,2,0),300)</f>
        <v>44</v>
      </c>
      <c r="C5" s="8">
        <f>IFERROR(VLOOKUP($A5, All!$A$1:$AB$699,3,0),70)</f>
        <v>80</v>
      </c>
      <c r="D5" s="8">
        <f>IFERROR(VLOOKUP($A5, All!$A$1:$AB$699,4,0),Math!B$2)</f>
        <v>0.47</v>
      </c>
      <c r="E5" s="8">
        <f>IFERROR(VLOOKUP($A5, All!$A$1:$AB$700,5,0),Math!C$2)</f>
        <v>0.87</v>
      </c>
      <c r="F5" s="8">
        <f>IFERROR(VLOOKUP($A5, All!$A$1:$AB$700,6,0),Math!D$2)</f>
        <v>2</v>
      </c>
      <c r="G5" s="8">
        <f>IFERROR(VLOOKUP($A5, All!$A$1:$AB$700,7,0),Math!E$2)</f>
        <v>8</v>
      </c>
      <c r="H5" s="8">
        <f>IFERROR(VLOOKUP($A5, All!$A$1:$AB$700,8,0),Math!F$2)</f>
        <v>2.9</v>
      </c>
      <c r="I5" s="8">
        <f>IFERROR(VLOOKUP($A5, All!$A$1:$AB$700,9,0),Math!G$2)</f>
        <v>0.8</v>
      </c>
      <c r="J5" s="8">
        <f>IFERROR(VLOOKUP($A5, All!$A$1:$AB$700,10,0),Math!H$2)</f>
        <v>0.5</v>
      </c>
      <c r="K5" s="8">
        <f>IFERROR(VLOOKUP($A5, All!$A$1:$AB$700,11,0),Math!I$2)</f>
        <v>1.8</v>
      </c>
      <c r="L5" s="8">
        <f>IFERROR(VLOOKUP($A5, All!$A$1:$AB$700,12,0),Math!J$2)</f>
        <v>19.399999999999999</v>
      </c>
      <c r="M5" s="8">
        <f>IFERROR(VLOOKUP($A5, All!$A$1:$AB$700,13,0),Math!K$2)</f>
        <v>7.1</v>
      </c>
      <c r="N5" s="8">
        <f>IFERROR(VLOOKUP($A5, All!$A$1:$AB$700,14,0),Math!L$2)</f>
        <v>15</v>
      </c>
      <c r="O5" s="8">
        <f>IFERROR(VLOOKUP($A5, All!$A$1:$AB$700,15,0),Math!M$2)</f>
        <v>3.3</v>
      </c>
      <c r="P5" s="8">
        <f>IFERROR(VLOOKUP($A5, All!$A$1:$AB$700,16,0),Math!N$2)</f>
        <v>3.8</v>
      </c>
      <c r="Q5" s="31">
        <f>IFERROR(VLOOKUP($A5, All!$A$1:$AB$700,17,0),0)</f>
        <v>-0.13586433074658327</v>
      </c>
      <c r="R5" s="31">
        <f>IFERROR(VLOOKUP($A5, All!$A$1:$AB$700,18,0),0)</f>
        <v>1.0881368983386766</v>
      </c>
      <c r="S5" s="31">
        <f>IFERROR(VLOOKUP($A5, All!$A$1:$AB$700,19,0),0)</f>
        <v>0.58691399129572119</v>
      </c>
      <c r="T5" s="31">
        <f>IFERROR(VLOOKUP($A5, All!$A$1:$AB$700,20,0),0)</f>
        <v>0.81484373458367232</v>
      </c>
      <c r="U5" s="31">
        <f>IFERROR(VLOOKUP($A5, All!$A$1:$AB$700,21,0),0)</f>
        <v>-0.19287257119009632</v>
      </c>
      <c r="V5" s="31">
        <f>IFERROR(VLOOKUP($A5, All!$A$1:$AB$700,22,0),0)</f>
        <v>-0.44852118311715766</v>
      </c>
      <c r="W5" s="31">
        <f>IFERROR(VLOOKUP($A5, All!$A$1:$AB$700,23,0),0)</f>
        <v>-0.35156560314800916</v>
      </c>
      <c r="X5" s="31">
        <f>IFERROR(VLOOKUP($A5, All!$A$1:$AB$700,24,0),0)</f>
        <v>-6.5064436207051865E-2</v>
      </c>
      <c r="Y5" s="31">
        <f>IFERROR(VLOOKUP($A5, All!$A$1:$AB$700,25,0),0)</f>
        <v>0.83147439850372173</v>
      </c>
    </row>
    <row r="6" spans="1:25">
      <c r="A6" s="7" t="s">
        <v>42</v>
      </c>
      <c r="B6" s="8">
        <f>IFERROR(VLOOKUP($A6, All!$A$1:$AB$699,2,0),300)</f>
        <v>34</v>
      </c>
      <c r="C6" s="8">
        <f>IFERROR(VLOOKUP($A6, All!$A$1:$AB$699,3,0),70)</f>
        <v>72</v>
      </c>
      <c r="D6" s="8">
        <f>IFERROR(VLOOKUP($A6, All!$A$1:$AB$699,4,0),Math!B$2)</f>
        <v>0.65</v>
      </c>
      <c r="E6" s="8">
        <f>IFERROR(VLOOKUP($A6, All!$A$1:$AB$700,5,0),Math!C$2)</f>
        <v>0.66</v>
      </c>
      <c r="F6" s="8">
        <f>IFERROR(VLOOKUP($A6, All!$A$1:$AB$700,6,0),Math!D$2)</f>
        <v>0</v>
      </c>
      <c r="G6" s="8">
        <f>IFERROR(VLOOKUP($A6, All!$A$1:$AB$700,7,0),Math!E$2)</f>
        <v>11.1</v>
      </c>
      <c r="H6" s="8">
        <f>IFERROR(VLOOKUP($A6, All!$A$1:$AB$700,8,0),Math!F$2)</f>
        <v>1.5</v>
      </c>
      <c r="I6" s="8">
        <f>IFERROR(VLOOKUP($A6, All!$A$1:$AB$700,9,0),Math!G$2)</f>
        <v>0.7</v>
      </c>
      <c r="J6" s="8">
        <f>IFERROR(VLOOKUP($A6, All!$A$1:$AB$700,10,0),Math!H$2)</f>
        <v>1.8</v>
      </c>
      <c r="K6" s="8">
        <f>IFERROR(VLOOKUP($A6, All!$A$1:$AB$700,11,0),Math!I$2)</f>
        <v>1.4</v>
      </c>
      <c r="L6" s="8">
        <f>IFERROR(VLOOKUP($A6, All!$A$1:$AB$700,12,0),Math!J$2)</f>
        <v>15.8</v>
      </c>
      <c r="M6" s="8">
        <f>IFERROR(VLOOKUP($A6, All!$A$1:$AB$700,13,0),Math!K$2)</f>
        <v>6.6</v>
      </c>
      <c r="N6" s="8">
        <f>IFERROR(VLOOKUP($A6, All!$A$1:$AB$700,14,0),Math!L$2)</f>
        <v>10.1</v>
      </c>
      <c r="O6" s="8">
        <f>IFERROR(VLOOKUP($A6, All!$A$1:$AB$700,15,0),Math!M$2)</f>
        <v>2.7</v>
      </c>
      <c r="P6" s="8">
        <f>IFERROR(VLOOKUP($A6, All!$A$1:$AB$700,16,0),Math!N$2)</f>
        <v>4.0999999999999996</v>
      </c>
      <c r="Q6" s="31">
        <f>IFERROR(VLOOKUP($A6, All!$A$1:$AB$700,17,0),0)</f>
        <v>3.1914254018228183</v>
      </c>
      <c r="R6" s="31">
        <f>IFERROR(VLOOKUP($A6, All!$A$1:$AB$700,18,0),0)</f>
        <v>-1.4565039552372929</v>
      </c>
      <c r="S6" s="31">
        <f>IFERROR(VLOOKUP($A6, All!$A$1:$AB$700,19,0),0)</f>
        <v>-1.5708580355267823</v>
      </c>
      <c r="T6" s="31">
        <f>IFERROR(VLOOKUP($A6, All!$A$1:$AB$700,20,0),0)</f>
        <v>1.9921989325372429</v>
      </c>
      <c r="U6" s="31">
        <f>IFERROR(VLOOKUP($A6, All!$A$1:$AB$700,21,0),0)</f>
        <v>-0.89513941037380029</v>
      </c>
      <c r="V6" s="31">
        <f>IFERROR(VLOOKUP($A6, All!$A$1:$AB$700,22,0),0)</f>
        <v>-0.71235717318607394</v>
      </c>
      <c r="W6" s="31">
        <f>IFERROR(VLOOKUP($A6, All!$A$1:$AB$700,23,0),0)</f>
        <v>2.0412892873881852</v>
      </c>
      <c r="X6" s="31">
        <f>IFERROR(VLOOKUP($A6, All!$A$1:$AB$700,24,0),0)</f>
        <v>0.47154947065522446</v>
      </c>
      <c r="Y6" s="31">
        <f>IFERROR(VLOOKUP($A6, All!$A$1:$AB$700,25,0),0)</f>
        <v>0.10967361851495935</v>
      </c>
    </row>
    <row r="7" spans="1:25">
      <c r="A7" s="7" t="s">
        <v>44</v>
      </c>
      <c r="B7" s="8">
        <f>IFERROR(VLOOKUP($A7, All!$A$1:$AB$699,2,0),300)</f>
        <v>39</v>
      </c>
      <c r="C7" s="8">
        <f>IFERROR(VLOOKUP($A7, All!$A$1:$AB$699,3,0),70)</f>
        <v>76</v>
      </c>
      <c r="D7" s="8">
        <f>IFERROR(VLOOKUP($A7, All!$A$1:$AB$699,4,0),Math!B$2)</f>
        <v>0.45</v>
      </c>
      <c r="E7" s="8">
        <f>IFERROR(VLOOKUP($A7, All!$A$1:$AB$700,5,0),Math!C$2)</f>
        <v>0.83</v>
      </c>
      <c r="F7" s="8">
        <f>IFERROR(VLOOKUP($A7, All!$A$1:$AB$700,6,0),Math!D$2)</f>
        <v>2.5</v>
      </c>
      <c r="G7" s="8">
        <f>IFERROR(VLOOKUP($A7, All!$A$1:$AB$700,7,0),Math!E$2)</f>
        <v>6.4</v>
      </c>
      <c r="H7" s="8">
        <f>IFERROR(VLOOKUP($A7, All!$A$1:$AB$700,8,0),Math!F$2)</f>
        <v>4.5999999999999996</v>
      </c>
      <c r="I7" s="8">
        <f>IFERROR(VLOOKUP($A7, All!$A$1:$AB$700,9,0),Math!G$2)</f>
        <v>1.3</v>
      </c>
      <c r="J7" s="8">
        <f>IFERROR(VLOOKUP($A7, All!$A$1:$AB$700,10,0),Math!H$2)</f>
        <v>0.1</v>
      </c>
      <c r="K7" s="8">
        <f>IFERROR(VLOOKUP($A7, All!$A$1:$AB$700,11,0),Math!I$2)</f>
        <v>2.4</v>
      </c>
      <c r="L7" s="8">
        <f>IFERROR(VLOOKUP($A7, All!$A$1:$AB$700,12,0),Math!J$2)</f>
        <v>19.899999999999999</v>
      </c>
      <c r="M7" s="8">
        <f>IFERROR(VLOOKUP($A7, All!$A$1:$AB$700,13,0),Math!K$2)</f>
        <v>7.2</v>
      </c>
      <c r="N7" s="8">
        <f>IFERROR(VLOOKUP($A7, All!$A$1:$AB$700,14,0),Math!L$2)</f>
        <v>16.100000000000001</v>
      </c>
      <c r="O7" s="8">
        <f>IFERROR(VLOOKUP($A7, All!$A$1:$AB$700,15,0),Math!M$2)</f>
        <v>3</v>
      </c>
      <c r="P7" s="8">
        <f>IFERROR(VLOOKUP($A7, All!$A$1:$AB$700,16,0),Math!N$2)</f>
        <v>3.6</v>
      </c>
      <c r="Q7" s="31">
        <f>IFERROR(VLOOKUP($A7, All!$A$1:$AB$700,17,0),0)</f>
        <v>-0.50556318992096039</v>
      </c>
      <c r="R7" s="31">
        <f>IFERROR(VLOOKUP($A7, All!$A$1:$AB$700,18,0),0)</f>
        <v>0.60344340241944372</v>
      </c>
      <c r="S7" s="31">
        <f>IFERROR(VLOOKUP($A7, All!$A$1:$AB$700,19,0),0)</f>
        <v>1.126356998001347</v>
      </c>
      <c r="T7" s="31">
        <f>IFERROR(VLOOKUP($A7, All!$A$1:$AB$700,20,0),0)</f>
        <v>0.20717653563989399</v>
      </c>
      <c r="U7" s="31">
        <f>IFERROR(VLOOKUP($A7, All!$A$1:$AB$700,21,0),0)</f>
        <v>0.65988001924725836</v>
      </c>
      <c r="V7" s="31">
        <f>IFERROR(VLOOKUP($A7, All!$A$1:$AB$700,22,0),0)</f>
        <v>0.87065876722742253</v>
      </c>
      <c r="W7" s="31">
        <f>IFERROR(VLOOKUP($A7, All!$A$1:$AB$700,23,0),0)</f>
        <v>-1.0878286463899152</v>
      </c>
      <c r="X7" s="31">
        <f>IFERROR(VLOOKUP($A7, All!$A$1:$AB$700,24,0),0)</f>
        <v>-0.86998529650046597</v>
      </c>
      <c r="Y7" s="31">
        <f>IFERROR(VLOOKUP($A7, All!$A$1:$AB$700,25,0),0)</f>
        <v>0.93172450683549435</v>
      </c>
    </row>
    <row r="8" spans="1:25">
      <c r="A8" s="7" t="s">
        <v>49</v>
      </c>
      <c r="B8" s="8">
        <f>IFERROR(VLOOKUP($A8, All!$A$1:$AB$699,2,0),300)</f>
        <v>60</v>
      </c>
      <c r="C8" s="8">
        <f>IFERROR(VLOOKUP($A8, All!$A$1:$AB$699,3,0),70)</f>
        <v>68</v>
      </c>
      <c r="D8" s="8">
        <f>IFERROR(VLOOKUP($A8, All!$A$1:$AB$699,4,0),Math!B$2)</f>
        <v>0.43</v>
      </c>
      <c r="E8" s="8">
        <f>IFERROR(VLOOKUP($A8, All!$A$1:$AB$700,5,0),Math!C$2)</f>
        <v>0.85</v>
      </c>
      <c r="F8" s="8">
        <f>IFERROR(VLOOKUP($A8, All!$A$1:$AB$700,6,0),Math!D$2)</f>
        <v>2.4</v>
      </c>
      <c r="G8" s="8">
        <f>IFERROR(VLOOKUP($A8, All!$A$1:$AB$700,7,0),Math!E$2)</f>
        <v>9.5</v>
      </c>
      <c r="H8" s="8">
        <f>IFERROR(VLOOKUP($A8, All!$A$1:$AB$700,8,0),Math!F$2)</f>
        <v>1.5</v>
      </c>
      <c r="I8" s="8">
        <f>IFERROR(VLOOKUP($A8, All!$A$1:$AB$700,9,0),Math!G$2)</f>
        <v>0.7</v>
      </c>
      <c r="J8" s="8">
        <f>IFERROR(VLOOKUP($A8, All!$A$1:$AB$700,10,0),Math!H$2)</f>
        <v>0.6</v>
      </c>
      <c r="K8" s="8">
        <f>IFERROR(VLOOKUP($A8, All!$A$1:$AB$700,11,0),Math!I$2)</f>
        <v>1.6</v>
      </c>
      <c r="L8" s="8">
        <f>IFERROR(VLOOKUP($A8, All!$A$1:$AB$700,12,0),Math!J$2)</f>
        <v>19.600000000000001</v>
      </c>
      <c r="M8" s="8">
        <f>IFERROR(VLOOKUP($A8, All!$A$1:$AB$700,13,0),Math!K$2)</f>
        <v>6.9</v>
      </c>
      <c r="N8" s="8">
        <f>IFERROR(VLOOKUP($A8, All!$A$1:$AB$700,14,0),Math!L$2)</f>
        <v>15.9</v>
      </c>
      <c r="O8" s="8">
        <f>IFERROR(VLOOKUP($A8, All!$A$1:$AB$700,15,0),Math!M$2)</f>
        <v>3.4</v>
      </c>
      <c r="P8" s="8">
        <f>IFERROR(VLOOKUP($A8, All!$A$1:$AB$700,16,0),Math!N$2)</f>
        <v>4</v>
      </c>
      <c r="Q8" s="31">
        <f>IFERROR(VLOOKUP($A8, All!$A$1:$AB$700,17,0),0)</f>
        <v>-0.87526204909533856</v>
      </c>
      <c r="R8" s="31">
        <f>IFERROR(VLOOKUP($A8, All!$A$1:$AB$700,18,0),0)</f>
        <v>0.84579015037906013</v>
      </c>
      <c r="S8" s="31">
        <f>IFERROR(VLOOKUP($A8, All!$A$1:$AB$700,19,0),0)</f>
        <v>1.0184683966602219</v>
      </c>
      <c r="T8" s="31">
        <f>IFERROR(VLOOKUP($A8, All!$A$1:$AB$700,20,0),0)</f>
        <v>1.3845317335934646</v>
      </c>
      <c r="U8" s="31">
        <f>IFERROR(VLOOKUP($A8, All!$A$1:$AB$700,21,0),0)</f>
        <v>-0.89513941037380029</v>
      </c>
      <c r="V8" s="31">
        <f>IFERROR(VLOOKUP($A8, All!$A$1:$AB$700,22,0),0)</f>
        <v>-0.71235717318607394</v>
      </c>
      <c r="W8" s="31">
        <f>IFERROR(VLOOKUP($A8, All!$A$1:$AB$700,23,0),0)</f>
        <v>-0.16749984233753273</v>
      </c>
      <c r="X8" s="31">
        <f>IFERROR(VLOOKUP($A8, All!$A$1:$AB$700,24,0),0)</f>
        <v>0.20324251722408615</v>
      </c>
      <c r="Y8" s="31">
        <f>IFERROR(VLOOKUP($A8, All!$A$1:$AB$700,25,0),0)</f>
        <v>0.8715744418364314</v>
      </c>
    </row>
    <row r="9" spans="1:25">
      <c r="A9" s="7" t="s">
        <v>71</v>
      </c>
      <c r="B9" s="8">
        <f>IFERROR(VLOOKUP($A9, All!$A$1:$AB$699,2,0),300)</f>
        <v>80</v>
      </c>
      <c r="C9" s="8">
        <f>IFERROR(VLOOKUP($A9, All!$A$1:$AB$699,3,0),70)</f>
        <v>72</v>
      </c>
      <c r="D9" s="8">
        <f>IFERROR(VLOOKUP($A9, All!$A$1:$AB$699,4,0),Math!B$2)</f>
        <v>0.47</v>
      </c>
      <c r="E9" s="8">
        <f>IFERROR(VLOOKUP($A9, All!$A$1:$AB$700,5,0),Math!C$2)</f>
        <v>0.84</v>
      </c>
      <c r="F9" s="8">
        <f>IFERROR(VLOOKUP($A9, All!$A$1:$AB$700,6,0),Math!D$2)</f>
        <v>1.3</v>
      </c>
      <c r="G9" s="8">
        <f>IFERROR(VLOOKUP($A9, All!$A$1:$AB$700,7,0),Math!E$2)</f>
        <v>5.5</v>
      </c>
      <c r="H9" s="8">
        <f>IFERROR(VLOOKUP($A9, All!$A$1:$AB$700,8,0),Math!F$2)</f>
        <v>4.4000000000000004</v>
      </c>
      <c r="I9" s="8">
        <f>IFERROR(VLOOKUP($A9, All!$A$1:$AB$700,9,0),Math!G$2)</f>
        <v>0.9</v>
      </c>
      <c r="J9" s="8">
        <f>IFERROR(VLOOKUP($A9, All!$A$1:$AB$700,10,0),Math!H$2)</f>
        <v>0.4</v>
      </c>
      <c r="K9" s="8">
        <f>IFERROR(VLOOKUP($A9, All!$A$1:$AB$700,11,0),Math!I$2)</f>
        <v>1.7</v>
      </c>
      <c r="L9" s="8">
        <f>IFERROR(VLOOKUP($A9, All!$A$1:$AB$700,12,0),Math!J$2)</f>
        <v>15.1</v>
      </c>
      <c r="M9" s="8">
        <f>IFERROR(VLOOKUP($A9, All!$A$1:$AB$700,13,0),Math!K$2)</f>
        <v>5.5</v>
      </c>
      <c r="N9" s="8">
        <f>IFERROR(VLOOKUP($A9, All!$A$1:$AB$700,14,0),Math!L$2)</f>
        <v>11.6</v>
      </c>
      <c r="O9" s="8">
        <f>IFERROR(VLOOKUP($A9, All!$A$1:$AB$700,15,0),Math!M$2)</f>
        <v>2.7</v>
      </c>
      <c r="P9" s="8">
        <f>IFERROR(VLOOKUP($A9, All!$A$1:$AB$700,16,0),Math!N$2)</f>
        <v>3.2</v>
      </c>
      <c r="Q9" s="31">
        <f>IFERROR(VLOOKUP($A9, All!$A$1:$AB$700,17,0),0)</f>
        <v>-0.13586433074658327</v>
      </c>
      <c r="R9" s="31">
        <f>IFERROR(VLOOKUP($A9, All!$A$1:$AB$700,18,0),0)</f>
        <v>0.72461677639925193</v>
      </c>
      <c r="S9" s="31">
        <f>IFERROR(VLOOKUP($A9, All!$A$1:$AB$700,19,0),0)</f>
        <v>-0.16830621809215493</v>
      </c>
      <c r="T9" s="31">
        <f>IFERROR(VLOOKUP($A9, All!$A$1:$AB$700,20,0),0)</f>
        <v>-0.13463626376598151</v>
      </c>
      <c r="U9" s="31">
        <f>IFERROR(VLOOKUP($A9, All!$A$1:$AB$700,21,0),0)</f>
        <v>0.55955618507815819</v>
      </c>
      <c r="V9" s="31">
        <f>IFERROR(VLOOKUP($A9, All!$A$1:$AB$700,22,0),0)</f>
        <v>-0.18468519304824169</v>
      </c>
      <c r="W9" s="31">
        <f>IFERROR(VLOOKUP($A9, All!$A$1:$AB$700,23,0),0)</f>
        <v>-0.53563136395848565</v>
      </c>
      <c r="X9" s="31">
        <f>IFERROR(VLOOKUP($A9, All!$A$1:$AB$700,24,0),0)</f>
        <v>6.9089040508517302E-2</v>
      </c>
      <c r="Y9" s="31">
        <f>IFERROR(VLOOKUP($A9, All!$A$1:$AB$700,25,0),0)</f>
        <v>-3.0676533149522515E-2</v>
      </c>
    </row>
    <row r="10" spans="1:25">
      <c r="A10" s="7" t="s">
        <v>670</v>
      </c>
      <c r="B10" s="8">
        <f>IFERROR(VLOOKUP($A10, All!$A$1:$AB$699,2,0),300)</f>
        <v>64</v>
      </c>
      <c r="C10" s="8">
        <f>IFERROR(VLOOKUP($A10, All!$A$1:$AB$699,3,0),70)</f>
        <v>69</v>
      </c>
      <c r="D10" s="8">
        <f>IFERROR(VLOOKUP($A10, All!$A$1:$AB$699,4,0),Math!B$2)</f>
        <v>0.54</v>
      </c>
      <c r="E10" s="8">
        <f>IFERROR(VLOOKUP($A10, All!$A$1:$AB$700,5,0),Math!C$2)</f>
        <v>0.61</v>
      </c>
      <c r="F10" s="8">
        <f>IFERROR(VLOOKUP($A10, All!$A$1:$AB$700,6,0),Math!D$2)</f>
        <v>0</v>
      </c>
      <c r="G10" s="8">
        <f>IFERROR(VLOOKUP($A10, All!$A$1:$AB$700,7,0),Math!E$2)</f>
        <v>11.6</v>
      </c>
      <c r="H10" s="8">
        <f>IFERROR(VLOOKUP($A10, All!$A$1:$AB$700,8,0),Math!F$2)</f>
        <v>1</v>
      </c>
      <c r="I10" s="8">
        <f>IFERROR(VLOOKUP($A10, All!$A$1:$AB$700,9,0),Math!G$2)</f>
        <v>0.7</v>
      </c>
      <c r="J10" s="8">
        <f>IFERROR(VLOOKUP($A10, All!$A$1:$AB$700,10,0),Math!H$2)</f>
        <v>2.2999999999999998</v>
      </c>
      <c r="K10" s="8">
        <f>IFERROR(VLOOKUP($A10, All!$A$1:$AB$700,11,0),Math!I$2)</f>
        <v>1.6</v>
      </c>
      <c r="L10" s="8">
        <f>IFERROR(VLOOKUP($A10, All!$A$1:$AB$700,12,0),Math!J$2)</f>
        <v>14</v>
      </c>
      <c r="M10" s="8">
        <f>IFERROR(VLOOKUP($A10, All!$A$1:$AB$700,13,0),Math!K$2)</f>
        <v>6</v>
      </c>
      <c r="N10" s="8">
        <f>IFERROR(VLOOKUP($A10, All!$A$1:$AB$700,14,0),Math!L$2)</f>
        <v>11.1</v>
      </c>
      <c r="O10" s="8">
        <f>IFERROR(VLOOKUP($A10, All!$A$1:$AB$700,15,0),Math!M$2)</f>
        <v>1.9</v>
      </c>
      <c r="P10" s="8">
        <f>IFERROR(VLOOKUP($A10, All!$A$1:$AB$700,16,0),Math!N$2)</f>
        <v>3.1</v>
      </c>
      <c r="Q10" s="31">
        <f>IFERROR(VLOOKUP($A10, All!$A$1:$AB$700,17,0),0)</f>
        <v>1.1580816763637403</v>
      </c>
      <c r="R10" s="31">
        <f>IFERROR(VLOOKUP($A10, All!$A$1:$AB$700,18,0),0)</f>
        <v>-2.062370825136334</v>
      </c>
      <c r="S10" s="31">
        <f>IFERROR(VLOOKUP($A10, All!$A$1:$AB$700,19,0),0)</f>
        <v>-1.5708580355267823</v>
      </c>
      <c r="T10" s="31">
        <f>IFERROR(VLOOKUP($A10, All!$A$1:$AB$700,20,0),0)</f>
        <v>2.1820949322071739</v>
      </c>
      <c r="U10" s="31">
        <f>IFERROR(VLOOKUP($A10, All!$A$1:$AB$700,21,0),0)</f>
        <v>-1.1459489957965516</v>
      </c>
      <c r="V10" s="31">
        <f>IFERROR(VLOOKUP($A10, All!$A$1:$AB$700,22,0),0)</f>
        <v>-0.71235717318607394</v>
      </c>
      <c r="W10" s="31">
        <f>IFERROR(VLOOKUP($A10, All!$A$1:$AB$700,23,0),0)</f>
        <v>2.9616180914405672</v>
      </c>
      <c r="X10" s="31">
        <f>IFERROR(VLOOKUP($A10, All!$A$1:$AB$700,24,0),0)</f>
        <v>0.20324251722408615</v>
      </c>
      <c r="Y10" s="31">
        <f>IFERROR(VLOOKUP($A10, All!$A$1:$AB$700,25,0),0)</f>
        <v>-0.25122677147942218</v>
      </c>
    </row>
    <row r="11" spans="1:25">
      <c r="A11" s="19" t="s">
        <v>87</v>
      </c>
      <c r="B11" s="8">
        <f>IFERROR(VLOOKUP($A11, All!$A$1:$AB$699,2,0),300)</f>
        <v>119</v>
      </c>
      <c r="C11" s="8">
        <f>IFERROR(VLOOKUP($A11, All!$A$1:$AB$699,3,0),70)</f>
        <v>68</v>
      </c>
      <c r="D11" s="8">
        <f>IFERROR(VLOOKUP($A11, All!$A$1:$AB$699,4,0),Math!B$2)</f>
        <v>0.46</v>
      </c>
      <c r="E11" s="8">
        <f>IFERROR(VLOOKUP($A11, All!$A$1:$AB$700,5,0),Math!C$2)</f>
        <v>0.72</v>
      </c>
      <c r="F11" s="8">
        <f>IFERROR(VLOOKUP($A11, All!$A$1:$AB$700,6,0),Math!D$2)</f>
        <v>0.1</v>
      </c>
      <c r="G11" s="8">
        <f>IFERROR(VLOOKUP($A11, All!$A$1:$AB$700,7,0),Math!E$2)</f>
        <v>6.3</v>
      </c>
      <c r="H11" s="8">
        <f>IFERROR(VLOOKUP($A11, All!$A$1:$AB$700,8,0),Math!F$2)</f>
        <v>4</v>
      </c>
      <c r="I11" s="8">
        <f>IFERROR(VLOOKUP($A11, All!$A$1:$AB$700,9,0),Math!G$2)</f>
        <v>1.4</v>
      </c>
      <c r="J11" s="8">
        <f>IFERROR(VLOOKUP($A11, All!$A$1:$AB$700,10,0),Math!H$2)</f>
        <v>0.5</v>
      </c>
      <c r="K11" s="8">
        <f>IFERROR(VLOOKUP($A11, All!$A$1:$AB$700,11,0),Math!I$2)</f>
        <v>2.2000000000000002</v>
      </c>
      <c r="L11" s="8">
        <f>IFERROR(VLOOKUP($A11, All!$A$1:$AB$700,12,0),Math!J$2)</f>
        <v>13</v>
      </c>
      <c r="M11" s="8">
        <f>IFERROR(VLOOKUP($A11, All!$A$1:$AB$700,13,0),Math!K$2)</f>
        <v>5.5</v>
      </c>
      <c r="N11" s="8">
        <f>IFERROR(VLOOKUP($A11, All!$A$1:$AB$700,14,0),Math!L$2)</f>
        <v>12</v>
      </c>
      <c r="O11" s="8">
        <f>IFERROR(VLOOKUP($A11, All!$A$1:$AB$700,15,0),Math!M$2)</f>
        <v>1.8</v>
      </c>
      <c r="P11" s="8">
        <f>IFERROR(VLOOKUP($A11, All!$A$1:$AB$700,16,0),Math!N$2)</f>
        <v>2.5</v>
      </c>
      <c r="Q11" s="31">
        <f>IFERROR(VLOOKUP($A11, All!$A$1:$AB$700,17,0),0)</f>
        <v>-0.3207137603337713</v>
      </c>
      <c r="R11" s="31">
        <f>IFERROR(VLOOKUP($A11, All!$A$1:$AB$700,18,0),0)</f>
        <v>-0.72946371135844501</v>
      </c>
      <c r="S11" s="31">
        <f>IFERROR(VLOOKUP($A11, All!$A$1:$AB$700,19,0),0)</f>
        <v>-1.4629694341856569</v>
      </c>
      <c r="T11" s="31">
        <f>IFERROR(VLOOKUP($A11, All!$A$1:$AB$700,20,0),0)</f>
        <v>0.16919733570590764</v>
      </c>
      <c r="U11" s="31">
        <f>IFERROR(VLOOKUP($A11, All!$A$1:$AB$700,21,0),0)</f>
        <v>0.35890851673995683</v>
      </c>
      <c r="V11" s="31">
        <f>IFERROR(VLOOKUP($A11, All!$A$1:$AB$700,22,0),0)</f>
        <v>1.1344947572963382</v>
      </c>
      <c r="W11" s="31">
        <f>IFERROR(VLOOKUP($A11, All!$A$1:$AB$700,23,0),0)</f>
        <v>-0.35156560314800916</v>
      </c>
      <c r="X11" s="31">
        <f>IFERROR(VLOOKUP($A11, All!$A$1:$AB$700,24,0),0)</f>
        <v>-0.60167834306932821</v>
      </c>
      <c r="Y11" s="31">
        <f>IFERROR(VLOOKUP($A11, All!$A$1:$AB$700,25,0),0)</f>
        <v>-0.45172698814296741</v>
      </c>
    </row>
    <row r="12" spans="1:25">
      <c r="A12" s="7" t="s">
        <v>891</v>
      </c>
      <c r="B12" s="8">
        <f>IFERROR(VLOOKUP($A12, All!$A$1:$AB$699,2,0),300)</f>
        <v>196</v>
      </c>
      <c r="C12" s="8">
        <f>IFERROR(VLOOKUP($A12, All!$A$1:$AB$699,3,0),70)</f>
        <v>70</v>
      </c>
      <c r="D12" s="8">
        <f>IFERROR(VLOOKUP($A12, All!$A$1:$AB$699,4,0),Math!B$2)</f>
        <v>0.42</v>
      </c>
      <c r="E12" s="8">
        <f>IFERROR(VLOOKUP($A12, All!$A$1:$AB$700,5,0),Math!C$2)</f>
        <v>0.64</v>
      </c>
      <c r="F12" s="8">
        <f>IFERROR(VLOOKUP($A12, All!$A$1:$AB$700,6,0),Math!D$2)</f>
        <v>1.2</v>
      </c>
      <c r="G12" s="8">
        <f>IFERROR(VLOOKUP($A12, All!$A$1:$AB$700,7,0),Math!E$2)</f>
        <v>2.8</v>
      </c>
      <c r="H12" s="8">
        <f>IFERROR(VLOOKUP($A12, All!$A$1:$AB$700,8,0),Math!F$2)</f>
        <v>4.5999999999999996</v>
      </c>
      <c r="I12" s="8">
        <f>IFERROR(VLOOKUP($A12, All!$A$1:$AB$700,9,0),Math!G$2)</f>
        <v>1.2</v>
      </c>
      <c r="J12" s="8">
        <f>IFERROR(VLOOKUP($A12, All!$A$1:$AB$700,10,0),Math!H$2)</f>
        <v>0.4</v>
      </c>
      <c r="K12" s="8">
        <f>IFERROR(VLOOKUP($A12, All!$A$1:$AB$700,11,0),Math!I$2)</f>
        <v>2.6</v>
      </c>
      <c r="L12" s="8">
        <f>IFERROR(VLOOKUP($A12, All!$A$1:$AB$700,12,0),Math!J$2)</f>
        <v>13.1</v>
      </c>
      <c r="M12" s="8">
        <f>IFERROR(VLOOKUP($A12, All!$A$1:$AB$700,13,0),Math!K$2)</f>
        <v>5</v>
      </c>
      <c r="N12" s="8">
        <f>IFERROR(VLOOKUP($A12, All!$A$1:$AB$700,14,0),Math!L$2)</f>
        <v>11.8</v>
      </c>
      <c r="O12" s="8">
        <f>IFERROR(VLOOKUP($A12, All!$A$1:$AB$700,15,0),Math!M$2)</f>
        <v>1.8</v>
      </c>
      <c r="P12" s="8">
        <f>IFERROR(VLOOKUP($A12, All!$A$1:$AB$700,16,0),Math!N$2)</f>
        <v>2.8</v>
      </c>
      <c r="Q12" s="31">
        <f>IFERROR(VLOOKUP($A12, All!$A$1:$AB$700,17,0),0)</f>
        <v>-1.0601114786825276</v>
      </c>
      <c r="R12" s="31">
        <f>IFERROR(VLOOKUP($A12, All!$A$1:$AB$700,18,0),0)</f>
        <v>-1.6988507031969093</v>
      </c>
      <c r="S12" s="31">
        <f>IFERROR(VLOOKUP($A12, All!$A$1:$AB$700,19,0),0)</f>
        <v>-0.27619481943328023</v>
      </c>
      <c r="T12" s="31">
        <f>IFERROR(VLOOKUP($A12, All!$A$1:$AB$700,20,0),0)</f>
        <v>-1.1600746619836078</v>
      </c>
      <c r="U12" s="31">
        <f>IFERROR(VLOOKUP($A12, All!$A$1:$AB$700,21,0),0)</f>
        <v>0.65988001924725836</v>
      </c>
      <c r="V12" s="31">
        <f>IFERROR(VLOOKUP($A12, All!$A$1:$AB$700,22,0),0)</f>
        <v>0.6068227771585063</v>
      </c>
      <c r="W12" s="31">
        <f>IFERROR(VLOOKUP($A12, All!$A$1:$AB$700,23,0),0)</f>
        <v>-0.53563136395848565</v>
      </c>
      <c r="X12" s="31">
        <f>IFERROR(VLOOKUP($A12, All!$A$1:$AB$700,24,0),0)</f>
        <v>-1.1382922499316042</v>
      </c>
      <c r="Y12" s="31">
        <f>IFERROR(VLOOKUP($A12, All!$A$1:$AB$700,25,0),0)</f>
        <v>-0.43167696647661297</v>
      </c>
    </row>
    <row r="13" spans="1:25">
      <c r="A13" s="7" t="s">
        <v>91</v>
      </c>
      <c r="B13" s="8">
        <f>IFERROR(VLOOKUP($A13, All!$A$1:$AB$699,2,0),300)</f>
        <v>128</v>
      </c>
      <c r="C13" s="8">
        <f>IFERROR(VLOOKUP($A13, All!$A$1:$AB$699,3,0),70)</f>
        <v>76</v>
      </c>
      <c r="D13" s="8">
        <f>IFERROR(VLOOKUP($A13, All!$A$1:$AB$699,4,0),Math!B$2)</f>
        <v>0.49</v>
      </c>
      <c r="E13" s="8">
        <f>IFERROR(VLOOKUP($A13, All!$A$1:$AB$700,5,0),Math!C$2)</f>
        <v>0.79</v>
      </c>
      <c r="F13" s="8">
        <f>IFERROR(VLOOKUP($A13, All!$A$1:$AB$700,6,0),Math!D$2)</f>
        <v>2.5</v>
      </c>
      <c r="G13" s="8">
        <f>IFERROR(VLOOKUP($A13, All!$A$1:$AB$700,7,0),Math!E$2)</f>
        <v>4</v>
      </c>
      <c r="H13" s="8">
        <f>IFERROR(VLOOKUP($A13, All!$A$1:$AB$700,8,0),Math!F$2)</f>
        <v>2.5</v>
      </c>
      <c r="I13" s="8">
        <f>IFERROR(VLOOKUP($A13, All!$A$1:$AB$700,9,0),Math!G$2)</f>
        <v>0.5</v>
      </c>
      <c r="J13" s="8">
        <f>IFERROR(VLOOKUP($A13, All!$A$1:$AB$700,10,0),Math!H$2)</f>
        <v>0.2</v>
      </c>
      <c r="K13" s="8">
        <f>IFERROR(VLOOKUP($A13, All!$A$1:$AB$700,11,0),Math!I$2)</f>
        <v>1.6</v>
      </c>
      <c r="L13" s="8">
        <f>IFERROR(VLOOKUP($A13, All!$A$1:$AB$700,12,0),Math!J$2)</f>
        <v>14.2</v>
      </c>
      <c r="M13" s="8">
        <f>IFERROR(VLOOKUP($A13, All!$A$1:$AB$700,13,0),Math!K$2)</f>
        <v>5.0999999999999996</v>
      </c>
      <c r="N13" s="8">
        <f>IFERROR(VLOOKUP($A13, All!$A$1:$AB$700,14,0),Math!L$2)</f>
        <v>10.5</v>
      </c>
      <c r="O13" s="8">
        <f>IFERROR(VLOOKUP($A13, All!$A$1:$AB$700,15,0),Math!M$2)</f>
        <v>1.5</v>
      </c>
      <c r="P13" s="8">
        <f>IFERROR(VLOOKUP($A13, All!$A$1:$AB$700,16,0),Math!N$2)</f>
        <v>1.9</v>
      </c>
      <c r="Q13" s="31">
        <f>IFERROR(VLOOKUP($A13, All!$A$1:$AB$700,17,0),0)</f>
        <v>0.23383452842779492</v>
      </c>
      <c r="R13" s="31">
        <f>IFERROR(VLOOKUP($A13, All!$A$1:$AB$700,18,0),0)</f>
        <v>0.11874990650021229</v>
      </c>
      <c r="S13" s="31">
        <f>IFERROR(VLOOKUP($A13, All!$A$1:$AB$700,19,0),0)</f>
        <v>1.126356998001347</v>
      </c>
      <c r="T13" s="31">
        <f>IFERROR(VLOOKUP($A13, All!$A$1:$AB$700,20,0),0)</f>
        <v>-0.70432426277577376</v>
      </c>
      <c r="U13" s="31">
        <f>IFERROR(VLOOKUP($A13, All!$A$1:$AB$700,21,0),0)</f>
        <v>-0.3935202395282974</v>
      </c>
      <c r="V13" s="31">
        <f>IFERROR(VLOOKUP($A13, All!$A$1:$AB$700,22,0),0)</f>
        <v>-1.2400291533239061</v>
      </c>
      <c r="W13" s="31">
        <f>IFERROR(VLOOKUP($A13, All!$A$1:$AB$700,23,0),0)</f>
        <v>-0.90376288557943862</v>
      </c>
      <c r="X13" s="31">
        <f>IFERROR(VLOOKUP($A13, All!$A$1:$AB$700,24,0),0)</f>
        <v>0.20324251722408615</v>
      </c>
      <c r="Y13" s="31">
        <f>IFERROR(VLOOKUP($A13, All!$A$1:$AB$700,25,0),0)</f>
        <v>-0.21112672814671329</v>
      </c>
    </row>
    <row r="14" spans="1:25">
      <c r="A14" s="20" t="s">
        <v>131</v>
      </c>
      <c r="B14" s="8">
        <f>IFERROR(VLOOKUP($A14, All!$A$1:$AB$699,2,0),300)</f>
        <v>300</v>
      </c>
      <c r="C14" s="8">
        <f>IFERROR(VLOOKUP($A14, All!$A$1:$AB$699,3,0),70)</f>
        <v>70</v>
      </c>
      <c r="D14" s="8">
        <f>IFERROR(VLOOKUP($A14, All!$A$1:$AB$699,4,0),Math!B$2)</f>
        <v>0.47734999999999994</v>
      </c>
      <c r="E14" s="8">
        <f>IFERROR(VLOOKUP($A14, All!$A$1:$AB$700,5,0),Math!C$2)</f>
        <v>0.7802</v>
      </c>
      <c r="F14" s="8">
        <f>IFERROR(VLOOKUP($A14, All!$A$1:$AB$700,6,0),Math!D$2)</f>
        <v>1.4559999999999997</v>
      </c>
      <c r="G14" s="8">
        <f>IFERROR(VLOOKUP($A14, All!$A$1:$AB$700,7,0),Math!E$2)</f>
        <v>5.8545000000000016</v>
      </c>
      <c r="H14" s="8">
        <f>IFERROR(VLOOKUP($A14, All!$A$1:$AB$700,8,0),Math!F$2)</f>
        <v>3.2845000000000009</v>
      </c>
      <c r="I14" s="8">
        <f>IFERROR(VLOOKUP($A14, All!$A$1:$AB$700,9,0),Math!G$2)</f>
        <v>0.9700000000000002</v>
      </c>
      <c r="J14" s="8">
        <f>IFERROR(VLOOKUP($A14, All!$A$1:$AB$700,10,0),Math!H$2)</f>
        <v>0.6909999999999995</v>
      </c>
      <c r="K14" s="8">
        <f>IFERROR(VLOOKUP($A14, All!$A$1:$AB$700,11,0),Math!I$2)</f>
        <v>1.7514999999999994</v>
      </c>
      <c r="L14" s="8">
        <f>IFERROR(VLOOKUP($A14, All!$A$1:$AB$700,12,0),Math!J$2)</f>
        <v>15.253</v>
      </c>
      <c r="M14" s="8">
        <f>IFERROR(VLOOKUP($A14, All!$A$1:$AB$700,13,0),Math!K$2)</f>
        <v>5.6179999999999994</v>
      </c>
      <c r="N14" s="8">
        <f>IFERROR(VLOOKUP($A14, All!$A$1:$AB$700,14,0),Math!L$2)</f>
        <v>11.870500000000002</v>
      </c>
      <c r="O14" s="8">
        <f>IFERROR(VLOOKUP($A14, All!$A$1:$AB$700,15,0),Math!M$2)</f>
        <v>2.5589999999999988</v>
      </c>
      <c r="P14" s="8">
        <f>IFERROR(VLOOKUP($A14, All!$A$1:$AB$700,16,0),Math!N$2)</f>
        <v>3.2729999999999979</v>
      </c>
      <c r="Q14" s="31">
        <f>IFERROR(VLOOKUP($A14, All!$A$1:$AB$700,17,0),0)</f>
        <v>0</v>
      </c>
      <c r="R14" s="31">
        <f>IFERROR(VLOOKUP($A14, All!$A$1:$AB$700,18,0),0)</f>
        <v>0</v>
      </c>
      <c r="S14" s="31">
        <f>IFERROR(VLOOKUP($A14, All!$A$1:$AB$700,19,0),0)</f>
        <v>0</v>
      </c>
      <c r="T14" s="31">
        <f>IFERROR(VLOOKUP($A14, All!$A$1:$AB$700,20,0),0)</f>
        <v>0</v>
      </c>
      <c r="U14" s="31">
        <f>IFERROR(VLOOKUP($A14, All!$A$1:$AB$700,21,0),0)</f>
        <v>0</v>
      </c>
      <c r="V14" s="31">
        <f>IFERROR(VLOOKUP($A14, All!$A$1:$AB$700,22,0),0)</f>
        <v>0</v>
      </c>
      <c r="W14" s="31">
        <f>IFERROR(VLOOKUP($A14, All!$A$1:$AB$700,23,0),0)</f>
        <v>0</v>
      </c>
      <c r="X14" s="31">
        <f>IFERROR(VLOOKUP($A14, All!$A$1:$AB$700,24,0),0)</f>
        <v>0</v>
      </c>
      <c r="Y14" s="31">
        <f>IFERROR(VLOOKUP($A14, All!$A$1:$AB$700,25,0),0)</f>
        <v>0</v>
      </c>
    </row>
    <row r="16" spans="1:25">
      <c r="A16" s="9" t="s">
        <v>123</v>
      </c>
      <c r="B16" s="2" t="s">
        <v>121</v>
      </c>
      <c r="C16" s="10" t="s">
        <v>122</v>
      </c>
      <c r="D16" s="12" t="s">
        <v>129</v>
      </c>
      <c r="E16" s="12" t="s">
        <v>130</v>
      </c>
      <c r="F16" s="11" t="s">
        <v>5</v>
      </c>
      <c r="G16" s="11" t="s">
        <v>6</v>
      </c>
      <c r="H16" s="11" t="s">
        <v>7</v>
      </c>
      <c r="I16" s="11" t="s">
        <v>8</v>
      </c>
      <c r="J16" s="11" t="s">
        <v>9</v>
      </c>
      <c r="K16" s="11" t="s">
        <v>10</v>
      </c>
      <c r="L16" s="11" t="s">
        <v>11</v>
      </c>
      <c r="M16" s="12" t="s">
        <v>12</v>
      </c>
      <c r="N16" s="12" t="s">
        <v>13</v>
      </c>
      <c r="O16" s="4" t="s">
        <v>125</v>
      </c>
      <c r="P16" s="17" t="s">
        <v>126</v>
      </c>
      <c r="Q16" s="17" t="s">
        <v>127</v>
      </c>
      <c r="R16" s="18" t="s">
        <v>128</v>
      </c>
    </row>
    <row r="17" spans="1:18">
      <c r="A17" s="6"/>
      <c r="B17" s="15">
        <f t="shared" ref="B17:N17" si="0">AVERAGE(B2:B14)</f>
        <v>89.461538461538467</v>
      </c>
      <c r="C17" s="15">
        <f t="shared" si="0"/>
        <v>72.84615384615384</v>
      </c>
      <c r="D17" s="15">
        <f t="shared" si="0"/>
        <v>0.48902692307692308</v>
      </c>
      <c r="E17" s="15">
        <f t="shared" si="0"/>
        <v>0.74309230769230772</v>
      </c>
      <c r="F17" s="15">
        <f t="shared" si="0"/>
        <v>1.3966153846153846</v>
      </c>
      <c r="G17" s="15">
        <f t="shared" si="0"/>
        <v>7.4503461538461533</v>
      </c>
      <c r="H17" s="15">
        <f t="shared" si="0"/>
        <v>4.1911153846153848</v>
      </c>
      <c r="I17" s="15">
        <f t="shared" si="0"/>
        <v>1.013076923076923</v>
      </c>
      <c r="J17" s="15">
        <f t="shared" si="0"/>
        <v>0.7146923076923074</v>
      </c>
      <c r="K17" s="15">
        <f t="shared" si="0"/>
        <v>2.2655000000000003</v>
      </c>
      <c r="L17" s="15">
        <f t="shared" si="0"/>
        <v>17.504076923076919</v>
      </c>
      <c r="M17" s="15">
        <f t="shared" si="0"/>
        <v>6.5629230769230755</v>
      </c>
      <c r="N17" s="15">
        <f t="shared" si="0"/>
        <v>13.528499999999999</v>
      </c>
      <c r="O17" s="16">
        <f>M17/N17</f>
        <v>0.48511831148487089</v>
      </c>
      <c r="P17" s="16">
        <f>AVERAGE(O2:O14)</f>
        <v>2.9583846153846145</v>
      </c>
      <c r="Q17" s="16">
        <f>AVERAGE(P2:P14)</f>
        <v>4.0133076923076922</v>
      </c>
      <c r="R17" s="15">
        <f>P17/Q17</f>
        <v>0.73714373334866667</v>
      </c>
    </row>
    <row r="19" spans="1:18">
      <c r="A19" s="13" t="s">
        <v>124</v>
      </c>
      <c r="B19" s="11" t="s">
        <v>3</v>
      </c>
      <c r="C19" s="11" t="s">
        <v>4</v>
      </c>
      <c r="D19" s="11" t="s">
        <v>5</v>
      </c>
      <c r="E19" s="11" t="s">
        <v>6</v>
      </c>
      <c r="F19" s="11" t="s">
        <v>7</v>
      </c>
      <c r="G19" s="11" t="s">
        <v>8</v>
      </c>
      <c r="H19" s="11" t="s">
        <v>9</v>
      </c>
      <c r="I19" s="11" t="s">
        <v>10</v>
      </c>
      <c r="J19" s="11" t="s">
        <v>11</v>
      </c>
      <c r="K19" s="12" t="s">
        <v>12</v>
      </c>
      <c r="L19" s="12" t="s">
        <v>13</v>
      </c>
      <c r="M19" s="12" t="s">
        <v>126</v>
      </c>
      <c r="N19" s="12" t="s">
        <v>127</v>
      </c>
    </row>
    <row r="20" spans="1:18">
      <c r="A20" s="6"/>
      <c r="B20" s="16">
        <f>K20/L20</f>
        <v>0.48511831148487089</v>
      </c>
      <c r="C20" s="15">
        <f>M20/N20</f>
        <v>0.73714373334866679</v>
      </c>
      <c r="D20" s="15">
        <f t="shared" ref="D20:N20" si="1">SUM(F2:F14)</f>
        <v>18.155999999999999</v>
      </c>
      <c r="E20" s="15">
        <f t="shared" si="1"/>
        <v>96.854499999999987</v>
      </c>
      <c r="F20" s="15">
        <f t="shared" si="1"/>
        <v>54.484499999999997</v>
      </c>
      <c r="G20" s="15">
        <f t="shared" si="1"/>
        <v>13.17</v>
      </c>
      <c r="H20" s="15">
        <f t="shared" si="1"/>
        <v>9.2909999999999968</v>
      </c>
      <c r="I20" s="15">
        <f t="shared" si="1"/>
        <v>29.451500000000006</v>
      </c>
      <c r="J20" s="15">
        <f t="shared" si="1"/>
        <v>227.55299999999994</v>
      </c>
      <c r="K20" s="15">
        <f t="shared" si="1"/>
        <v>85.317999999999984</v>
      </c>
      <c r="L20" s="15">
        <f t="shared" si="1"/>
        <v>175.87049999999999</v>
      </c>
      <c r="M20" s="15">
        <f t="shared" si="1"/>
        <v>38.458999999999989</v>
      </c>
      <c r="N20" s="15">
        <f t="shared" si="1"/>
        <v>52.172999999999995</v>
      </c>
    </row>
  </sheetData>
  <sortState xmlns:xlrd2="http://schemas.microsoft.com/office/spreadsheetml/2017/richdata2" ref="A2:P14">
    <sortCondition ref="B2"/>
  </sortState>
  <conditionalFormatting sqref="D2:D14">
    <cfRule type="colorScale" priority="18">
      <colorScale>
        <cfvo type="min"/>
        <cfvo type="percentile" val="50"/>
        <cfvo type="max"/>
        <color rgb="FFF8696B"/>
        <color rgb="FFFFEB84"/>
        <color rgb="FF63BE7B"/>
      </colorScale>
    </cfRule>
  </conditionalFormatting>
  <conditionalFormatting sqref="E2:E14">
    <cfRule type="colorScale" priority="17">
      <colorScale>
        <cfvo type="min"/>
        <cfvo type="percentile" val="50"/>
        <cfvo type="max"/>
        <color rgb="FFF8696B"/>
        <color rgb="FFFFEB84"/>
        <color rgb="FF63BE7B"/>
      </colorScale>
    </cfRule>
  </conditionalFormatting>
  <conditionalFormatting sqref="F2:F14">
    <cfRule type="colorScale" priority="16">
      <colorScale>
        <cfvo type="min"/>
        <cfvo type="percentile" val="50"/>
        <cfvo type="max"/>
        <color rgb="FFF8696B"/>
        <color rgb="FFFFEB84"/>
        <color rgb="FF63BE7B"/>
      </colorScale>
    </cfRule>
  </conditionalFormatting>
  <conditionalFormatting sqref="G2:G14">
    <cfRule type="colorScale" priority="15">
      <colorScale>
        <cfvo type="min"/>
        <cfvo type="percentile" val="50"/>
        <cfvo type="max"/>
        <color rgb="FFF8696B"/>
        <color rgb="FFFFEB84"/>
        <color rgb="FF63BE7B"/>
      </colorScale>
    </cfRule>
  </conditionalFormatting>
  <conditionalFormatting sqref="H2:H14">
    <cfRule type="colorScale" priority="14">
      <colorScale>
        <cfvo type="min"/>
        <cfvo type="percentile" val="50"/>
        <cfvo type="max"/>
        <color rgb="FFF8696B"/>
        <color rgb="FFFFEB84"/>
        <color rgb="FF63BE7B"/>
      </colorScale>
    </cfRule>
  </conditionalFormatting>
  <conditionalFormatting sqref="I2:I14">
    <cfRule type="colorScale" priority="13">
      <colorScale>
        <cfvo type="min"/>
        <cfvo type="percentile" val="50"/>
        <cfvo type="max"/>
        <color rgb="FFF8696B"/>
        <color rgb="FFFFEB84"/>
        <color rgb="FF63BE7B"/>
      </colorScale>
    </cfRule>
  </conditionalFormatting>
  <conditionalFormatting sqref="J2:J14">
    <cfRule type="colorScale" priority="12">
      <colorScale>
        <cfvo type="min"/>
        <cfvo type="percentile" val="50"/>
        <cfvo type="max"/>
        <color rgb="FFF8696B"/>
        <color rgb="FFFFEB84"/>
        <color rgb="FF63BE7B"/>
      </colorScale>
    </cfRule>
  </conditionalFormatting>
  <conditionalFormatting sqref="K2:K14">
    <cfRule type="colorScale" priority="11">
      <colorScale>
        <cfvo type="min"/>
        <cfvo type="percentile" val="50"/>
        <cfvo type="max"/>
        <color rgb="FF63BE7B"/>
        <color rgb="FFFFEB84"/>
        <color rgb="FFF8696B"/>
      </colorScale>
    </cfRule>
  </conditionalFormatting>
  <conditionalFormatting sqref="L2:L14">
    <cfRule type="colorScale" priority="10">
      <colorScale>
        <cfvo type="min"/>
        <cfvo type="percentile" val="50"/>
        <cfvo type="max"/>
        <color rgb="FFF8696B"/>
        <color rgb="FFFFEB84"/>
        <color rgb="FF63BE7B"/>
      </colorScale>
    </cfRule>
  </conditionalFormatting>
  <conditionalFormatting sqref="Q2:Q14">
    <cfRule type="colorScale" priority="9">
      <colorScale>
        <cfvo type="min"/>
        <cfvo type="percentile" val="50"/>
        <cfvo type="max"/>
        <color rgb="FFF8696B"/>
        <color rgb="FFFFEB84"/>
        <color rgb="FF63BE7B"/>
      </colorScale>
    </cfRule>
  </conditionalFormatting>
  <conditionalFormatting sqref="R2:R14">
    <cfRule type="colorScale" priority="8">
      <colorScale>
        <cfvo type="min"/>
        <cfvo type="percentile" val="50"/>
        <cfvo type="max"/>
        <color rgb="FFF8696B"/>
        <color rgb="FFFFEB84"/>
        <color rgb="FF63BE7B"/>
      </colorScale>
    </cfRule>
  </conditionalFormatting>
  <conditionalFormatting sqref="S2:S14">
    <cfRule type="colorScale" priority="7">
      <colorScale>
        <cfvo type="min"/>
        <cfvo type="percentile" val="50"/>
        <cfvo type="max"/>
        <color rgb="FFF8696B"/>
        <color rgb="FFFFEB84"/>
        <color rgb="FF63BE7B"/>
      </colorScale>
    </cfRule>
  </conditionalFormatting>
  <conditionalFormatting sqref="T2:T14">
    <cfRule type="colorScale" priority="6">
      <colorScale>
        <cfvo type="min"/>
        <cfvo type="percentile" val="50"/>
        <cfvo type="max"/>
        <color rgb="FFF8696B"/>
        <color rgb="FFFFEB84"/>
        <color rgb="FF63BE7B"/>
      </colorScale>
    </cfRule>
  </conditionalFormatting>
  <conditionalFormatting sqref="U2:U14">
    <cfRule type="colorScale" priority="5">
      <colorScale>
        <cfvo type="min"/>
        <cfvo type="percentile" val="50"/>
        <cfvo type="max"/>
        <color rgb="FFF8696B"/>
        <color rgb="FFFFEB84"/>
        <color rgb="FF63BE7B"/>
      </colorScale>
    </cfRule>
  </conditionalFormatting>
  <conditionalFormatting sqref="V2:V14">
    <cfRule type="colorScale" priority="4">
      <colorScale>
        <cfvo type="min"/>
        <cfvo type="percentile" val="50"/>
        <cfvo type="max"/>
        <color rgb="FFF8696B"/>
        <color rgb="FFFFEB84"/>
        <color rgb="FF63BE7B"/>
      </colorScale>
    </cfRule>
  </conditionalFormatting>
  <conditionalFormatting sqref="W2:W14">
    <cfRule type="colorScale" priority="3">
      <colorScale>
        <cfvo type="min"/>
        <cfvo type="percentile" val="50"/>
        <cfvo type="max"/>
        <color rgb="FFF8696B"/>
        <color rgb="FFFFEB84"/>
        <color rgb="FF63BE7B"/>
      </colorScale>
    </cfRule>
  </conditionalFormatting>
  <conditionalFormatting sqref="X2:X14">
    <cfRule type="colorScale" priority="2">
      <colorScale>
        <cfvo type="min"/>
        <cfvo type="percentile" val="50"/>
        <cfvo type="max"/>
        <color rgb="FFF8696B"/>
        <color rgb="FFFFEB84"/>
        <color rgb="FF63BE7B"/>
      </colorScale>
    </cfRule>
  </conditionalFormatting>
  <conditionalFormatting sqref="Y2:Y14">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E9D47-09E0-244C-9FA7-030E23311120}">
  <sheetPr codeName="Sheet7"/>
  <dimension ref="A1:Y20"/>
  <sheetViews>
    <sheetView workbookViewId="0">
      <selection activeCell="I33" sqref="I33"/>
    </sheetView>
  </sheetViews>
  <sheetFormatPr baseColWidth="10" defaultRowHeight="16"/>
  <cols>
    <col min="1" max="1" width="18.83203125" customWidth="1"/>
  </cols>
  <sheetData>
    <row r="1" spans="1:25">
      <c r="A1" s="1" t="s">
        <v>0</v>
      </c>
      <c r="B1" s="2" t="s">
        <v>1</v>
      </c>
      <c r="C1" s="3" t="s">
        <v>2</v>
      </c>
      <c r="D1" s="4" t="s">
        <v>3</v>
      </c>
      <c r="E1" s="4" t="s">
        <v>4</v>
      </c>
      <c r="F1" s="4" t="s">
        <v>5</v>
      </c>
      <c r="G1" s="4" t="s">
        <v>6</v>
      </c>
      <c r="H1" s="4" t="s">
        <v>7</v>
      </c>
      <c r="I1" s="4" t="s">
        <v>8</v>
      </c>
      <c r="J1" s="4" t="s">
        <v>9</v>
      </c>
      <c r="K1" s="4" t="s">
        <v>10</v>
      </c>
      <c r="L1" s="4" t="s">
        <v>11</v>
      </c>
      <c r="M1" s="5" t="s">
        <v>12</v>
      </c>
      <c r="N1" s="5" t="s">
        <v>13</v>
      </c>
      <c r="O1" s="5" t="s">
        <v>126</v>
      </c>
      <c r="P1" s="5" t="s">
        <v>127</v>
      </c>
      <c r="Q1" s="27" t="s">
        <v>144</v>
      </c>
      <c r="R1" s="28" t="s">
        <v>145</v>
      </c>
      <c r="S1" s="29" t="s">
        <v>146</v>
      </c>
      <c r="T1" s="29" t="s">
        <v>147</v>
      </c>
      <c r="U1" s="29" t="s">
        <v>148</v>
      </c>
      <c r="V1" s="29" t="s">
        <v>149</v>
      </c>
      <c r="W1" s="29" t="s">
        <v>150</v>
      </c>
      <c r="X1" s="29" t="s">
        <v>151</v>
      </c>
      <c r="Y1" s="29" t="s">
        <v>152</v>
      </c>
    </row>
    <row r="2" spans="1:25">
      <c r="A2" s="7" t="s">
        <v>536</v>
      </c>
      <c r="B2" s="8">
        <f>IFERROR(VLOOKUP($A2, All!$A$1:$AB$699,2,0),300)</f>
        <v>8</v>
      </c>
      <c r="C2" s="8">
        <f>IFERROR(VLOOKUP($A2, All!$A$1:$AB$699,3,0),70)</f>
        <v>69</v>
      </c>
      <c r="D2" s="8">
        <f>IFERROR(VLOOKUP($A2, All!$A$1:$AB$699,4,0),Math!B$2)</f>
        <v>0.5</v>
      </c>
      <c r="E2" s="8">
        <f>IFERROR(VLOOKUP($A2, All!$A$1:$AB$700,5,0),Math!C$2)</f>
        <v>0.85</v>
      </c>
      <c r="F2" s="8">
        <f>IFERROR(VLOOKUP($A2, All!$A$1:$AB$700,6,0),Math!D$2)</f>
        <v>2</v>
      </c>
      <c r="G2" s="8">
        <f>IFERROR(VLOOKUP($A2, All!$A$1:$AB$700,7,0),Math!E$2)</f>
        <v>7</v>
      </c>
      <c r="H2" s="8">
        <f>IFERROR(VLOOKUP($A2, All!$A$1:$AB$700,8,0),Math!F$2)</f>
        <v>3.5</v>
      </c>
      <c r="I2" s="8">
        <f>IFERROR(VLOOKUP($A2, All!$A$1:$AB$700,9,0),Math!G$2)</f>
        <v>1.8</v>
      </c>
      <c r="J2" s="8">
        <f>IFERROR(VLOOKUP($A2, All!$A$1:$AB$700,10,0),Math!H$2)</f>
        <v>0.6</v>
      </c>
      <c r="K2" s="8">
        <f>IFERROR(VLOOKUP($A2, All!$A$1:$AB$700,11,0),Math!I$2)</f>
        <v>2</v>
      </c>
      <c r="L2" s="8">
        <f>IFERROR(VLOOKUP($A2, All!$A$1:$AB$700,12,0),Math!J$2)</f>
        <v>24.1</v>
      </c>
      <c r="M2" s="8">
        <f>IFERROR(VLOOKUP($A2, All!$A$1:$AB$700,13,0),Math!K$2)</f>
        <v>8</v>
      </c>
      <c r="N2" s="8">
        <f>IFERROR(VLOOKUP($A2, All!$A$1:$AB$700,14,0),Math!L$2)</f>
        <v>16</v>
      </c>
      <c r="O2" s="8">
        <f>IFERROR(VLOOKUP($A2, All!$A$1:$AB$700,15,0),Math!M$2)</f>
        <v>6</v>
      </c>
      <c r="P2" s="8">
        <f>IFERROR(VLOOKUP($A2, All!$A$1:$AB$700,16,0),Math!N$2)</f>
        <v>7.1</v>
      </c>
      <c r="Q2" s="31">
        <f>IFERROR(VLOOKUP($A2, All!$A$1:$AB$700,17,0),0)</f>
        <v>0.41868395801498404</v>
      </c>
      <c r="R2" s="31">
        <f>IFERROR(VLOOKUP($A2, All!$A$1:$AB$700,18,0),0)</f>
        <v>0.84579015037906013</v>
      </c>
      <c r="S2" s="31">
        <f>IFERROR(VLOOKUP($A2, All!$A$1:$AB$700,19,0),0)</f>
        <v>0.58691399129572119</v>
      </c>
      <c r="T2" s="31">
        <f>IFERROR(VLOOKUP($A2, All!$A$1:$AB$700,20,0),0)</f>
        <v>0.4350517352438108</v>
      </c>
      <c r="U2" s="31">
        <f>IFERROR(VLOOKUP($A2, All!$A$1:$AB$700,21,0),0)</f>
        <v>0.10809893131720544</v>
      </c>
      <c r="V2" s="31">
        <f>IFERROR(VLOOKUP($A2, All!$A$1:$AB$700,22,0),0)</f>
        <v>2.1898387175720027</v>
      </c>
      <c r="W2" s="31">
        <f>IFERROR(VLOOKUP($A2, All!$A$1:$AB$700,23,0),0)</f>
        <v>-0.16749984233753273</v>
      </c>
      <c r="X2" s="31">
        <f>IFERROR(VLOOKUP($A2, All!$A$1:$AB$700,24,0),0)</f>
        <v>-0.33337138963818985</v>
      </c>
      <c r="Y2" s="31">
        <f>IFERROR(VLOOKUP($A2, All!$A$1:$AB$700,25,0),0)</f>
        <v>1.7738254168223848</v>
      </c>
    </row>
    <row r="3" spans="1:25">
      <c r="A3" s="7" t="s">
        <v>17</v>
      </c>
      <c r="B3" s="8">
        <f>IFERROR(VLOOKUP($A3, All!$A$1:$AB$699,2,0),300)</f>
        <v>9</v>
      </c>
      <c r="C3" s="8">
        <f>IFERROR(VLOOKUP($A3, All!$A$1:$AB$699,3,0),70)</f>
        <v>80</v>
      </c>
      <c r="D3" s="8">
        <f>IFERROR(VLOOKUP($A3, All!$A$1:$AB$699,4,0),Math!B$2)</f>
        <v>0.45</v>
      </c>
      <c r="E3" s="8">
        <f>IFERROR(VLOOKUP($A3, All!$A$1:$AB$700,5,0),Math!C$2)</f>
        <v>0.91</v>
      </c>
      <c r="F3" s="8">
        <f>IFERROR(VLOOKUP($A3, All!$A$1:$AB$700,6,0),Math!D$2)</f>
        <v>3.2</v>
      </c>
      <c r="G3" s="8">
        <f>IFERROR(VLOOKUP($A3, All!$A$1:$AB$700,7,0),Math!E$2)</f>
        <v>3.8</v>
      </c>
      <c r="H3" s="8">
        <f>IFERROR(VLOOKUP($A3, All!$A$1:$AB$700,8,0),Math!F$2)</f>
        <v>7</v>
      </c>
      <c r="I3" s="8">
        <f>IFERROR(VLOOKUP($A3, All!$A$1:$AB$700,9,0),Math!G$2)</f>
        <v>1.1000000000000001</v>
      </c>
      <c r="J3" s="8">
        <f>IFERROR(VLOOKUP($A3, All!$A$1:$AB$700,10,0),Math!H$2)</f>
        <v>0.4</v>
      </c>
      <c r="K3" s="8">
        <f>IFERROR(VLOOKUP($A3, All!$A$1:$AB$700,11,0),Math!I$2)</f>
        <v>2.6</v>
      </c>
      <c r="L3" s="8">
        <f>IFERROR(VLOOKUP($A3, All!$A$1:$AB$700,12,0),Math!J$2)</f>
        <v>27.6</v>
      </c>
      <c r="M3" s="8">
        <f>IFERROR(VLOOKUP($A3, All!$A$1:$AB$700,13,0),Math!K$2)</f>
        <v>9.1</v>
      </c>
      <c r="N3" s="8">
        <f>IFERROR(VLOOKUP($A3, All!$A$1:$AB$700,14,0),Math!L$2)</f>
        <v>20.399999999999999</v>
      </c>
      <c r="O3" s="8">
        <f>IFERROR(VLOOKUP($A3, All!$A$1:$AB$700,15,0),Math!M$2)</f>
        <v>6.2</v>
      </c>
      <c r="P3" s="8">
        <f>IFERROR(VLOOKUP($A3, All!$A$1:$AB$700,16,0),Math!N$2)</f>
        <v>6.8</v>
      </c>
      <c r="Q3" s="31">
        <f>IFERROR(VLOOKUP($A3, All!$A$1:$AB$700,17,0),0)</f>
        <v>-0.50556318992096039</v>
      </c>
      <c r="R3" s="31">
        <f>IFERROR(VLOOKUP($A3, All!$A$1:$AB$700,18,0),0)</f>
        <v>1.5728303942579092</v>
      </c>
      <c r="S3" s="31">
        <f>IFERROR(VLOOKUP($A3, All!$A$1:$AB$700,19,0),0)</f>
        <v>1.8815772073892234</v>
      </c>
      <c r="T3" s="31">
        <f>IFERROR(VLOOKUP($A3, All!$A$1:$AB$700,20,0),0)</f>
        <v>-0.78028266264374613</v>
      </c>
      <c r="U3" s="31">
        <f>IFERROR(VLOOKUP($A3, All!$A$1:$AB$700,21,0),0)</f>
        <v>1.8637660292764655</v>
      </c>
      <c r="V3" s="31">
        <f>IFERROR(VLOOKUP($A3, All!$A$1:$AB$700,22,0),0)</f>
        <v>0.34298678708959057</v>
      </c>
      <c r="W3" s="31">
        <f>IFERROR(VLOOKUP($A3, All!$A$1:$AB$700,23,0),0)</f>
        <v>-0.53563136395848565</v>
      </c>
      <c r="X3" s="31">
        <f>IFERROR(VLOOKUP($A3, All!$A$1:$AB$700,24,0),0)</f>
        <v>-1.1382922499316042</v>
      </c>
      <c r="Y3" s="31">
        <f>IFERROR(VLOOKUP($A3, All!$A$1:$AB$700,25,0),0)</f>
        <v>2.4755761751447931</v>
      </c>
    </row>
    <row r="4" spans="1:25">
      <c r="A4" s="7" t="s">
        <v>29</v>
      </c>
      <c r="B4" s="8">
        <f>IFERROR(VLOOKUP($A4, All!$A$1:$AB$699,2,0),300)</f>
        <v>27</v>
      </c>
      <c r="C4" s="8">
        <f>IFERROR(VLOOKUP($A4, All!$A$1:$AB$699,3,0),70)</f>
        <v>64</v>
      </c>
      <c r="D4" s="8">
        <f>IFERROR(VLOOKUP($A4, All!$A$1:$AB$699,4,0),Math!B$2)</f>
        <v>0.43</v>
      </c>
      <c r="E4" s="8">
        <f>IFERROR(VLOOKUP($A4, All!$A$1:$AB$700,5,0),Math!C$2)</f>
        <v>0.88</v>
      </c>
      <c r="F4" s="8">
        <f>IFERROR(VLOOKUP($A4, All!$A$1:$AB$700,6,0),Math!D$2)</f>
        <v>2</v>
      </c>
      <c r="G4" s="8">
        <f>IFERROR(VLOOKUP($A4, All!$A$1:$AB$700,7,0),Math!E$2)</f>
        <v>3.8</v>
      </c>
      <c r="H4" s="8">
        <f>IFERROR(VLOOKUP($A4, All!$A$1:$AB$700,8,0),Math!F$2)</f>
        <v>7.7</v>
      </c>
      <c r="I4" s="8">
        <f>IFERROR(VLOOKUP($A4, All!$A$1:$AB$700,9,0),Math!G$2)</f>
        <v>1.6</v>
      </c>
      <c r="J4" s="8">
        <f>IFERROR(VLOOKUP($A4, All!$A$1:$AB$700,10,0),Math!H$2)</f>
        <v>0.3</v>
      </c>
      <c r="K4" s="8">
        <f>IFERROR(VLOOKUP($A4, All!$A$1:$AB$700,11,0),Math!I$2)</f>
        <v>2.6</v>
      </c>
      <c r="L4" s="8">
        <f>IFERROR(VLOOKUP($A4, All!$A$1:$AB$700,12,0),Math!J$2)</f>
        <v>15.5</v>
      </c>
      <c r="M4" s="8">
        <f>IFERROR(VLOOKUP($A4, All!$A$1:$AB$700,13,0),Math!K$2)</f>
        <v>5.3</v>
      </c>
      <c r="N4" s="8">
        <f>IFERROR(VLOOKUP($A4, All!$A$1:$AB$700,14,0),Math!L$2)</f>
        <v>12.2</v>
      </c>
      <c r="O4" s="8">
        <f>IFERROR(VLOOKUP($A4, All!$A$1:$AB$700,15,0),Math!M$2)</f>
        <v>2.9</v>
      </c>
      <c r="P4" s="8">
        <f>IFERROR(VLOOKUP($A4, All!$A$1:$AB$700,16,0),Math!N$2)</f>
        <v>3.3</v>
      </c>
      <c r="Q4" s="31">
        <f>IFERROR(VLOOKUP($A4, All!$A$1:$AB$700,17,0),0)</f>
        <v>-0.87526204909533856</v>
      </c>
      <c r="R4" s="31">
        <f>IFERROR(VLOOKUP($A4, All!$A$1:$AB$700,18,0),0)</f>
        <v>1.2093102723184848</v>
      </c>
      <c r="S4" s="31">
        <f>IFERROR(VLOOKUP($A4, All!$A$1:$AB$700,19,0),0)</f>
        <v>0.58691399129572119</v>
      </c>
      <c r="T4" s="31">
        <f>IFERROR(VLOOKUP($A4, All!$A$1:$AB$700,20,0),0)</f>
        <v>-0.78028266264374613</v>
      </c>
      <c r="U4" s="31">
        <f>IFERROR(VLOOKUP($A4, All!$A$1:$AB$700,21,0),0)</f>
        <v>2.2148994488683176</v>
      </c>
      <c r="V4" s="31">
        <f>IFERROR(VLOOKUP($A4, All!$A$1:$AB$700,22,0),0)</f>
        <v>1.6621667374341709</v>
      </c>
      <c r="W4" s="31">
        <f>IFERROR(VLOOKUP($A4, All!$A$1:$AB$700,23,0),0)</f>
        <v>-0.71969712476896219</v>
      </c>
      <c r="X4" s="31">
        <f>IFERROR(VLOOKUP($A4, All!$A$1:$AB$700,24,0),0)</f>
        <v>-1.1382922499316042</v>
      </c>
      <c r="Y4" s="31">
        <f>IFERROR(VLOOKUP($A4, All!$A$1:$AB$700,25,0),0)</f>
        <v>4.9523553515895651E-2</v>
      </c>
    </row>
    <row r="5" spans="1:25">
      <c r="A5" s="7" t="s">
        <v>30</v>
      </c>
      <c r="B5" s="8">
        <f>IFERROR(VLOOKUP($A5, All!$A$1:$AB$699,2,0),300)</f>
        <v>22</v>
      </c>
      <c r="C5" s="8">
        <f>IFERROR(VLOOKUP($A5, All!$A$1:$AB$699,3,0),70)</f>
        <v>72</v>
      </c>
      <c r="D5" s="8">
        <f>IFERROR(VLOOKUP($A5, All!$A$1:$AB$699,4,0),Math!B$2)</f>
        <v>0.56000000000000005</v>
      </c>
      <c r="E5" s="8">
        <f>IFERROR(VLOOKUP($A5, All!$A$1:$AB$700,5,0),Math!C$2)</f>
        <v>0.76</v>
      </c>
      <c r="F5" s="8">
        <f>IFERROR(VLOOKUP($A5, All!$A$1:$AB$700,6,0),Math!D$2)</f>
        <v>1</v>
      </c>
      <c r="G5" s="8">
        <f>IFERROR(VLOOKUP($A5, All!$A$1:$AB$700,7,0),Math!E$2)</f>
        <v>10.9</v>
      </c>
      <c r="H5" s="8">
        <f>IFERROR(VLOOKUP($A5, All!$A$1:$AB$700,8,0),Math!F$2)</f>
        <v>2</v>
      </c>
      <c r="I5" s="8">
        <f>IFERROR(VLOOKUP($A5, All!$A$1:$AB$700,9,0),Math!G$2)</f>
        <v>0.5</v>
      </c>
      <c r="J5" s="8">
        <f>IFERROR(VLOOKUP($A5, All!$A$1:$AB$700,10,0),Math!H$2)</f>
        <v>1.1000000000000001</v>
      </c>
      <c r="K5" s="8">
        <f>IFERROR(VLOOKUP($A5, All!$A$1:$AB$700,11,0),Math!I$2)</f>
        <v>2.4</v>
      </c>
      <c r="L5" s="8">
        <f>IFERROR(VLOOKUP($A5, All!$A$1:$AB$700,12,0),Math!J$2)</f>
        <v>21.8</v>
      </c>
      <c r="M5" s="8">
        <f>IFERROR(VLOOKUP($A5, All!$A$1:$AB$700,13,0),Math!K$2)</f>
        <v>8.6</v>
      </c>
      <c r="N5" s="8">
        <f>IFERROR(VLOOKUP($A5, All!$A$1:$AB$700,14,0),Math!L$2)</f>
        <v>15.4</v>
      </c>
      <c r="O5" s="8">
        <f>IFERROR(VLOOKUP($A5, All!$A$1:$AB$700,15,0),Math!M$2)</f>
        <v>3.7</v>
      </c>
      <c r="P5" s="8">
        <f>IFERROR(VLOOKUP($A5, All!$A$1:$AB$700,16,0),Math!N$2)</f>
        <v>4.9000000000000004</v>
      </c>
      <c r="Q5" s="31">
        <f>IFERROR(VLOOKUP($A5, All!$A$1:$AB$700,17,0),0)</f>
        <v>1.5277805355381187</v>
      </c>
      <c r="R5" s="31">
        <f>IFERROR(VLOOKUP($A5, All!$A$1:$AB$700,18,0),0)</f>
        <v>-0.24477021543921229</v>
      </c>
      <c r="S5" s="31">
        <f>IFERROR(VLOOKUP($A5, All!$A$1:$AB$700,19,0),0)</f>
        <v>-0.49197202211553048</v>
      </c>
      <c r="T5" s="31">
        <f>IFERROR(VLOOKUP($A5, All!$A$1:$AB$700,20,0),0)</f>
        <v>1.9162405326692709</v>
      </c>
      <c r="U5" s="31">
        <f>IFERROR(VLOOKUP($A5, All!$A$1:$AB$700,21,0),0)</f>
        <v>-0.64432982495104885</v>
      </c>
      <c r="V5" s="31">
        <f>IFERROR(VLOOKUP($A5, All!$A$1:$AB$700,22,0),0)</f>
        <v>-1.2400291533239061</v>
      </c>
      <c r="W5" s="31">
        <f>IFERROR(VLOOKUP($A5, All!$A$1:$AB$700,23,0),0)</f>
        <v>0.75282896171484992</v>
      </c>
      <c r="X5" s="31">
        <f>IFERROR(VLOOKUP($A5, All!$A$1:$AB$700,24,0),0)</f>
        <v>-0.86998529650046597</v>
      </c>
      <c r="Y5" s="31">
        <f>IFERROR(VLOOKUP($A5, All!$A$1:$AB$700,25,0),0)</f>
        <v>1.3126749184962307</v>
      </c>
    </row>
    <row r="6" spans="1:25">
      <c r="A6" s="7" t="s">
        <v>45</v>
      </c>
      <c r="B6" s="8">
        <f>IFERROR(VLOOKUP($A6, All!$A$1:$AB$699,2,0),300)</f>
        <v>45</v>
      </c>
      <c r="C6" s="8">
        <f>IFERROR(VLOOKUP($A6, All!$A$1:$AB$699,3,0),70)</f>
        <v>68</v>
      </c>
      <c r="D6" s="8">
        <f>IFERROR(VLOOKUP($A6, All!$A$1:$AB$699,4,0),Math!B$2)</f>
        <v>0.45</v>
      </c>
      <c r="E6" s="8">
        <f>IFERROR(VLOOKUP($A6, All!$A$1:$AB$700,5,0),Math!C$2)</f>
        <v>0.9</v>
      </c>
      <c r="F6" s="8">
        <f>IFERROR(VLOOKUP($A6, All!$A$1:$AB$700,6,0),Math!D$2)</f>
        <v>2.2000000000000002</v>
      </c>
      <c r="G6" s="8">
        <f>IFERROR(VLOOKUP($A6, All!$A$1:$AB$700,7,0),Math!E$2)</f>
        <v>6.4</v>
      </c>
      <c r="H6" s="8">
        <f>IFERROR(VLOOKUP($A6, All!$A$1:$AB$700,8,0),Math!F$2)</f>
        <v>2.2999999999999998</v>
      </c>
      <c r="I6" s="8">
        <f>IFERROR(VLOOKUP($A6, All!$A$1:$AB$700,9,0),Math!G$2)</f>
        <v>0.7</v>
      </c>
      <c r="J6" s="8">
        <f>IFERROR(VLOOKUP($A6, All!$A$1:$AB$700,10,0),Math!H$2)</f>
        <v>0.3</v>
      </c>
      <c r="K6" s="8">
        <f>IFERROR(VLOOKUP($A6, All!$A$1:$AB$700,11,0),Math!I$2)</f>
        <v>1.7</v>
      </c>
      <c r="L6" s="8">
        <f>IFERROR(VLOOKUP($A6, All!$A$1:$AB$700,12,0),Math!J$2)</f>
        <v>20.100000000000001</v>
      </c>
      <c r="M6" s="8">
        <f>IFERROR(VLOOKUP($A6, All!$A$1:$AB$700,13,0),Math!K$2)</f>
        <v>6.2</v>
      </c>
      <c r="N6" s="8">
        <f>IFERROR(VLOOKUP($A6, All!$A$1:$AB$700,14,0),Math!L$2)</f>
        <v>13.8</v>
      </c>
      <c r="O6" s="8">
        <f>IFERROR(VLOOKUP($A6, All!$A$1:$AB$700,15,0),Math!M$2)</f>
        <v>5.6</v>
      </c>
      <c r="P6" s="8">
        <f>IFERROR(VLOOKUP($A6, All!$A$1:$AB$700,16,0),Math!N$2)</f>
        <v>6.2</v>
      </c>
      <c r="Q6" s="31">
        <f>IFERROR(VLOOKUP($A6, All!$A$1:$AB$700,17,0),0)</f>
        <v>-0.50556318992096039</v>
      </c>
      <c r="R6" s="31">
        <f>IFERROR(VLOOKUP($A6, All!$A$1:$AB$700,18,0),0)</f>
        <v>1.4516570202781012</v>
      </c>
      <c r="S6" s="31">
        <f>IFERROR(VLOOKUP($A6, All!$A$1:$AB$700,19,0),0)</f>
        <v>0.80269119397797173</v>
      </c>
      <c r="T6" s="31">
        <f>IFERROR(VLOOKUP($A6, All!$A$1:$AB$700,20,0),0)</f>
        <v>0.20717653563989399</v>
      </c>
      <c r="U6" s="31">
        <f>IFERROR(VLOOKUP($A6, All!$A$1:$AB$700,21,0),0)</f>
        <v>-0.49384407369739808</v>
      </c>
      <c r="V6" s="31">
        <f>IFERROR(VLOOKUP($A6, All!$A$1:$AB$700,22,0),0)</f>
        <v>-0.71235717318607394</v>
      </c>
      <c r="W6" s="31">
        <f>IFERROR(VLOOKUP($A6, All!$A$1:$AB$700,23,0),0)</f>
        <v>-0.71969712476896219</v>
      </c>
      <c r="X6" s="31">
        <f>IFERROR(VLOOKUP($A6, All!$A$1:$AB$700,24,0),0)</f>
        <v>6.9089040508517302E-2</v>
      </c>
      <c r="Y6" s="31">
        <f>IFERROR(VLOOKUP($A6, All!$A$1:$AB$700,25,0),0)</f>
        <v>0.97182455016820402</v>
      </c>
    </row>
    <row r="7" spans="1:25">
      <c r="A7" s="7" t="s">
        <v>48</v>
      </c>
      <c r="B7" s="8">
        <f>IFERROR(VLOOKUP($A7, All!$A$1:$AB$699,2,0),300)</f>
        <v>32</v>
      </c>
      <c r="C7" s="8">
        <f>IFERROR(VLOOKUP($A7, All!$A$1:$AB$699,3,0),70)</f>
        <v>60</v>
      </c>
      <c r="D7" s="8">
        <f>IFERROR(VLOOKUP($A7, All!$A$1:$AB$699,4,0),Math!B$2)</f>
        <v>0.56000000000000005</v>
      </c>
      <c r="E7" s="8">
        <f>IFERROR(VLOOKUP($A7, All!$A$1:$AB$700,5,0),Math!C$2)</f>
        <v>0.69</v>
      </c>
      <c r="F7" s="8">
        <f>IFERROR(VLOOKUP($A7, All!$A$1:$AB$700,6,0),Math!D$2)</f>
        <v>0.5</v>
      </c>
      <c r="G7" s="8">
        <f>IFERROR(VLOOKUP($A7, All!$A$1:$AB$700,7,0),Math!E$2)</f>
        <v>8.6</v>
      </c>
      <c r="H7" s="8">
        <f>IFERROR(VLOOKUP($A7, All!$A$1:$AB$700,8,0),Math!F$2)</f>
        <v>2.7</v>
      </c>
      <c r="I7" s="8">
        <f>IFERROR(VLOOKUP($A7, All!$A$1:$AB$700,9,0),Math!G$2)</f>
        <v>1.6</v>
      </c>
      <c r="J7" s="8">
        <f>IFERROR(VLOOKUP($A7, All!$A$1:$AB$700,10,0),Math!H$2)</f>
        <v>0.9</v>
      </c>
      <c r="K7" s="8">
        <f>IFERROR(VLOOKUP($A7, All!$A$1:$AB$700,11,0),Math!I$2)</f>
        <v>2.4</v>
      </c>
      <c r="L7" s="8">
        <f>IFERROR(VLOOKUP($A7, All!$A$1:$AB$700,12,0),Math!J$2)</f>
        <v>19.2</v>
      </c>
      <c r="M7" s="8">
        <f>IFERROR(VLOOKUP($A7, All!$A$1:$AB$700,13,0),Math!K$2)</f>
        <v>7.3</v>
      </c>
      <c r="N7" s="8">
        <f>IFERROR(VLOOKUP($A7, All!$A$1:$AB$700,14,0),Math!L$2)</f>
        <v>13.1</v>
      </c>
      <c r="O7" s="8">
        <f>IFERROR(VLOOKUP($A7, All!$A$1:$AB$700,15,0),Math!M$2)</f>
        <v>4</v>
      </c>
      <c r="P7" s="8">
        <f>IFERROR(VLOOKUP($A7, All!$A$1:$AB$700,16,0),Math!N$2)</f>
        <v>5.8</v>
      </c>
      <c r="Q7" s="31">
        <f>IFERROR(VLOOKUP($A7, All!$A$1:$AB$700,17,0),0)</f>
        <v>1.5277805355381187</v>
      </c>
      <c r="R7" s="31">
        <f>IFERROR(VLOOKUP($A7, All!$A$1:$AB$700,18,0),0)</f>
        <v>-1.0929838332978696</v>
      </c>
      <c r="S7" s="31">
        <f>IFERROR(VLOOKUP($A7, All!$A$1:$AB$700,19,0),0)</f>
        <v>-1.0314150288211563</v>
      </c>
      <c r="T7" s="31">
        <f>IFERROR(VLOOKUP($A7, All!$A$1:$AB$700,20,0),0)</f>
        <v>1.0427189341875891</v>
      </c>
      <c r="U7" s="31">
        <f>IFERROR(VLOOKUP($A7, All!$A$1:$AB$700,21,0),0)</f>
        <v>-0.29319640535919678</v>
      </c>
      <c r="V7" s="31">
        <f>IFERROR(VLOOKUP($A7, All!$A$1:$AB$700,22,0),0)</f>
        <v>1.6621667374341709</v>
      </c>
      <c r="W7" s="31">
        <f>IFERROR(VLOOKUP($A7, All!$A$1:$AB$700,23,0),0)</f>
        <v>0.38469744009389678</v>
      </c>
      <c r="X7" s="31">
        <f>IFERROR(VLOOKUP($A7, All!$A$1:$AB$700,24,0),0)</f>
        <v>-0.86998529650046597</v>
      </c>
      <c r="Y7" s="31">
        <f>IFERROR(VLOOKUP($A7, All!$A$1:$AB$700,25,0),0)</f>
        <v>0.79137435517101284</v>
      </c>
    </row>
    <row r="8" spans="1:25">
      <c r="A8" s="7" t="s">
        <v>57</v>
      </c>
      <c r="B8" s="8">
        <f>IFERROR(VLOOKUP($A8, All!$A$1:$AB$699,2,0),300)</f>
        <v>54</v>
      </c>
      <c r="C8" s="8">
        <f>IFERROR(VLOOKUP($A8, All!$A$1:$AB$699,3,0),70)</f>
        <v>72</v>
      </c>
      <c r="D8" s="8">
        <f>IFERROR(VLOOKUP($A8, All!$A$1:$AB$699,4,0),Math!B$2)</f>
        <v>0.55000000000000004</v>
      </c>
      <c r="E8" s="8">
        <f>IFERROR(VLOOKUP($A8, All!$A$1:$AB$700,5,0),Math!C$2)</f>
        <v>0.8</v>
      </c>
      <c r="F8" s="8">
        <f>IFERROR(VLOOKUP($A8, All!$A$1:$AB$700,6,0),Math!D$2)</f>
        <v>0.4</v>
      </c>
      <c r="G8" s="8">
        <f>IFERROR(VLOOKUP($A8, All!$A$1:$AB$700,7,0),Math!E$2)</f>
        <v>9.6999999999999993</v>
      </c>
      <c r="H8" s="8">
        <f>IFERROR(VLOOKUP($A8, All!$A$1:$AB$700,8,0),Math!F$2)</f>
        <v>1.8</v>
      </c>
      <c r="I8" s="8">
        <f>IFERROR(VLOOKUP($A8, All!$A$1:$AB$700,9,0),Math!G$2)</f>
        <v>0.5</v>
      </c>
      <c r="J8" s="8">
        <f>IFERROR(VLOOKUP($A8, All!$A$1:$AB$700,10,0),Math!H$2)</f>
        <v>1.5</v>
      </c>
      <c r="K8" s="8">
        <f>IFERROR(VLOOKUP($A8, All!$A$1:$AB$700,11,0),Math!I$2)</f>
        <v>2.4</v>
      </c>
      <c r="L8" s="8">
        <f>IFERROR(VLOOKUP($A8, All!$A$1:$AB$700,12,0),Math!J$2)</f>
        <v>16.5</v>
      </c>
      <c r="M8" s="8">
        <f>IFERROR(VLOOKUP($A8, All!$A$1:$AB$700,13,0),Math!K$2)</f>
        <v>6.1</v>
      </c>
      <c r="N8" s="8">
        <f>IFERROR(VLOOKUP($A8, All!$A$1:$AB$700,14,0),Math!L$2)</f>
        <v>11</v>
      </c>
      <c r="O8" s="8">
        <f>IFERROR(VLOOKUP($A8, All!$A$1:$AB$700,15,0),Math!M$2)</f>
        <v>4</v>
      </c>
      <c r="P8" s="8">
        <f>IFERROR(VLOOKUP($A8, All!$A$1:$AB$700,16,0),Math!N$2)</f>
        <v>5</v>
      </c>
      <c r="Q8" s="31">
        <f>IFERROR(VLOOKUP($A8, All!$A$1:$AB$700,17,0),0)</f>
        <v>1.3429311059509295</v>
      </c>
      <c r="R8" s="31">
        <f>IFERROR(VLOOKUP($A8, All!$A$1:$AB$700,18,0),0)</f>
        <v>0.23992328048002048</v>
      </c>
      <c r="S8" s="31">
        <f>IFERROR(VLOOKUP($A8, All!$A$1:$AB$700,19,0),0)</f>
        <v>-1.1393036301622814</v>
      </c>
      <c r="T8" s="31">
        <f>IFERROR(VLOOKUP($A8, All!$A$1:$AB$700,20,0),0)</f>
        <v>1.4604901334614366</v>
      </c>
      <c r="U8" s="31">
        <f>IFERROR(VLOOKUP($A8, All!$A$1:$AB$700,21,0),0)</f>
        <v>-0.74465365912014936</v>
      </c>
      <c r="V8" s="31">
        <f>IFERROR(VLOOKUP($A8, All!$A$1:$AB$700,22,0),0)</f>
        <v>-1.2400291533239061</v>
      </c>
      <c r="W8" s="31">
        <f>IFERROR(VLOOKUP($A8, All!$A$1:$AB$700,23,0),0)</f>
        <v>1.4890920049567555</v>
      </c>
      <c r="X8" s="31">
        <f>IFERROR(VLOOKUP($A8, All!$A$1:$AB$700,24,0),0)</f>
        <v>-0.86998529650046597</v>
      </c>
      <c r="Y8" s="31">
        <f>IFERROR(VLOOKUP($A8, All!$A$1:$AB$700,25,0),0)</f>
        <v>0.25002377017944089</v>
      </c>
    </row>
    <row r="9" spans="1:25">
      <c r="A9" s="7" t="s">
        <v>537</v>
      </c>
      <c r="B9" s="8">
        <f>IFERROR(VLOOKUP($A9, All!$A$1:$AB$699,2,0),300)</f>
        <v>57</v>
      </c>
      <c r="C9" s="8">
        <f>IFERROR(VLOOKUP($A9, All!$A$1:$AB$699,3,0),70)</f>
        <v>75</v>
      </c>
      <c r="D9" s="8">
        <f>IFERROR(VLOOKUP($A9, All!$A$1:$AB$699,4,0),Math!B$2)</f>
        <v>0.45</v>
      </c>
      <c r="E9" s="8">
        <f>IFERROR(VLOOKUP($A9, All!$A$1:$AB$700,5,0),Math!C$2)</f>
        <v>0.84</v>
      </c>
      <c r="F9" s="8">
        <f>IFERROR(VLOOKUP($A9, All!$A$1:$AB$700,6,0),Math!D$2)</f>
        <v>2.4</v>
      </c>
      <c r="G9" s="8">
        <f>IFERROR(VLOOKUP($A9, All!$A$1:$AB$700,7,0),Math!E$2)</f>
        <v>3.6</v>
      </c>
      <c r="H9" s="8">
        <f>IFERROR(VLOOKUP($A9, All!$A$1:$AB$700,8,0),Math!F$2)</f>
        <v>2.8</v>
      </c>
      <c r="I9" s="8">
        <f>IFERROR(VLOOKUP($A9, All!$A$1:$AB$700,9,0),Math!G$2)</f>
        <v>1.5</v>
      </c>
      <c r="J9" s="8">
        <f>IFERROR(VLOOKUP($A9, All!$A$1:$AB$700,10,0),Math!H$2)</f>
        <v>0.9</v>
      </c>
      <c r="K9" s="8">
        <f>IFERROR(VLOOKUP($A9, All!$A$1:$AB$700,11,0),Math!I$2)</f>
        <v>1.4</v>
      </c>
      <c r="L9" s="8">
        <f>IFERROR(VLOOKUP($A9, All!$A$1:$AB$700,12,0),Math!J$2)</f>
        <v>15.3</v>
      </c>
      <c r="M9" s="8">
        <f>IFERROR(VLOOKUP($A9, All!$A$1:$AB$700,13,0),Math!K$2)</f>
        <v>5.0999999999999996</v>
      </c>
      <c r="N9" s="8">
        <f>IFERROR(VLOOKUP($A9, All!$A$1:$AB$700,14,0),Math!L$2)</f>
        <v>11.4</v>
      </c>
      <c r="O9" s="8">
        <f>IFERROR(VLOOKUP($A9, All!$A$1:$AB$700,15,0),Math!M$2)</f>
        <v>2.7</v>
      </c>
      <c r="P9" s="8">
        <f>IFERROR(VLOOKUP($A9, All!$A$1:$AB$700,16,0),Math!N$2)</f>
        <v>3.2</v>
      </c>
      <c r="Q9" s="31">
        <f>IFERROR(VLOOKUP($A9, All!$A$1:$AB$700,17,0),0)</f>
        <v>-0.50556318992096039</v>
      </c>
      <c r="R9" s="31">
        <f>IFERROR(VLOOKUP($A9, All!$A$1:$AB$700,18,0),0)</f>
        <v>0.72461677639925193</v>
      </c>
      <c r="S9" s="31">
        <f>IFERROR(VLOOKUP($A9, All!$A$1:$AB$700,19,0),0)</f>
        <v>1.0184683966602219</v>
      </c>
      <c r="T9" s="31">
        <f>IFERROR(VLOOKUP($A9, All!$A$1:$AB$700,20,0),0)</f>
        <v>-0.85624106251171839</v>
      </c>
      <c r="U9" s="31">
        <f>IFERROR(VLOOKUP($A9, All!$A$1:$AB$700,21,0),0)</f>
        <v>-0.24303448827464666</v>
      </c>
      <c r="V9" s="31">
        <f>IFERROR(VLOOKUP($A9, All!$A$1:$AB$700,22,0),0)</f>
        <v>1.3983307473652546</v>
      </c>
      <c r="W9" s="31">
        <f>IFERROR(VLOOKUP($A9, All!$A$1:$AB$700,23,0),0)</f>
        <v>0.38469744009389678</v>
      </c>
      <c r="X9" s="31">
        <f>IFERROR(VLOOKUP($A9, All!$A$1:$AB$700,24,0),0)</f>
        <v>0.47154947065522446</v>
      </c>
      <c r="Y9" s="31">
        <f>IFERROR(VLOOKUP($A9, All!$A$1:$AB$700,25,0),0)</f>
        <v>9.4235101831867448E-3</v>
      </c>
    </row>
    <row r="10" spans="1:25">
      <c r="A10" s="7" t="s">
        <v>58</v>
      </c>
      <c r="B10" s="8">
        <f>IFERROR(VLOOKUP($A10, All!$A$1:$AB$699,2,0),300)</f>
        <v>76</v>
      </c>
      <c r="C10" s="8">
        <f>IFERROR(VLOOKUP($A10, All!$A$1:$AB$699,3,0),70)</f>
        <v>76</v>
      </c>
      <c r="D10" s="8">
        <f>IFERROR(VLOOKUP($A10, All!$A$1:$AB$699,4,0),Math!B$2)</f>
        <v>0.53</v>
      </c>
      <c r="E10" s="8">
        <f>IFERROR(VLOOKUP($A10, All!$A$1:$AB$700,5,0),Math!C$2)</f>
        <v>0.69</v>
      </c>
      <c r="F10" s="8">
        <f>IFERROR(VLOOKUP($A10, All!$A$1:$AB$700,6,0),Math!D$2)</f>
        <v>0.3</v>
      </c>
      <c r="G10" s="8">
        <f>IFERROR(VLOOKUP($A10, All!$A$1:$AB$700,7,0),Math!E$2)</f>
        <v>9</v>
      </c>
      <c r="H10" s="8">
        <f>IFERROR(VLOOKUP($A10, All!$A$1:$AB$700,8,0),Math!F$2)</f>
        <v>1.5</v>
      </c>
      <c r="I10" s="8">
        <f>IFERROR(VLOOKUP($A10, All!$A$1:$AB$700,9,0),Math!G$2)</f>
        <v>0.9</v>
      </c>
      <c r="J10" s="8">
        <f>IFERROR(VLOOKUP($A10, All!$A$1:$AB$700,10,0),Math!H$2)</f>
        <v>1.6</v>
      </c>
      <c r="K10" s="8">
        <f>IFERROR(VLOOKUP($A10, All!$A$1:$AB$700,11,0),Math!I$2)</f>
        <v>1.6</v>
      </c>
      <c r="L10" s="8">
        <f>IFERROR(VLOOKUP($A10, All!$A$1:$AB$700,12,0),Math!J$2)</f>
        <v>14.6</v>
      </c>
      <c r="M10" s="8">
        <f>IFERROR(VLOOKUP($A10, All!$A$1:$AB$700,13,0),Math!K$2)</f>
        <v>5.9</v>
      </c>
      <c r="N10" s="8">
        <f>IFERROR(VLOOKUP($A10, All!$A$1:$AB$700,14,0),Math!L$2)</f>
        <v>11.1</v>
      </c>
      <c r="O10" s="8">
        <f>IFERROR(VLOOKUP($A10, All!$A$1:$AB$700,15,0),Math!M$2)</f>
        <v>2.5</v>
      </c>
      <c r="P10" s="8">
        <f>IFERROR(VLOOKUP($A10, All!$A$1:$AB$700,16,0),Math!N$2)</f>
        <v>3.6</v>
      </c>
      <c r="Q10" s="31">
        <f>IFERROR(VLOOKUP($A10, All!$A$1:$AB$700,17,0),0)</f>
        <v>0.97323224677655129</v>
      </c>
      <c r="R10" s="31">
        <f>IFERROR(VLOOKUP($A10, All!$A$1:$AB$700,18,0),0)</f>
        <v>-1.0929838332978696</v>
      </c>
      <c r="S10" s="31">
        <f>IFERROR(VLOOKUP($A10, All!$A$1:$AB$700,19,0),0)</f>
        <v>-1.2471922315034067</v>
      </c>
      <c r="T10" s="31">
        <f>IFERROR(VLOOKUP($A10, All!$A$1:$AB$700,20,0),0)</f>
        <v>1.1946357339235338</v>
      </c>
      <c r="U10" s="31">
        <f>IFERROR(VLOOKUP($A10, All!$A$1:$AB$700,21,0),0)</f>
        <v>-0.89513941037380029</v>
      </c>
      <c r="V10" s="31">
        <f>IFERROR(VLOOKUP($A10, All!$A$1:$AB$700,22,0),0)</f>
        <v>-0.18468519304824169</v>
      </c>
      <c r="W10" s="31">
        <f>IFERROR(VLOOKUP($A10, All!$A$1:$AB$700,23,0),0)</f>
        <v>1.6731577657672323</v>
      </c>
      <c r="X10" s="31">
        <f>IFERROR(VLOOKUP($A10, All!$A$1:$AB$700,24,0),0)</f>
        <v>0.20324251722408615</v>
      </c>
      <c r="Y10" s="31">
        <f>IFERROR(VLOOKUP($A10, All!$A$1:$AB$700,25,0),0)</f>
        <v>-0.13092664148129513</v>
      </c>
    </row>
    <row r="11" spans="1:25">
      <c r="A11" s="7" t="s">
        <v>65</v>
      </c>
      <c r="B11" s="8">
        <f>IFERROR(VLOOKUP($A11, All!$A$1:$AB$699,2,0),300)</f>
        <v>77</v>
      </c>
      <c r="C11" s="8">
        <f>IFERROR(VLOOKUP($A11, All!$A$1:$AB$699,3,0),70)</f>
        <v>66</v>
      </c>
      <c r="D11" s="8">
        <f>IFERROR(VLOOKUP($A11, All!$A$1:$AB$699,4,0),Math!B$2)</f>
        <v>0.49</v>
      </c>
      <c r="E11" s="8">
        <f>IFERROR(VLOOKUP($A11, All!$A$1:$AB$700,5,0),Math!C$2)</f>
        <v>0.79</v>
      </c>
      <c r="F11" s="8">
        <f>IFERROR(VLOOKUP($A11, All!$A$1:$AB$700,6,0),Math!D$2)</f>
        <v>1.4</v>
      </c>
      <c r="G11" s="8">
        <f>IFERROR(VLOOKUP($A11, All!$A$1:$AB$700,7,0),Math!E$2)</f>
        <v>7.6</v>
      </c>
      <c r="H11" s="8">
        <f>IFERROR(VLOOKUP($A11, All!$A$1:$AB$700,8,0),Math!F$2)</f>
        <v>1.5</v>
      </c>
      <c r="I11" s="8">
        <f>IFERROR(VLOOKUP($A11, All!$A$1:$AB$700,9,0),Math!G$2)</f>
        <v>1.1000000000000001</v>
      </c>
      <c r="J11" s="8">
        <f>IFERROR(VLOOKUP($A11, All!$A$1:$AB$700,10,0),Math!H$2)</f>
        <v>1.2</v>
      </c>
      <c r="K11" s="8">
        <f>IFERROR(VLOOKUP($A11, All!$A$1:$AB$700,11,0),Math!I$2)</f>
        <v>1.3</v>
      </c>
      <c r="L11" s="8">
        <f>IFERROR(VLOOKUP($A11, All!$A$1:$AB$700,12,0),Math!J$2)</f>
        <v>10.8</v>
      </c>
      <c r="M11" s="8">
        <f>IFERROR(VLOOKUP($A11, All!$A$1:$AB$700,13,0),Math!K$2)</f>
        <v>4</v>
      </c>
      <c r="N11" s="8">
        <f>IFERROR(VLOOKUP($A11, All!$A$1:$AB$700,14,0),Math!L$2)</f>
        <v>8.1</v>
      </c>
      <c r="O11" s="8">
        <f>IFERROR(VLOOKUP($A11, All!$A$1:$AB$700,15,0),Math!M$2)</f>
        <v>1.5</v>
      </c>
      <c r="P11" s="8">
        <f>IFERROR(VLOOKUP($A11, All!$A$1:$AB$700,16,0),Math!N$2)</f>
        <v>1.9</v>
      </c>
      <c r="Q11" s="31">
        <f>IFERROR(VLOOKUP($A11, All!$A$1:$AB$700,17,0),0)</f>
        <v>0.23383452842779492</v>
      </c>
      <c r="R11" s="31">
        <f>IFERROR(VLOOKUP($A11, All!$A$1:$AB$700,18,0),0)</f>
        <v>0.11874990650021229</v>
      </c>
      <c r="S11" s="31">
        <f>IFERROR(VLOOKUP($A11, All!$A$1:$AB$700,19,0),0)</f>
        <v>-6.0417616751029912E-2</v>
      </c>
      <c r="T11" s="31">
        <f>IFERROR(VLOOKUP($A11, All!$A$1:$AB$700,20,0),0)</f>
        <v>0.66292693484772758</v>
      </c>
      <c r="U11" s="31">
        <f>IFERROR(VLOOKUP($A11, All!$A$1:$AB$700,21,0),0)</f>
        <v>-0.89513941037380029</v>
      </c>
      <c r="V11" s="31">
        <f>IFERROR(VLOOKUP($A11, All!$A$1:$AB$700,22,0),0)</f>
        <v>0.34298678708959057</v>
      </c>
      <c r="W11" s="31">
        <f>IFERROR(VLOOKUP($A11, All!$A$1:$AB$700,23,0),0)</f>
        <v>0.93689472252532613</v>
      </c>
      <c r="X11" s="31">
        <f>IFERROR(VLOOKUP($A11, All!$A$1:$AB$700,24,0),0)</f>
        <v>0.60570294737079333</v>
      </c>
      <c r="Y11" s="31">
        <f>IFERROR(VLOOKUP($A11, All!$A$1:$AB$700,25,0),0)</f>
        <v>-0.89282746480276676</v>
      </c>
    </row>
    <row r="12" spans="1:25">
      <c r="A12" s="7" t="s">
        <v>659</v>
      </c>
      <c r="B12" s="8">
        <f>IFERROR(VLOOKUP($A12, All!$A$1:$AB$699,2,0),300)</f>
        <v>300</v>
      </c>
      <c r="C12" s="8">
        <f>IFERROR(VLOOKUP($A12, All!$A$1:$AB$699,3,0),70)</f>
        <v>70</v>
      </c>
      <c r="D12" s="8">
        <f>IFERROR(VLOOKUP($A12, All!$A$1:$AB$699,4,0),Math!B$2)</f>
        <v>0.47734999999999994</v>
      </c>
      <c r="E12" s="8">
        <f>IFERROR(VLOOKUP($A12, All!$A$1:$AB$700,5,0),Math!C$2)</f>
        <v>0.7802</v>
      </c>
      <c r="F12" s="8">
        <f>IFERROR(VLOOKUP($A12, All!$A$1:$AB$700,6,0),Math!D$2)</f>
        <v>1.4559999999999997</v>
      </c>
      <c r="G12" s="8">
        <f>IFERROR(VLOOKUP($A12, All!$A$1:$AB$700,7,0),Math!E$2)</f>
        <v>5.8545000000000016</v>
      </c>
      <c r="H12" s="8">
        <f>IFERROR(VLOOKUP($A12, All!$A$1:$AB$700,8,0),Math!F$2)</f>
        <v>3.2845000000000009</v>
      </c>
      <c r="I12" s="8">
        <f>IFERROR(VLOOKUP($A12, All!$A$1:$AB$700,9,0),Math!G$2)</f>
        <v>0.9700000000000002</v>
      </c>
      <c r="J12" s="8">
        <f>IFERROR(VLOOKUP($A12, All!$A$1:$AB$700,10,0),Math!H$2)</f>
        <v>0.6909999999999995</v>
      </c>
      <c r="K12" s="8">
        <f>IFERROR(VLOOKUP($A12, All!$A$1:$AB$700,11,0),Math!I$2)</f>
        <v>1.7514999999999994</v>
      </c>
      <c r="L12" s="8">
        <f>IFERROR(VLOOKUP($A12, All!$A$1:$AB$700,12,0),Math!J$2)</f>
        <v>15.253</v>
      </c>
      <c r="M12" s="8">
        <f>IFERROR(VLOOKUP($A12, All!$A$1:$AB$700,13,0),Math!K$2)</f>
        <v>5.6179999999999994</v>
      </c>
      <c r="N12" s="8">
        <f>IFERROR(VLOOKUP($A12, All!$A$1:$AB$700,14,0),Math!L$2)</f>
        <v>11.870500000000002</v>
      </c>
      <c r="O12" s="8">
        <f>IFERROR(VLOOKUP($A12, All!$A$1:$AB$700,15,0),Math!M$2)</f>
        <v>2.5589999999999988</v>
      </c>
      <c r="P12" s="8">
        <f>IFERROR(VLOOKUP($A12, All!$A$1:$AB$700,16,0),Math!N$2)</f>
        <v>3.2729999999999979</v>
      </c>
      <c r="Q12" s="31">
        <f>IFERROR(VLOOKUP($A12, All!$A$1:$AB$700,17,0),0)</f>
        <v>0</v>
      </c>
      <c r="R12" s="31">
        <f>IFERROR(VLOOKUP($A12, All!$A$1:$AB$700,18,0),0)</f>
        <v>0</v>
      </c>
      <c r="S12" s="31">
        <f>IFERROR(VLOOKUP($A12, All!$A$1:$AB$700,19,0),0)</f>
        <v>0</v>
      </c>
      <c r="T12" s="31">
        <f>IFERROR(VLOOKUP($A12, All!$A$1:$AB$700,20,0),0)</f>
        <v>0</v>
      </c>
      <c r="U12" s="31">
        <f>IFERROR(VLOOKUP($A12, All!$A$1:$AB$700,21,0),0)</f>
        <v>0</v>
      </c>
      <c r="V12" s="31">
        <f>IFERROR(VLOOKUP($A12, All!$A$1:$AB$700,22,0),0)</f>
        <v>0</v>
      </c>
      <c r="W12" s="31">
        <f>IFERROR(VLOOKUP($A12, All!$A$1:$AB$700,23,0),0)</f>
        <v>0</v>
      </c>
      <c r="X12" s="31">
        <f>IFERROR(VLOOKUP($A12, All!$A$1:$AB$700,24,0),0)</f>
        <v>0</v>
      </c>
      <c r="Y12" s="31">
        <f>IFERROR(VLOOKUP($A12, All!$A$1:$AB$700,25,0),0)</f>
        <v>0</v>
      </c>
    </row>
    <row r="13" spans="1:25">
      <c r="A13" s="7" t="s">
        <v>89</v>
      </c>
      <c r="B13" s="8">
        <f>IFERROR(VLOOKUP($A13, All!$A$1:$AB$699,2,0),300)</f>
        <v>127</v>
      </c>
      <c r="C13" s="8">
        <f>IFERROR(VLOOKUP($A13, All!$A$1:$AB$699,3,0),70)</f>
        <v>75</v>
      </c>
      <c r="D13" s="8">
        <f>IFERROR(VLOOKUP($A13, All!$A$1:$AB$699,4,0),Math!B$2)</f>
        <v>0.43</v>
      </c>
      <c r="E13" s="8">
        <f>IFERROR(VLOOKUP($A13, All!$A$1:$AB$700,5,0),Math!C$2)</f>
        <v>0.78</v>
      </c>
      <c r="F13" s="8">
        <f>IFERROR(VLOOKUP($A13, All!$A$1:$AB$700,6,0),Math!D$2)</f>
        <v>1.6</v>
      </c>
      <c r="G13" s="8">
        <f>IFERROR(VLOOKUP($A13, All!$A$1:$AB$700,7,0),Math!E$2)</f>
        <v>4.0999999999999996</v>
      </c>
      <c r="H13" s="8">
        <f>IFERROR(VLOOKUP($A13, All!$A$1:$AB$700,8,0),Math!F$2)</f>
        <v>4.3</v>
      </c>
      <c r="I13" s="8">
        <f>IFERROR(VLOOKUP($A13, All!$A$1:$AB$700,9,0),Math!G$2)</f>
        <v>1</v>
      </c>
      <c r="J13" s="8">
        <f>IFERROR(VLOOKUP($A13, All!$A$1:$AB$700,10,0),Math!H$2)</f>
        <v>0.7</v>
      </c>
      <c r="K13" s="8">
        <f>IFERROR(VLOOKUP($A13, All!$A$1:$AB$700,11,0),Math!I$2)</f>
        <v>1.2</v>
      </c>
      <c r="L13" s="8">
        <f>IFERROR(VLOOKUP($A13, All!$A$1:$AB$700,12,0),Math!J$2)</f>
        <v>8.8000000000000007</v>
      </c>
      <c r="M13" s="8">
        <f>IFERROR(VLOOKUP($A13, All!$A$1:$AB$700,13,0),Math!K$2)</f>
        <v>2.9</v>
      </c>
      <c r="N13" s="8">
        <f>IFERROR(VLOOKUP($A13, All!$A$1:$AB$700,14,0),Math!L$2)</f>
        <v>6.8</v>
      </c>
      <c r="O13" s="8">
        <f>IFERROR(VLOOKUP($A13, All!$A$1:$AB$700,15,0),Math!M$2)</f>
        <v>1.4</v>
      </c>
      <c r="P13" s="8">
        <f>IFERROR(VLOOKUP($A13, All!$A$1:$AB$700,16,0),Math!N$2)</f>
        <v>1.8</v>
      </c>
      <c r="Q13" s="31">
        <f>IFERROR(VLOOKUP($A13, All!$A$1:$AB$700,17,0),0)</f>
        <v>-0.87526204909533856</v>
      </c>
      <c r="R13" s="31">
        <f>IFERROR(VLOOKUP($A13, All!$A$1:$AB$700,18,0),0)</f>
        <v>-2.4234674795958946E-3</v>
      </c>
      <c r="S13" s="31">
        <f>IFERROR(VLOOKUP($A13, All!$A$1:$AB$700,19,0),0)</f>
        <v>0.15535958593122062</v>
      </c>
      <c r="T13" s="31">
        <f>IFERROR(VLOOKUP($A13, All!$A$1:$AB$700,20,0),0)</f>
        <v>-0.66634506284178774</v>
      </c>
      <c r="U13" s="31">
        <f>IFERROR(VLOOKUP($A13, All!$A$1:$AB$700,21,0),0)</f>
        <v>0.50939426799360765</v>
      </c>
      <c r="V13" s="31">
        <f>IFERROR(VLOOKUP($A13, All!$A$1:$AB$700,22,0),0)</f>
        <v>7.9150797020674304E-2</v>
      </c>
      <c r="W13" s="31">
        <f>IFERROR(VLOOKUP($A13, All!$A$1:$AB$700,23,0),0)</f>
        <v>1.6565918472943714E-2</v>
      </c>
      <c r="X13" s="31">
        <f>IFERROR(VLOOKUP($A13, All!$A$1:$AB$700,24,0),0)</f>
        <v>0.73985642408636254</v>
      </c>
      <c r="Y13" s="31">
        <f>IFERROR(VLOOKUP($A13, All!$A$1:$AB$700,25,0),0)</f>
        <v>-1.2938278981298572</v>
      </c>
    </row>
    <row r="14" spans="1:25">
      <c r="A14" s="7" t="s">
        <v>658</v>
      </c>
      <c r="B14" s="8">
        <f>IFERROR(VLOOKUP($A14, All!$A$1:$AB$699,2,0),300)</f>
        <v>139</v>
      </c>
      <c r="C14" s="8">
        <f>IFERROR(VLOOKUP($A14, All!$A$1:$AB$699,3,0),70)</f>
        <v>78</v>
      </c>
      <c r="D14" s="8">
        <f>IFERROR(VLOOKUP($A14, All!$A$1:$AB$699,4,0),Math!B$2)</f>
        <v>0.59</v>
      </c>
      <c r="E14" s="8">
        <f>IFERROR(VLOOKUP($A14, All!$A$1:$AB$700,5,0),Math!C$2)</f>
        <v>0.75</v>
      </c>
      <c r="F14" s="8">
        <f>IFERROR(VLOOKUP($A14, All!$A$1:$AB$700,6,0),Math!D$2)</f>
        <v>0</v>
      </c>
      <c r="G14" s="8">
        <f>IFERROR(VLOOKUP($A14, All!$A$1:$AB$700,7,0),Math!E$2)</f>
        <v>5.2</v>
      </c>
      <c r="H14" s="8">
        <f>IFERROR(VLOOKUP($A14, All!$A$1:$AB$700,8,0),Math!F$2)</f>
        <v>0.7</v>
      </c>
      <c r="I14" s="8">
        <f>IFERROR(VLOOKUP($A14, All!$A$1:$AB$700,9,0),Math!G$2)</f>
        <v>1.1000000000000001</v>
      </c>
      <c r="J14" s="8">
        <f>IFERROR(VLOOKUP($A14, All!$A$1:$AB$700,10,0),Math!H$2)</f>
        <v>1.5</v>
      </c>
      <c r="K14" s="8">
        <f>IFERROR(VLOOKUP($A14, All!$A$1:$AB$700,11,0),Math!I$2)</f>
        <v>0.7</v>
      </c>
      <c r="L14" s="8">
        <f>IFERROR(VLOOKUP($A14, All!$A$1:$AB$700,12,0),Math!J$2)</f>
        <v>6</v>
      </c>
      <c r="M14" s="8">
        <f>IFERROR(VLOOKUP($A14, All!$A$1:$AB$700,13,0),Math!K$2)</f>
        <v>2.6</v>
      </c>
      <c r="N14" s="8">
        <f>IFERROR(VLOOKUP($A14, All!$A$1:$AB$700,14,0),Math!L$2)</f>
        <v>4.4000000000000004</v>
      </c>
      <c r="O14" s="8">
        <f>IFERROR(VLOOKUP($A14, All!$A$1:$AB$700,15,0),Math!M$2)</f>
        <v>0.9</v>
      </c>
      <c r="P14" s="8">
        <f>IFERROR(VLOOKUP($A14, All!$A$1:$AB$700,16,0),Math!N$2)</f>
        <v>1.2</v>
      </c>
      <c r="Q14" s="31">
        <f>IFERROR(VLOOKUP($A14, All!$A$1:$AB$700,17,0),0)</f>
        <v>2.0823288242996836</v>
      </c>
      <c r="R14" s="31">
        <f>IFERROR(VLOOKUP($A14, All!$A$1:$AB$700,18,0),0)</f>
        <v>-0.3659435894190205</v>
      </c>
      <c r="S14" s="31">
        <f>IFERROR(VLOOKUP($A14, All!$A$1:$AB$700,19,0),0)</f>
        <v>-1.5708580355267823</v>
      </c>
      <c r="T14" s="31">
        <f>IFERROR(VLOOKUP($A14, All!$A$1:$AB$700,20,0),0)</f>
        <v>-0.2485738635679399</v>
      </c>
      <c r="U14" s="31">
        <f>IFERROR(VLOOKUP($A14, All!$A$1:$AB$700,21,0),0)</f>
        <v>-1.2964347470502027</v>
      </c>
      <c r="V14" s="31">
        <f>IFERROR(VLOOKUP($A14, All!$A$1:$AB$700,22,0),0)</f>
        <v>0.34298678708959057</v>
      </c>
      <c r="W14" s="31">
        <f>IFERROR(VLOOKUP($A14, All!$A$1:$AB$700,23,0),0)</f>
        <v>1.4890920049567555</v>
      </c>
      <c r="X14" s="31">
        <f>IFERROR(VLOOKUP($A14, All!$A$1:$AB$700,24,0),0)</f>
        <v>1.4106238076642077</v>
      </c>
      <c r="Y14" s="31">
        <f>IFERROR(VLOOKUP($A14, All!$A$1:$AB$700,25,0),0)</f>
        <v>-1.8552285047877841</v>
      </c>
    </row>
    <row r="16" spans="1:25">
      <c r="A16" s="9" t="s">
        <v>123</v>
      </c>
      <c r="B16" s="2" t="s">
        <v>121</v>
      </c>
      <c r="C16" s="10" t="s">
        <v>122</v>
      </c>
      <c r="D16" s="12" t="s">
        <v>129</v>
      </c>
      <c r="E16" s="12" t="s">
        <v>130</v>
      </c>
      <c r="F16" s="11" t="s">
        <v>5</v>
      </c>
      <c r="G16" s="11" t="s">
        <v>6</v>
      </c>
      <c r="H16" s="11" t="s">
        <v>7</v>
      </c>
      <c r="I16" s="11" t="s">
        <v>8</v>
      </c>
      <c r="J16" s="11" t="s">
        <v>9</v>
      </c>
      <c r="K16" s="11" t="s">
        <v>10</v>
      </c>
      <c r="L16" s="11" t="s">
        <v>11</v>
      </c>
      <c r="M16" s="12" t="s">
        <v>12</v>
      </c>
      <c r="N16" s="12" t="s">
        <v>13</v>
      </c>
      <c r="O16" s="4" t="s">
        <v>125</v>
      </c>
      <c r="P16" s="17" t="s">
        <v>126</v>
      </c>
      <c r="Q16" s="17" t="s">
        <v>127</v>
      </c>
      <c r="R16" s="18" t="s">
        <v>128</v>
      </c>
    </row>
    <row r="17" spans="1:18">
      <c r="A17" s="6"/>
      <c r="B17" s="15">
        <f t="shared" ref="B17:N17" si="0">AVERAGE(B2:B14)</f>
        <v>74.84615384615384</v>
      </c>
      <c r="C17" s="15">
        <f t="shared" si="0"/>
        <v>71.15384615384616</v>
      </c>
      <c r="D17" s="15">
        <f t="shared" si="0"/>
        <v>0.49748846153846149</v>
      </c>
      <c r="E17" s="15">
        <f t="shared" si="0"/>
        <v>0.80155384615384606</v>
      </c>
      <c r="F17" s="15">
        <f t="shared" si="0"/>
        <v>1.419692307692308</v>
      </c>
      <c r="G17" s="15">
        <f t="shared" si="0"/>
        <v>6.5811153846153854</v>
      </c>
      <c r="H17" s="15">
        <f t="shared" si="0"/>
        <v>3.1603461538461537</v>
      </c>
      <c r="I17" s="15">
        <f t="shared" si="0"/>
        <v>1.1053846153846154</v>
      </c>
      <c r="J17" s="15">
        <f t="shared" si="0"/>
        <v>0.89930769230769214</v>
      </c>
      <c r="K17" s="15">
        <f t="shared" si="0"/>
        <v>1.8501153846153844</v>
      </c>
      <c r="L17" s="15">
        <f t="shared" si="0"/>
        <v>16.581</v>
      </c>
      <c r="M17" s="15">
        <f t="shared" si="0"/>
        <v>5.9013846153846146</v>
      </c>
      <c r="N17" s="15">
        <f t="shared" si="0"/>
        <v>11.96696153846154</v>
      </c>
      <c r="O17" s="16">
        <f>M17/N17</f>
        <v>0.49313976621531702</v>
      </c>
      <c r="P17" s="16">
        <f>AVERAGE(O2:O14)</f>
        <v>3.3814615384615383</v>
      </c>
      <c r="Q17" s="16">
        <f>AVERAGE(P2:P14)</f>
        <v>4.1594615384615388</v>
      </c>
      <c r="R17" s="15">
        <f>P17/Q17</f>
        <v>0.81295655872616635</v>
      </c>
    </row>
    <row r="19" spans="1:18">
      <c r="A19" s="13" t="s">
        <v>124</v>
      </c>
      <c r="B19" s="11" t="s">
        <v>3</v>
      </c>
      <c r="C19" s="11" t="s">
        <v>4</v>
      </c>
      <c r="D19" s="11" t="s">
        <v>5</v>
      </c>
      <c r="E19" s="11" t="s">
        <v>6</v>
      </c>
      <c r="F19" s="11" t="s">
        <v>7</v>
      </c>
      <c r="G19" s="11" t="s">
        <v>8</v>
      </c>
      <c r="H19" s="11" t="s">
        <v>9</v>
      </c>
      <c r="I19" s="11" t="s">
        <v>10</v>
      </c>
      <c r="J19" s="11" t="s">
        <v>11</v>
      </c>
      <c r="K19" s="12" t="s">
        <v>12</v>
      </c>
      <c r="L19" s="12" t="s">
        <v>13</v>
      </c>
      <c r="M19" s="12" t="s">
        <v>126</v>
      </c>
      <c r="N19" s="12" t="s">
        <v>127</v>
      </c>
    </row>
    <row r="20" spans="1:18">
      <c r="A20" s="6"/>
      <c r="B20" s="16">
        <f>K20/L20</f>
        <v>0.49313976621531708</v>
      </c>
      <c r="C20" s="15">
        <f>M20/N20</f>
        <v>0.81295655872616635</v>
      </c>
      <c r="D20" s="15">
        <f t="shared" ref="D20:N20" si="1">SUM(F2:F14)</f>
        <v>18.456000000000003</v>
      </c>
      <c r="E20" s="15">
        <f t="shared" si="1"/>
        <v>85.554500000000004</v>
      </c>
      <c r="F20" s="15">
        <f t="shared" si="1"/>
        <v>41.084499999999998</v>
      </c>
      <c r="G20" s="15">
        <f t="shared" si="1"/>
        <v>14.370000000000001</v>
      </c>
      <c r="H20" s="15">
        <f t="shared" si="1"/>
        <v>11.690999999999997</v>
      </c>
      <c r="I20" s="15">
        <f t="shared" si="1"/>
        <v>24.051499999999997</v>
      </c>
      <c r="J20" s="15">
        <f t="shared" si="1"/>
        <v>215.553</v>
      </c>
      <c r="K20" s="15">
        <f t="shared" si="1"/>
        <v>76.717999999999989</v>
      </c>
      <c r="L20" s="15">
        <f t="shared" si="1"/>
        <v>155.57050000000001</v>
      </c>
      <c r="M20" s="15">
        <f t="shared" si="1"/>
        <v>43.958999999999996</v>
      </c>
      <c r="N20" s="15">
        <f t="shared" si="1"/>
        <v>54.073</v>
      </c>
    </row>
  </sheetData>
  <sortState xmlns:xlrd2="http://schemas.microsoft.com/office/spreadsheetml/2017/richdata2" ref="A2:P14">
    <sortCondition ref="B2"/>
  </sortState>
  <conditionalFormatting sqref="D2:D14">
    <cfRule type="colorScale" priority="18">
      <colorScale>
        <cfvo type="min"/>
        <cfvo type="percentile" val="50"/>
        <cfvo type="max"/>
        <color rgb="FFF8696B"/>
        <color rgb="FFFFEB84"/>
        <color rgb="FF63BE7B"/>
      </colorScale>
    </cfRule>
  </conditionalFormatting>
  <conditionalFormatting sqref="E2:E14">
    <cfRule type="colorScale" priority="17">
      <colorScale>
        <cfvo type="min"/>
        <cfvo type="percentile" val="50"/>
        <cfvo type="max"/>
        <color rgb="FFF8696B"/>
        <color rgb="FFFFEB84"/>
        <color rgb="FF63BE7B"/>
      </colorScale>
    </cfRule>
  </conditionalFormatting>
  <conditionalFormatting sqref="F2:F14">
    <cfRule type="colorScale" priority="16">
      <colorScale>
        <cfvo type="min"/>
        <cfvo type="percentile" val="50"/>
        <cfvo type="max"/>
        <color rgb="FFF8696B"/>
        <color rgb="FFFFEB84"/>
        <color rgb="FF63BE7B"/>
      </colorScale>
    </cfRule>
  </conditionalFormatting>
  <conditionalFormatting sqref="G2:G14">
    <cfRule type="colorScale" priority="15">
      <colorScale>
        <cfvo type="min"/>
        <cfvo type="percentile" val="50"/>
        <cfvo type="max"/>
        <color rgb="FFF8696B"/>
        <color rgb="FFFFEB84"/>
        <color rgb="FF63BE7B"/>
      </colorScale>
    </cfRule>
  </conditionalFormatting>
  <conditionalFormatting sqref="H2:H14">
    <cfRule type="colorScale" priority="14">
      <colorScale>
        <cfvo type="min"/>
        <cfvo type="percentile" val="50"/>
        <cfvo type="max"/>
        <color rgb="FFF8696B"/>
        <color rgb="FFFFEB84"/>
        <color rgb="FF63BE7B"/>
      </colorScale>
    </cfRule>
  </conditionalFormatting>
  <conditionalFormatting sqref="I2:I14">
    <cfRule type="colorScale" priority="13">
      <colorScale>
        <cfvo type="min"/>
        <cfvo type="percentile" val="50"/>
        <cfvo type="max"/>
        <color rgb="FFF8696B"/>
        <color rgb="FFFFEB84"/>
        <color rgb="FF63BE7B"/>
      </colorScale>
    </cfRule>
  </conditionalFormatting>
  <conditionalFormatting sqref="J2:J14">
    <cfRule type="colorScale" priority="12">
      <colorScale>
        <cfvo type="min"/>
        <cfvo type="percentile" val="50"/>
        <cfvo type="max"/>
        <color rgb="FFF8696B"/>
        <color rgb="FFFFEB84"/>
        <color rgb="FF63BE7B"/>
      </colorScale>
    </cfRule>
  </conditionalFormatting>
  <conditionalFormatting sqref="K2:K14">
    <cfRule type="colorScale" priority="11">
      <colorScale>
        <cfvo type="min"/>
        <cfvo type="percentile" val="50"/>
        <cfvo type="max"/>
        <color rgb="FF63BE7B"/>
        <color rgb="FFFFEB84"/>
        <color rgb="FFF8696B"/>
      </colorScale>
    </cfRule>
  </conditionalFormatting>
  <conditionalFormatting sqref="L2:L14">
    <cfRule type="colorScale" priority="10">
      <colorScale>
        <cfvo type="min"/>
        <cfvo type="percentile" val="50"/>
        <cfvo type="max"/>
        <color rgb="FFF8696B"/>
        <color rgb="FFFFEB84"/>
        <color rgb="FF63BE7B"/>
      </colorScale>
    </cfRule>
  </conditionalFormatting>
  <conditionalFormatting sqref="Q2:Q14">
    <cfRule type="colorScale" priority="9">
      <colorScale>
        <cfvo type="min"/>
        <cfvo type="percentile" val="50"/>
        <cfvo type="max"/>
        <color rgb="FFF8696B"/>
        <color rgb="FFFFEB84"/>
        <color rgb="FF63BE7B"/>
      </colorScale>
    </cfRule>
  </conditionalFormatting>
  <conditionalFormatting sqref="R2:R14">
    <cfRule type="colorScale" priority="8">
      <colorScale>
        <cfvo type="min"/>
        <cfvo type="percentile" val="50"/>
        <cfvo type="max"/>
        <color rgb="FFF8696B"/>
        <color rgb="FFFFEB84"/>
        <color rgb="FF63BE7B"/>
      </colorScale>
    </cfRule>
  </conditionalFormatting>
  <conditionalFormatting sqref="S2:S14">
    <cfRule type="colorScale" priority="7">
      <colorScale>
        <cfvo type="min"/>
        <cfvo type="percentile" val="50"/>
        <cfvo type="max"/>
        <color rgb="FFF8696B"/>
        <color rgb="FFFFEB84"/>
        <color rgb="FF63BE7B"/>
      </colorScale>
    </cfRule>
  </conditionalFormatting>
  <conditionalFormatting sqref="T2:T14">
    <cfRule type="colorScale" priority="6">
      <colorScale>
        <cfvo type="min"/>
        <cfvo type="percentile" val="50"/>
        <cfvo type="max"/>
        <color rgb="FFF8696B"/>
        <color rgb="FFFFEB84"/>
        <color rgb="FF63BE7B"/>
      </colorScale>
    </cfRule>
  </conditionalFormatting>
  <conditionalFormatting sqref="U2:U14">
    <cfRule type="colorScale" priority="5">
      <colorScale>
        <cfvo type="min"/>
        <cfvo type="percentile" val="50"/>
        <cfvo type="max"/>
        <color rgb="FFF8696B"/>
        <color rgb="FFFFEB84"/>
        <color rgb="FF63BE7B"/>
      </colorScale>
    </cfRule>
  </conditionalFormatting>
  <conditionalFormatting sqref="V2:V14">
    <cfRule type="colorScale" priority="4">
      <colorScale>
        <cfvo type="min"/>
        <cfvo type="percentile" val="50"/>
        <cfvo type="max"/>
        <color rgb="FFF8696B"/>
        <color rgb="FFFFEB84"/>
        <color rgb="FF63BE7B"/>
      </colorScale>
    </cfRule>
  </conditionalFormatting>
  <conditionalFormatting sqref="W2:W14">
    <cfRule type="colorScale" priority="3">
      <colorScale>
        <cfvo type="min"/>
        <cfvo type="percentile" val="50"/>
        <cfvo type="max"/>
        <color rgb="FFF8696B"/>
        <color rgb="FFFFEB84"/>
        <color rgb="FF63BE7B"/>
      </colorScale>
    </cfRule>
  </conditionalFormatting>
  <conditionalFormatting sqref="X2:X14">
    <cfRule type="colorScale" priority="2">
      <colorScale>
        <cfvo type="min"/>
        <cfvo type="percentile" val="50"/>
        <cfvo type="max"/>
        <color rgb="FFF8696B"/>
        <color rgb="FFFFEB84"/>
        <color rgb="FF63BE7B"/>
      </colorScale>
    </cfRule>
  </conditionalFormatting>
  <conditionalFormatting sqref="Y2:Y14">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7E09D-BF64-6243-AA8E-F47010474C6C}">
  <sheetPr codeName="Sheet8"/>
  <dimension ref="A1:Y20"/>
  <sheetViews>
    <sheetView workbookViewId="0">
      <selection activeCell="B29" sqref="B29"/>
    </sheetView>
  </sheetViews>
  <sheetFormatPr baseColWidth="10" defaultRowHeight="16"/>
  <cols>
    <col min="1" max="1" width="18.83203125" customWidth="1"/>
  </cols>
  <sheetData>
    <row r="1" spans="1:25">
      <c r="A1" s="1" t="s">
        <v>0</v>
      </c>
      <c r="B1" s="2" t="s">
        <v>1</v>
      </c>
      <c r="C1" s="3" t="s">
        <v>2</v>
      </c>
      <c r="D1" s="4" t="s">
        <v>3</v>
      </c>
      <c r="E1" s="4" t="s">
        <v>4</v>
      </c>
      <c r="F1" s="4" t="s">
        <v>5</v>
      </c>
      <c r="G1" s="4" t="s">
        <v>6</v>
      </c>
      <c r="H1" s="4" t="s">
        <v>7</v>
      </c>
      <c r="I1" s="4" t="s">
        <v>8</v>
      </c>
      <c r="J1" s="4" t="s">
        <v>9</v>
      </c>
      <c r="K1" s="4" t="s">
        <v>10</v>
      </c>
      <c r="L1" s="4" t="s">
        <v>11</v>
      </c>
      <c r="M1" s="5" t="s">
        <v>12</v>
      </c>
      <c r="N1" s="5" t="s">
        <v>13</v>
      </c>
      <c r="O1" s="5" t="s">
        <v>126</v>
      </c>
      <c r="P1" s="5" t="s">
        <v>127</v>
      </c>
      <c r="Q1" s="27" t="s">
        <v>144</v>
      </c>
      <c r="R1" s="28" t="s">
        <v>145</v>
      </c>
      <c r="S1" s="29" t="s">
        <v>146</v>
      </c>
      <c r="T1" s="29" t="s">
        <v>147</v>
      </c>
      <c r="U1" s="29" t="s">
        <v>148</v>
      </c>
      <c r="V1" s="29" t="s">
        <v>149</v>
      </c>
      <c r="W1" s="29" t="s">
        <v>150</v>
      </c>
      <c r="X1" s="29" t="s">
        <v>151</v>
      </c>
      <c r="Y1" s="29" t="s">
        <v>152</v>
      </c>
    </row>
    <row r="2" spans="1:25">
      <c r="A2" s="7" t="s">
        <v>532</v>
      </c>
      <c r="B2" s="8">
        <f>IFERROR(VLOOKUP($A2, All!$A$1:$AB$699,2,0),300)</f>
        <v>13</v>
      </c>
      <c r="C2" s="8">
        <f>IFERROR(VLOOKUP($A2, All!$A$1:$AB$699,3,0),70)</f>
        <v>68</v>
      </c>
      <c r="D2" s="8">
        <f>IFERROR(VLOOKUP($A2, All!$A$1:$AB$699,4,0),Math!B$2)</f>
        <v>0.46</v>
      </c>
      <c r="E2" s="8">
        <f>IFERROR(VLOOKUP($A2, All!$A$1:$AB$700,5,0),Math!C$2)</f>
        <v>0.87</v>
      </c>
      <c r="F2" s="8">
        <f>IFERROR(VLOOKUP($A2, All!$A$1:$AB$700,6,0),Math!D$2)</f>
        <v>2.7</v>
      </c>
      <c r="G2" s="8">
        <f>IFERROR(VLOOKUP($A2, All!$A$1:$AB$700,7,0),Math!E$2)</f>
        <v>3.9</v>
      </c>
      <c r="H2" s="8">
        <f>IFERROR(VLOOKUP($A2, All!$A$1:$AB$700,8,0),Math!F$2)</f>
        <v>7.2</v>
      </c>
      <c r="I2" s="8">
        <f>IFERROR(VLOOKUP($A2, All!$A$1:$AB$700,9,0),Math!G$2)</f>
        <v>1.4</v>
      </c>
      <c r="J2" s="8">
        <f>IFERROR(VLOOKUP($A2, All!$A$1:$AB$700,10,0),Math!H$2)</f>
        <v>0.4</v>
      </c>
      <c r="K2" s="8">
        <f>IFERROR(VLOOKUP($A2, All!$A$1:$AB$700,11,0),Math!I$2)</f>
        <v>2.6</v>
      </c>
      <c r="L2" s="8">
        <f>IFERROR(VLOOKUP($A2, All!$A$1:$AB$700,12,0),Math!J$2)</f>
        <v>25.1</v>
      </c>
      <c r="M2" s="8">
        <f>IFERROR(VLOOKUP($A2, All!$A$1:$AB$700,13,0),Math!K$2)</f>
        <v>9.5</v>
      </c>
      <c r="N2" s="8">
        <f>IFERROR(VLOOKUP($A2, All!$A$1:$AB$700,14,0),Math!L$2)</f>
        <v>20.5</v>
      </c>
      <c r="O2" s="8">
        <f>IFERROR(VLOOKUP($A2, All!$A$1:$AB$700,15,0),Math!M$2)</f>
        <v>3.4</v>
      </c>
      <c r="P2" s="8">
        <f>IFERROR(VLOOKUP($A2, All!$A$1:$AB$700,16,0),Math!N$2)</f>
        <v>3.9</v>
      </c>
      <c r="Q2" s="31">
        <f>IFERROR(VLOOKUP($A2, All!$A$1:$AB$700,17,0),0)</f>
        <v>-0.3207137603337713</v>
      </c>
      <c r="R2" s="31">
        <f>IFERROR(VLOOKUP($A2, All!$A$1:$AB$700,18,0),0)</f>
        <v>1.0881368983386766</v>
      </c>
      <c r="S2" s="31">
        <f>IFERROR(VLOOKUP($A2, All!$A$1:$AB$700,19,0),0)</f>
        <v>1.3421342006835977</v>
      </c>
      <c r="T2" s="31">
        <f>IFERROR(VLOOKUP($A2, All!$A$1:$AB$700,20,0),0)</f>
        <v>-0.74230346270976</v>
      </c>
      <c r="U2" s="31">
        <f>IFERROR(VLOOKUP($A2, All!$A$1:$AB$700,21,0),0)</f>
        <v>1.9640898634455661</v>
      </c>
      <c r="V2" s="31">
        <f>IFERROR(VLOOKUP($A2, All!$A$1:$AB$700,22,0),0)</f>
        <v>1.1344947572963382</v>
      </c>
      <c r="W2" s="31">
        <f>IFERROR(VLOOKUP($A2, All!$A$1:$AB$700,23,0),0)</f>
        <v>-0.53563136395848565</v>
      </c>
      <c r="X2" s="31">
        <f>IFERROR(VLOOKUP($A2, All!$A$1:$AB$700,24,0),0)</f>
        <v>-1.1382922499316042</v>
      </c>
      <c r="Y2" s="31">
        <f>IFERROR(VLOOKUP($A2, All!$A$1:$AB$700,25,0),0)</f>
        <v>1.97432563348593</v>
      </c>
    </row>
    <row r="3" spans="1:25">
      <c r="A3" s="7" t="s">
        <v>19</v>
      </c>
      <c r="B3" s="8">
        <f>IFERROR(VLOOKUP($A3, All!$A$1:$AB$699,2,0),300)</f>
        <v>14</v>
      </c>
      <c r="C3" s="8">
        <f>IFERROR(VLOOKUP($A3, All!$A$1:$AB$699,3,0),70)</f>
        <v>78</v>
      </c>
      <c r="D3" s="8">
        <f>IFERROR(VLOOKUP($A3, All!$A$1:$AB$699,4,0),Math!B$2)</f>
        <v>0.47</v>
      </c>
      <c r="E3" s="8">
        <f>IFERROR(VLOOKUP($A3, All!$A$1:$AB$700,5,0),Math!C$2)</f>
        <v>0.8</v>
      </c>
      <c r="F3" s="8">
        <f>IFERROR(VLOOKUP($A3, All!$A$1:$AB$700,6,0),Math!D$2)</f>
        <v>2.5</v>
      </c>
      <c r="G3" s="8">
        <f>IFERROR(VLOOKUP($A3, All!$A$1:$AB$700,7,0),Math!E$2)</f>
        <v>5.3</v>
      </c>
      <c r="H3" s="8">
        <f>IFERROR(VLOOKUP($A3, All!$A$1:$AB$700,8,0),Math!F$2)</f>
        <v>5.5</v>
      </c>
      <c r="I3" s="8">
        <f>IFERROR(VLOOKUP($A3, All!$A$1:$AB$700,9,0),Math!G$2)</f>
        <v>1.4</v>
      </c>
      <c r="J3" s="8">
        <f>IFERROR(VLOOKUP($A3, All!$A$1:$AB$700,10,0),Math!H$2)</f>
        <v>0.7</v>
      </c>
      <c r="K3" s="8">
        <f>IFERROR(VLOOKUP($A3, All!$A$1:$AB$700,11,0),Math!I$2)</f>
        <v>2.6</v>
      </c>
      <c r="L3" s="8">
        <f>IFERROR(VLOOKUP($A3, All!$A$1:$AB$700,12,0),Math!J$2)</f>
        <v>26.7</v>
      </c>
      <c r="M3" s="8">
        <f>IFERROR(VLOOKUP($A3, All!$A$1:$AB$700,13,0),Math!K$2)</f>
        <v>9.9</v>
      </c>
      <c r="N3" s="8">
        <f>IFERROR(VLOOKUP($A3, All!$A$1:$AB$700,14,0),Math!L$2)</f>
        <v>21.1</v>
      </c>
      <c r="O3" s="8">
        <f>IFERROR(VLOOKUP($A3, All!$A$1:$AB$700,15,0),Math!M$2)</f>
        <v>4.4000000000000004</v>
      </c>
      <c r="P3" s="8">
        <f>IFERROR(VLOOKUP($A3, All!$A$1:$AB$700,16,0),Math!N$2)</f>
        <v>5.5</v>
      </c>
      <c r="Q3" s="31">
        <f>IFERROR(VLOOKUP($A3, All!$A$1:$AB$700,17,0),0)</f>
        <v>-0.13586433074658327</v>
      </c>
      <c r="R3" s="31">
        <f>IFERROR(VLOOKUP($A3, All!$A$1:$AB$700,18,0),0)</f>
        <v>0.23992328048002048</v>
      </c>
      <c r="S3" s="31">
        <f>IFERROR(VLOOKUP($A3, All!$A$1:$AB$700,19,0),0)</f>
        <v>1.126356998001347</v>
      </c>
      <c r="T3" s="31">
        <f>IFERROR(VLOOKUP($A3, All!$A$1:$AB$700,20,0),0)</f>
        <v>-0.21059466363395388</v>
      </c>
      <c r="U3" s="31">
        <f>IFERROR(VLOOKUP($A3, All!$A$1:$AB$700,21,0),0)</f>
        <v>1.1113372730082112</v>
      </c>
      <c r="V3" s="31">
        <f>IFERROR(VLOOKUP($A3, All!$A$1:$AB$700,22,0),0)</f>
        <v>1.1344947572963382</v>
      </c>
      <c r="W3" s="31">
        <f>IFERROR(VLOOKUP($A3, All!$A$1:$AB$700,23,0),0)</f>
        <v>1.6565918472943714E-2</v>
      </c>
      <c r="X3" s="31">
        <f>IFERROR(VLOOKUP($A3, All!$A$1:$AB$700,24,0),0)</f>
        <v>-1.1382922499316042</v>
      </c>
      <c r="Y3" s="31">
        <f>IFERROR(VLOOKUP($A3, All!$A$1:$AB$700,25,0),0)</f>
        <v>2.2951259801476018</v>
      </c>
    </row>
    <row r="4" spans="1:25">
      <c r="A4" s="7" t="s">
        <v>535</v>
      </c>
      <c r="B4" s="8">
        <f>IFERROR(VLOOKUP($A4, All!$A$1:$AB$699,2,0),300)</f>
        <v>16</v>
      </c>
      <c r="C4" s="8">
        <f>IFERROR(VLOOKUP($A4, All!$A$1:$AB$699,3,0),70)</f>
        <v>80</v>
      </c>
      <c r="D4" s="8">
        <f>IFERROR(VLOOKUP($A4, All!$A$1:$AB$699,4,0),Math!B$2)</f>
        <v>0.45</v>
      </c>
      <c r="E4" s="8">
        <f>IFERROR(VLOOKUP($A4, All!$A$1:$AB$700,5,0),Math!C$2)</f>
        <v>0.84</v>
      </c>
      <c r="F4" s="8">
        <f>IFERROR(VLOOKUP($A4, All!$A$1:$AB$700,6,0),Math!D$2)</f>
        <v>3.2</v>
      </c>
      <c r="G4" s="8">
        <f>IFERROR(VLOOKUP($A4, All!$A$1:$AB$700,7,0),Math!E$2)</f>
        <v>4.0999999999999996</v>
      </c>
      <c r="H4" s="8">
        <f>IFERROR(VLOOKUP($A4, All!$A$1:$AB$700,8,0),Math!F$2)</f>
        <v>5.9</v>
      </c>
      <c r="I4" s="8">
        <f>IFERROR(VLOOKUP($A4, All!$A$1:$AB$700,9,0),Math!G$2)</f>
        <v>1.1000000000000001</v>
      </c>
      <c r="J4" s="8">
        <f>IFERROR(VLOOKUP($A4, All!$A$1:$AB$700,10,0),Math!H$2)</f>
        <v>0.4</v>
      </c>
      <c r="K4" s="8">
        <f>IFERROR(VLOOKUP($A4, All!$A$1:$AB$700,11,0),Math!I$2)</f>
        <v>2.5</v>
      </c>
      <c r="L4" s="8">
        <f>IFERROR(VLOOKUP($A4, All!$A$1:$AB$700,12,0),Math!J$2)</f>
        <v>24.9</v>
      </c>
      <c r="M4" s="8">
        <f>IFERROR(VLOOKUP($A4, All!$A$1:$AB$700,13,0),Math!K$2)</f>
        <v>8.6</v>
      </c>
      <c r="N4" s="8">
        <f>IFERROR(VLOOKUP($A4, All!$A$1:$AB$700,14,0),Math!L$2)</f>
        <v>19</v>
      </c>
      <c r="O4" s="8">
        <f>IFERROR(VLOOKUP($A4, All!$A$1:$AB$700,15,0),Math!M$2)</f>
        <v>4.5999999999999996</v>
      </c>
      <c r="P4" s="8">
        <f>IFERROR(VLOOKUP($A4, All!$A$1:$AB$700,16,0),Math!N$2)</f>
        <v>5.5</v>
      </c>
      <c r="Q4" s="31">
        <f>IFERROR(VLOOKUP($A4, All!$A$1:$AB$700,17,0),0)</f>
        <v>-0.50556318992096039</v>
      </c>
      <c r="R4" s="31">
        <f>IFERROR(VLOOKUP($A4, All!$A$1:$AB$700,18,0),0)</f>
        <v>0.72461677639925193</v>
      </c>
      <c r="S4" s="31">
        <f>IFERROR(VLOOKUP($A4, All!$A$1:$AB$700,19,0),0)</f>
        <v>1.8815772073892234</v>
      </c>
      <c r="T4" s="31">
        <f>IFERROR(VLOOKUP($A4, All!$A$1:$AB$700,20,0),0)</f>
        <v>-0.66634506284178774</v>
      </c>
      <c r="U4" s="31">
        <f>IFERROR(VLOOKUP($A4, All!$A$1:$AB$700,21,0),0)</f>
        <v>1.3119849413464124</v>
      </c>
      <c r="V4" s="31">
        <f>IFERROR(VLOOKUP($A4, All!$A$1:$AB$700,22,0),0)</f>
        <v>0.34298678708959057</v>
      </c>
      <c r="W4" s="31">
        <f>IFERROR(VLOOKUP($A4, All!$A$1:$AB$700,23,0),0)</f>
        <v>-0.53563136395848565</v>
      </c>
      <c r="X4" s="31">
        <f>IFERROR(VLOOKUP($A4, All!$A$1:$AB$700,24,0),0)</f>
        <v>-1.0041387732160352</v>
      </c>
      <c r="Y4" s="31">
        <f>IFERROR(VLOOKUP($A4, All!$A$1:$AB$700,25,0),0)</f>
        <v>1.9342255901532206</v>
      </c>
    </row>
    <row r="5" spans="1:25">
      <c r="A5" s="7" t="s">
        <v>652</v>
      </c>
      <c r="B5" s="8">
        <f>IFERROR(VLOOKUP($A5, All!$A$1:$AB$699,2,0),300)</f>
        <v>49</v>
      </c>
      <c r="C5" s="8">
        <f>IFERROR(VLOOKUP($A5, All!$A$1:$AB$699,3,0),70)</f>
        <v>78</v>
      </c>
      <c r="D5" s="8">
        <f>IFERROR(VLOOKUP($A5, All!$A$1:$AB$699,4,0),Math!B$2)</f>
        <v>0.44</v>
      </c>
      <c r="E5" s="8">
        <f>IFERROR(VLOOKUP($A5, All!$A$1:$AB$700,5,0),Math!C$2)</f>
        <v>0.81</v>
      </c>
      <c r="F5" s="8">
        <f>IFERROR(VLOOKUP($A5, All!$A$1:$AB$700,6,0),Math!D$2)</f>
        <v>2.6</v>
      </c>
      <c r="G5" s="8">
        <f>IFERROR(VLOOKUP($A5, All!$A$1:$AB$700,7,0),Math!E$2)</f>
        <v>4.3</v>
      </c>
      <c r="H5" s="8">
        <f>IFERROR(VLOOKUP($A5, All!$A$1:$AB$700,8,0),Math!F$2)</f>
        <v>3.8</v>
      </c>
      <c r="I5" s="8">
        <f>IFERROR(VLOOKUP($A5, All!$A$1:$AB$700,9,0),Math!G$2)</f>
        <v>1.4</v>
      </c>
      <c r="J5" s="8">
        <f>IFERROR(VLOOKUP($A5, All!$A$1:$AB$700,10,0),Math!H$2)</f>
        <v>0.4</v>
      </c>
      <c r="K5" s="8">
        <f>IFERROR(VLOOKUP($A5, All!$A$1:$AB$700,11,0),Math!I$2)</f>
        <v>2.8</v>
      </c>
      <c r="L5" s="8">
        <f>IFERROR(VLOOKUP($A5, All!$A$1:$AB$700,12,0),Math!J$2)</f>
        <v>25.2</v>
      </c>
      <c r="M5" s="8">
        <f>IFERROR(VLOOKUP($A5, All!$A$1:$AB$700,13,0),Math!K$2)</f>
        <v>9.1999999999999993</v>
      </c>
      <c r="N5" s="8">
        <f>IFERROR(VLOOKUP($A5, All!$A$1:$AB$700,14,0),Math!L$2)</f>
        <v>20.8</v>
      </c>
      <c r="O5" s="8">
        <f>IFERROR(VLOOKUP($A5, All!$A$1:$AB$700,15,0),Math!M$2)</f>
        <v>4.4000000000000004</v>
      </c>
      <c r="P5" s="8">
        <f>IFERROR(VLOOKUP($A5, All!$A$1:$AB$700,16,0),Math!N$2)</f>
        <v>5.4</v>
      </c>
      <c r="Q5" s="31">
        <f>IFERROR(VLOOKUP($A5, All!$A$1:$AB$700,17,0),0)</f>
        <v>-0.69041261950814947</v>
      </c>
      <c r="R5" s="31">
        <f>IFERROR(VLOOKUP($A5, All!$A$1:$AB$700,18,0),0)</f>
        <v>0.36109665445982869</v>
      </c>
      <c r="S5" s="31">
        <f>IFERROR(VLOOKUP($A5, All!$A$1:$AB$700,19,0),0)</f>
        <v>1.2342455993424724</v>
      </c>
      <c r="T5" s="31">
        <f>IFERROR(VLOOKUP($A5, All!$A$1:$AB$700,20,0),0)</f>
        <v>-0.59038666297381537</v>
      </c>
      <c r="U5" s="31">
        <f>IFERROR(VLOOKUP($A5, All!$A$1:$AB$700,21,0),0)</f>
        <v>0.25858468257085621</v>
      </c>
      <c r="V5" s="31">
        <f>IFERROR(VLOOKUP($A5, All!$A$1:$AB$700,22,0),0)</f>
        <v>1.1344947572963382</v>
      </c>
      <c r="W5" s="31">
        <f>IFERROR(VLOOKUP($A5, All!$A$1:$AB$700,23,0),0)</f>
        <v>-0.53563136395848565</v>
      </c>
      <c r="X5" s="31">
        <f>IFERROR(VLOOKUP($A5, All!$A$1:$AB$700,24,0),0)</f>
        <v>-1.4065992033627419</v>
      </c>
      <c r="Y5" s="31">
        <f>IFERROR(VLOOKUP($A5, All!$A$1:$AB$700,25,0),0)</f>
        <v>1.9943756551522842</v>
      </c>
    </row>
    <row r="6" spans="1:25">
      <c r="A6" s="7" t="s">
        <v>52</v>
      </c>
      <c r="B6" s="8">
        <f>IFERROR(VLOOKUP($A6, All!$A$1:$AB$699,2,0),300)</f>
        <v>43</v>
      </c>
      <c r="C6" s="8">
        <f>IFERROR(VLOOKUP($A6, All!$A$1:$AB$699,3,0),70)</f>
        <v>60</v>
      </c>
      <c r="D6" s="8">
        <f>IFERROR(VLOOKUP($A6, All!$A$1:$AB$699,4,0),Math!B$2)</f>
        <v>0.44</v>
      </c>
      <c r="E6" s="8">
        <f>IFERROR(VLOOKUP($A6, All!$A$1:$AB$700,5,0),Math!C$2)</f>
        <v>0.91</v>
      </c>
      <c r="F6" s="8">
        <f>IFERROR(VLOOKUP($A6, All!$A$1:$AB$700,6,0),Math!D$2)</f>
        <v>2.6</v>
      </c>
      <c r="G6" s="8">
        <f>IFERROR(VLOOKUP($A6, All!$A$1:$AB$700,7,0),Math!E$2)</f>
        <v>9.1999999999999993</v>
      </c>
      <c r="H6" s="8">
        <f>IFERROR(VLOOKUP($A6, All!$A$1:$AB$700,8,0),Math!F$2)</f>
        <v>2.4</v>
      </c>
      <c r="I6" s="8">
        <f>IFERROR(VLOOKUP($A6, All!$A$1:$AB$700,9,0),Math!G$2)</f>
        <v>0.3</v>
      </c>
      <c r="J6" s="8">
        <f>IFERROR(VLOOKUP($A6, All!$A$1:$AB$700,10,0),Math!H$2)</f>
        <v>0.3</v>
      </c>
      <c r="K6" s="8">
        <f>IFERROR(VLOOKUP($A6, All!$A$1:$AB$700,11,0),Math!I$2)</f>
        <v>2</v>
      </c>
      <c r="L6" s="8">
        <f>IFERROR(VLOOKUP($A6, All!$A$1:$AB$700,12,0),Math!J$2)</f>
        <v>18.2</v>
      </c>
      <c r="M6" s="8">
        <f>IFERROR(VLOOKUP($A6, All!$A$1:$AB$700,13,0),Math!K$2)</f>
        <v>5.2</v>
      </c>
      <c r="N6" s="8">
        <f>IFERROR(VLOOKUP($A6, All!$A$1:$AB$700,14,0),Math!L$2)</f>
        <v>11.8</v>
      </c>
      <c r="O6" s="8">
        <f>IFERROR(VLOOKUP($A6, All!$A$1:$AB$700,15,0),Math!M$2)</f>
        <v>5.0999999999999996</v>
      </c>
      <c r="P6" s="8">
        <f>IFERROR(VLOOKUP($A6, All!$A$1:$AB$700,16,0),Math!N$2)</f>
        <v>5.6</v>
      </c>
      <c r="Q6" s="31">
        <f>IFERROR(VLOOKUP($A6, All!$A$1:$AB$700,17,0),0)</f>
        <v>-0.69041261950814947</v>
      </c>
      <c r="R6" s="31">
        <f>IFERROR(VLOOKUP($A6, All!$A$1:$AB$700,18,0),0)</f>
        <v>1.5728303942579092</v>
      </c>
      <c r="S6" s="31">
        <f>IFERROR(VLOOKUP($A6, All!$A$1:$AB$700,19,0),0)</f>
        <v>1.2342455993424724</v>
      </c>
      <c r="T6" s="31">
        <f>IFERROR(VLOOKUP($A6, All!$A$1:$AB$700,20,0),0)</f>
        <v>1.2705941337915059</v>
      </c>
      <c r="U6" s="31">
        <f>IFERROR(VLOOKUP($A6, All!$A$1:$AB$700,21,0),0)</f>
        <v>-0.44368215661284777</v>
      </c>
      <c r="V6" s="31">
        <f>IFERROR(VLOOKUP($A6, All!$A$1:$AB$700,22,0),0)</f>
        <v>-1.7677011334617379</v>
      </c>
      <c r="W6" s="31">
        <f>IFERROR(VLOOKUP($A6, All!$A$1:$AB$700,23,0),0)</f>
        <v>-0.71969712476896219</v>
      </c>
      <c r="X6" s="31">
        <f>IFERROR(VLOOKUP($A6, All!$A$1:$AB$700,24,0),0)</f>
        <v>-0.33337138963818985</v>
      </c>
      <c r="Y6" s="31">
        <f>IFERROR(VLOOKUP($A6, All!$A$1:$AB$700,25,0),0)</f>
        <v>0.59087413850746762</v>
      </c>
    </row>
    <row r="7" spans="1:25">
      <c r="A7" s="7" t="s">
        <v>64</v>
      </c>
      <c r="B7" s="8">
        <f>IFERROR(VLOOKUP($A7, All!$A$1:$AB$699,2,0),300)</f>
        <v>83</v>
      </c>
      <c r="C7" s="8">
        <f>IFERROR(VLOOKUP($A7, All!$A$1:$AB$699,3,0),70)</f>
        <v>77</v>
      </c>
      <c r="D7" s="8">
        <f>IFERROR(VLOOKUP($A7, All!$A$1:$AB$699,4,0),Math!B$2)</f>
        <v>0.44</v>
      </c>
      <c r="E7" s="8">
        <f>IFERROR(VLOOKUP($A7, All!$A$1:$AB$700,5,0),Math!C$2)</f>
        <v>0.89</v>
      </c>
      <c r="F7" s="8">
        <f>IFERROR(VLOOKUP($A7, All!$A$1:$AB$700,6,0),Math!D$2)</f>
        <v>1.6</v>
      </c>
      <c r="G7" s="8">
        <f>IFERROR(VLOOKUP($A7, All!$A$1:$AB$700,7,0),Math!E$2)</f>
        <v>5.0999999999999996</v>
      </c>
      <c r="H7" s="8">
        <f>IFERROR(VLOOKUP($A7, All!$A$1:$AB$700,8,0),Math!F$2)</f>
        <v>2.4</v>
      </c>
      <c r="I7" s="8">
        <f>IFERROR(VLOOKUP($A7, All!$A$1:$AB$700,9,0),Math!G$2)</f>
        <v>1.1000000000000001</v>
      </c>
      <c r="J7" s="8">
        <f>IFERROR(VLOOKUP($A7, All!$A$1:$AB$700,10,0),Math!H$2)</f>
        <v>0.4</v>
      </c>
      <c r="K7" s="8">
        <f>IFERROR(VLOOKUP($A7, All!$A$1:$AB$700,11,0),Math!I$2)</f>
        <v>1</v>
      </c>
      <c r="L7" s="8">
        <f>IFERROR(VLOOKUP($A7, All!$A$1:$AB$700,12,0),Math!J$2)</f>
        <v>15</v>
      </c>
      <c r="M7" s="8">
        <f>IFERROR(VLOOKUP($A7, All!$A$1:$AB$700,13,0),Math!K$2)</f>
        <v>5.0999999999999996</v>
      </c>
      <c r="N7" s="8">
        <f>IFERROR(VLOOKUP($A7, All!$A$1:$AB$700,14,0),Math!L$2)</f>
        <v>11.5</v>
      </c>
      <c r="O7" s="8">
        <f>IFERROR(VLOOKUP($A7, All!$A$1:$AB$700,15,0),Math!M$2)</f>
        <v>3.1</v>
      </c>
      <c r="P7" s="8">
        <f>IFERROR(VLOOKUP($A7, All!$A$1:$AB$700,16,0),Math!N$2)</f>
        <v>3.5</v>
      </c>
      <c r="Q7" s="31">
        <f>IFERROR(VLOOKUP($A7, All!$A$1:$AB$700,17,0),0)</f>
        <v>-0.69041261950814947</v>
      </c>
      <c r="R7" s="31">
        <f>IFERROR(VLOOKUP($A7, All!$A$1:$AB$700,18,0),0)</f>
        <v>1.330483646298293</v>
      </c>
      <c r="S7" s="31">
        <f>IFERROR(VLOOKUP($A7, All!$A$1:$AB$700,19,0),0)</f>
        <v>0.15535958593122062</v>
      </c>
      <c r="T7" s="31">
        <f>IFERROR(VLOOKUP($A7, All!$A$1:$AB$700,20,0),0)</f>
        <v>-0.28655306350192628</v>
      </c>
      <c r="U7" s="31">
        <f>IFERROR(VLOOKUP($A7, All!$A$1:$AB$700,21,0),0)</f>
        <v>-0.44368215661284777</v>
      </c>
      <c r="V7" s="31">
        <f>IFERROR(VLOOKUP($A7, All!$A$1:$AB$700,22,0),0)</f>
        <v>0.34298678708959057</v>
      </c>
      <c r="W7" s="31">
        <f>IFERROR(VLOOKUP($A7, All!$A$1:$AB$700,23,0),0)</f>
        <v>-0.53563136395848565</v>
      </c>
      <c r="X7" s="31">
        <f>IFERROR(VLOOKUP($A7, All!$A$1:$AB$700,24,0),0)</f>
        <v>1.0081633775175005</v>
      </c>
      <c r="Y7" s="31">
        <f>IFERROR(VLOOKUP($A7, All!$A$1:$AB$700,25,0),0)</f>
        <v>-5.0726554815876963E-2</v>
      </c>
    </row>
    <row r="8" spans="1:25">
      <c r="A8" s="7" t="s">
        <v>649</v>
      </c>
      <c r="B8" s="8">
        <f>IFERROR(VLOOKUP($A8, All!$A$1:$AB$699,2,0),300)</f>
        <v>51</v>
      </c>
      <c r="C8" s="8">
        <f>IFERROR(VLOOKUP($A8, All!$A$1:$AB$699,3,0),70)</f>
        <v>76</v>
      </c>
      <c r="D8" s="8">
        <f>IFERROR(VLOOKUP($A8, All!$A$1:$AB$699,4,0),Math!B$2)</f>
        <v>0.48</v>
      </c>
      <c r="E8" s="8">
        <f>IFERROR(VLOOKUP($A8, All!$A$1:$AB$700,5,0),Math!C$2)</f>
        <v>0.78</v>
      </c>
      <c r="F8" s="8">
        <f>IFERROR(VLOOKUP($A8, All!$A$1:$AB$700,6,0),Math!D$2)</f>
        <v>1.7</v>
      </c>
      <c r="G8" s="8">
        <f>IFERROR(VLOOKUP($A8, All!$A$1:$AB$700,7,0),Math!E$2)</f>
        <v>5.0999999999999996</v>
      </c>
      <c r="H8" s="8">
        <f>IFERROR(VLOOKUP($A8, All!$A$1:$AB$700,8,0),Math!F$2)</f>
        <v>6</v>
      </c>
      <c r="I8" s="8">
        <f>IFERROR(VLOOKUP($A8, All!$A$1:$AB$700,9,0),Math!G$2)</f>
        <v>1.5</v>
      </c>
      <c r="J8" s="8">
        <f>IFERROR(VLOOKUP($A8, All!$A$1:$AB$700,10,0),Math!H$2)</f>
        <v>0.4</v>
      </c>
      <c r="K8" s="8">
        <f>IFERROR(VLOOKUP($A8, All!$A$1:$AB$700,11,0),Math!I$2)</f>
        <v>2.2000000000000002</v>
      </c>
      <c r="L8" s="8">
        <f>IFERROR(VLOOKUP($A8, All!$A$1:$AB$700,12,0),Math!J$2)</f>
        <v>15.3</v>
      </c>
      <c r="M8" s="8">
        <f>IFERROR(VLOOKUP($A8, All!$A$1:$AB$700,13,0),Math!K$2)</f>
        <v>5.5</v>
      </c>
      <c r="N8" s="8">
        <f>IFERROR(VLOOKUP($A8, All!$A$1:$AB$700,14,0),Math!L$2)</f>
        <v>11.5</v>
      </c>
      <c r="O8" s="8">
        <f>IFERROR(VLOOKUP($A8, All!$A$1:$AB$700,15,0),Math!M$2)</f>
        <v>2.5</v>
      </c>
      <c r="P8" s="8">
        <f>IFERROR(VLOOKUP($A8, All!$A$1:$AB$700,16,0),Math!N$2)</f>
        <v>3.2</v>
      </c>
      <c r="Q8" s="31">
        <f>IFERROR(VLOOKUP($A8, All!$A$1:$AB$700,17,0),0)</f>
        <v>4.8985098840605826E-2</v>
      </c>
      <c r="R8" s="31">
        <f>IFERROR(VLOOKUP($A8, All!$A$1:$AB$700,18,0),0)</f>
        <v>-2.4234674795958946E-3</v>
      </c>
      <c r="S8" s="31">
        <f>IFERROR(VLOOKUP($A8, All!$A$1:$AB$700,19,0),0)</f>
        <v>0.26324818727234567</v>
      </c>
      <c r="T8" s="31">
        <f>IFERROR(VLOOKUP($A8, All!$A$1:$AB$700,20,0),0)</f>
        <v>-0.28655306350192628</v>
      </c>
      <c r="U8" s="31">
        <f>IFERROR(VLOOKUP($A8, All!$A$1:$AB$700,21,0),0)</f>
        <v>1.3621468584309626</v>
      </c>
      <c r="V8" s="31">
        <f>IFERROR(VLOOKUP($A8, All!$A$1:$AB$700,22,0),0)</f>
        <v>1.3983307473652546</v>
      </c>
      <c r="W8" s="31">
        <f>IFERROR(VLOOKUP($A8, All!$A$1:$AB$700,23,0),0)</f>
        <v>-0.53563136395848565</v>
      </c>
      <c r="X8" s="31">
        <f>IFERROR(VLOOKUP($A8, All!$A$1:$AB$700,24,0),0)</f>
        <v>-0.60167834306932821</v>
      </c>
      <c r="Y8" s="31">
        <f>IFERROR(VLOOKUP($A8, All!$A$1:$AB$700,25,0),0)</f>
        <v>9.4235101831867448E-3</v>
      </c>
    </row>
    <row r="9" spans="1:25">
      <c r="A9" s="7" t="s">
        <v>74</v>
      </c>
      <c r="B9" s="8">
        <f>IFERROR(VLOOKUP($A9, All!$A$1:$AB$699,2,0),300)</f>
        <v>71</v>
      </c>
      <c r="C9" s="8">
        <f>IFERROR(VLOOKUP($A9, All!$A$1:$AB$699,3,0),70)</f>
        <v>70</v>
      </c>
      <c r="D9" s="8">
        <f>IFERROR(VLOOKUP($A9, All!$A$1:$AB$699,4,0),Math!B$2)</f>
        <v>0.42</v>
      </c>
      <c r="E9" s="8">
        <f>IFERROR(VLOOKUP($A9, All!$A$1:$AB$700,5,0),Math!C$2)</f>
        <v>0.86</v>
      </c>
      <c r="F9" s="8">
        <f>IFERROR(VLOOKUP($A9, All!$A$1:$AB$700,6,0),Math!D$2)</f>
        <v>1.3</v>
      </c>
      <c r="G9" s="8">
        <f>IFERROR(VLOOKUP($A9, All!$A$1:$AB$700,7,0),Math!E$2)</f>
        <v>3.8</v>
      </c>
      <c r="H9" s="8">
        <f>IFERROR(VLOOKUP($A9, All!$A$1:$AB$700,8,0),Math!F$2)</f>
        <v>8.4</v>
      </c>
      <c r="I9" s="8">
        <f>IFERROR(VLOOKUP($A9, All!$A$1:$AB$700,9,0),Math!G$2)</f>
        <v>1.4</v>
      </c>
      <c r="J9" s="8">
        <f>IFERROR(VLOOKUP($A9, All!$A$1:$AB$700,10,0),Math!H$2)</f>
        <v>0.1</v>
      </c>
      <c r="K9" s="8">
        <f>IFERROR(VLOOKUP($A9, All!$A$1:$AB$700,11,0),Math!I$2)</f>
        <v>2.6</v>
      </c>
      <c r="L9" s="8">
        <f>IFERROR(VLOOKUP($A9, All!$A$1:$AB$700,12,0),Math!J$2)</f>
        <v>12.4</v>
      </c>
      <c r="M9" s="8">
        <f>IFERROR(VLOOKUP($A9, All!$A$1:$AB$700,13,0),Math!K$2)</f>
        <v>4.0999999999999996</v>
      </c>
      <c r="N9" s="8">
        <f>IFERROR(VLOOKUP($A9, All!$A$1:$AB$700,14,0),Math!L$2)</f>
        <v>9.6999999999999993</v>
      </c>
      <c r="O9" s="8">
        <f>IFERROR(VLOOKUP($A9, All!$A$1:$AB$700,15,0),Math!M$2)</f>
        <v>3.1</v>
      </c>
      <c r="P9" s="8">
        <f>IFERROR(VLOOKUP($A9, All!$A$1:$AB$700,16,0),Math!N$2)</f>
        <v>3.6</v>
      </c>
      <c r="Q9" s="31">
        <f>IFERROR(VLOOKUP($A9, All!$A$1:$AB$700,17,0),0)</f>
        <v>-1.0601114786825276</v>
      </c>
      <c r="R9" s="31">
        <f>IFERROR(VLOOKUP($A9, All!$A$1:$AB$700,18,0),0)</f>
        <v>0.96696352435886834</v>
      </c>
      <c r="S9" s="31">
        <f>IFERROR(VLOOKUP($A9, All!$A$1:$AB$700,19,0),0)</f>
        <v>-0.16830621809215493</v>
      </c>
      <c r="T9" s="31">
        <f>IFERROR(VLOOKUP($A9, All!$A$1:$AB$700,20,0),0)</f>
        <v>-0.78028266264374613</v>
      </c>
      <c r="U9" s="31">
        <f>IFERROR(VLOOKUP($A9, All!$A$1:$AB$700,21,0),0)</f>
        <v>2.5660328684601694</v>
      </c>
      <c r="V9" s="31">
        <f>IFERROR(VLOOKUP($A9, All!$A$1:$AB$700,22,0),0)</f>
        <v>1.1344947572963382</v>
      </c>
      <c r="W9" s="31">
        <f>IFERROR(VLOOKUP($A9, All!$A$1:$AB$700,23,0),0)</f>
        <v>-1.0878286463899152</v>
      </c>
      <c r="X9" s="31">
        <f>IFERROR(VLOOKUP($A9, All!$A$1:$AB$700,24,0),0)</f>
        <v>-1.1382922499316042</v>
      </c>
      <c r="Y9" s="31">
        <f>IFERROR(VLOOKUP($A9, All!$A$1:$AB$700,25,0),0)</f>
        <v>-0.57202711814109453</v>
      </c>
    </row>
    <row r="10" spans="1:25">
      <c r="A10" s="7" t="s">
        <v>76</v>
      </c>
      <c r="B10" s="8">
        <f>IFERROR(VLOOKUP($A10, All!$A$1:$AB$699,2,0),300)</f>
        <v>102</v>
      </c>
      <c r="C10" s="8">
        <f>IFERROR(VLOOKUP($A10, All!$A$1:$AB$699,3,0),70)</f>
        <v>68</v>
      </c>
      <c r="D10" s="8">
        <f>IFERROR(VLOOKUP($A10, All!$A$1:$AB$699,4,0),Math!B$2)</f>
        <v>0.42</v>
      </c>
      <c r="E10" s="8">
        <f>IFERROR(VLOOKUP($A10, All!$A$1:$AB$700,5,0),Math!C$2)</f>
        <v>0.79</v>
      </c>
      <c r="F10" s="8">
        <f>IFERROR(VLOOKUP($A10, All!$A$1:$AB$700,6,0),Math!D$2)</f>
        <v>0.8</v>
      </c>
      <c r="G10" s="8">
        <f>IFERROR(VLOOKUP($A10, All!$A$1:$AB$700,7,0),Math!E$2)</f>
        <v>2.6</v>
      </c>
      <c r="H10" s="8">
        <f>IFERROR(VLOOKUP($A10, All!$A$1:$AB$700,8,0),Math!F$2)</f>
        <v>8.6</v>
      </c>
      <c r="I10" s="8">
        <f>IFERROR(VLOOKUP($A10, All!$A$1:$AB$700,9,0),Math!G$2)</f>
        <v>1</v>
      </c>
      <c r="J10" s="8">
        <f>IFERROR(VLOOKUP($A10, All!$A$1:$AB$700,10,0),Math!H$2)</f>
        <v>0.4</v>
      </c>
      <c r="K10" s="8">
        <f>IFERROR(VLOOKUP($A10, All!$A$1:$AB$700,11,0),Math!I$2)</f>
        <v>2.2999999999999998</v>
      </c>
      <c r="L10" s="8">
        <f>IFERROR(VLOOKUP($A10, All!$A$1:$AB$700,12,0),Math!J$2)</f>
        <v>12.7</v>
      </c>
      <c r="M10" s="8">
        <f>IFERROR(VLOOKUP($A10, All!$A$1:$AB$700,13,0),Math!K$2)</f>
        <v>4.4000000000000004</v>
      </c>
      <c r="N10" s="8">
        <f>IFERROR(VLOOKUP($A10, All!$A$1:$AB$700,14,0),Math!L$2)</f>
        <v>10.4</v>
      </c>
      <c r="O10" s="8">
        <f>IFERROR(VLOOKUP($A10, All!$A$1:$AB$700,15,0),Math!M$2)</f>
        <v>3</v>
      </c>
      <c r="P10" s="8">
        <f>IFERROR(VLOOKUP($A10, All!$A$1:$AB$700,16,0),Math!N$2)</f>
        <v>3.8</v>
      </c>
      <c r="Q10" s="31">
        <f>IFERROR(VLOOKUP($A10, All!$A$1:$AB$700,17,0),0)</f>
        <v>-1.0601114786825276</v>
      </c>
      <c r="R10" s="31">
        <f>IFERROR(VLOOKUP($A10, All!$A$1:$AB$700,18,0),0)</f>
        <v>0.11874990650021229</v>
      </c>
      <c r="S10" s="31">
        <f>IFERROR(VLOOKUP($A10, All!$A$1:$AB$700,19,0),0)</f>
        <v>-0.7077492247977808</v>
      </c>
      <c r="T10" s="31">
        <f>IFERROR(VLOOKUP($A10, All!$A$1:$AB$700,20,0),0)</f>
        <v>-1.23603306185158</v>
      </c>
      <c r="U10" s="31">
        <f>IFERROR(VLOOKUP($A10, All!$A$1:$AB$700,21,0),0)</f>
        <v>2.6663567026292694</v>
      </c>
      <c r="V10" s="31">
        <f>IFERROR(VLOOKUP($A10, All!$A$1:$AB$700,22,0),0)</f>
        <v>7.9150797020674304E-2</v>
      </c>
      <c r="W10" s="31">
        <f>IFERROR(VLOOKUP($A10, All!$A$1:$AB$700,23,0),0)</f>
        <v>-0.53563136395848565</v>
      </c>
      <c r="X10" s="31">
        <f>IFERROR(VLOOKUP($A10, All!$A$1:$AB$700,24,0),0)</f>
        <v>-0.73583181978489676</v>
      </c>
      <c r="Y10" s="31">
        <f>IFERROR(VLOOKUP($A10, All!$A$1:$AB$700,25,0),0)</f>
        <v>-0.51187705314203114</v>
      </c>
    </row>
    <row r="11" spans="1:25">
      <c r="A11" s="7" t="s">
        <v>86</v>
      </c>
      <c r="B11" s="8">
        <f>IFERROR(VLOOKUP($A11, All!$A$1:$AB$699,2,0),300)</f>
        <v>111</v>
      </c>
      <c r="C11" s="8">
        <f>IFERROR(VLOOKUP($A11, All!$A$1:$AB$699,3,0),70)</f>
        <v>66</v>
      </c>
      <c r="D11" s="8">
        <f>IFERROR(VLOOKUP($A11, All!$A$1:$AB$699,4,0),Math!B$2)</f>
        <v>0.47</v>
      </c>
      <c r="E11" s="8">
        <f>IFERROR(VLOOKUP($A11, All!$A$1:$AB$700,5,0),Math!C$2)</f>
        <v>0.81</v>
      </c>
      <c r="F11" s="8">
        <f>IFERROR(VLOOKUP($A11, All!$A$1:$AB$700,6,0),Math!D$2)</f>
        <v>1.1000000000000001</v>
      </c>
      <c r="G11" s="8">
        <f>IFERROR(VLOOKUP($A11, All!$A$1:$AB$700,7,0),Math!E$2)</f>
        <v>7</v>
      </c>
      <c r="H11" s="8">
        <f>IFERROR(VLOOKUP($A11, All!$A$1:$AB$700,8,0),Math!F$2)</f>
        <v>2.7</v>
      </c>
      <c r="I11" s="8">
        <f>IFERROR(VLOOKUP($A11, All!$A$1:$AB$700,9,0),Math!G$2)</f>
        <v>0.8</v>
      </c>
      <c r="J11" s="8">
        <f>IFERROR(VLOOKUP($A11, All!$A$1:$AB$700,10,0),Math!H$2)</f>
        <v>0.5</v>
      </c>
      <c r="K11" s="8">
        <f>IFERROR(VLOOKUP($A11, All!$A$1:$AB$700,11,0),Math!I$2)</f>
        <v>1.6</v>
      </c>
      <c r="L11" s="8">
        <f>IFERROR(VLOOKUP($A11, All!$A$1:$AB$700,12,0),Math!J$2)</f>
        <v>13.3</v>
      </c>
      <c r="M11" s="8">
        <f>IFERROR(VLOOKUP($A11, All!$A$1:$AB$700,13,0),Math!K$2)</f>
        <v>5.2</v>
      </c>
      <c r="N11" s="8">
        <f>IFERROR(VLOOKUP($A11, All!$A$1:$AB$700,14,0),Math!L$2)</f>
        <v>11</v>
      </c>
      <c r="O11" s="8">
        <f>IFERROR(VLOOKUP($A11, All!$A$1:$AB$700,15,0),Math!M$2)</f>
        <v>1.7</v>
      </c>
      <c r="P11" s="8">
        <f>IFERROR(VLOOKUP($A11, All!$A$1:$AB$700,16,0),Math!N$2)</f>
        <v>2.1</v>
      </c>
      <c r="Q11" s="31">
        <f>IFERROR(VLOOKUP($A11, All!$A$1:$AB$700,17,0),0)</f>
        <v>-0.13586433074658327</v>
      </c>
      <c r="R11" s="31">
        <f>IFERROR(VLOOKUP($A11, All!$A$1:$AB$700,18,0),0)</f>
        <v>0.36109665445982869</v>
      </c>
      <c r="S11" s="31">
        <f>IFERROR(VLOOKUP($A11, All!$A$1:$AB$700,19,0),0)</f>
        <v>-0.38408342077440522</v>
      </c>
      <c r="T11" s="31">
        <f>IFERROR(VLOOKUP($A11, All!$A$1:$AB$700,20,0),0)</f>
        <v>0.4350517352438108</v>
      </c>
      <c r="U11" s="31">
        <f>IFERROR(VLOOKUP($A11, All!$A$1:$AB$700,21,0),0)</f>
        <v>-0.29319640535919678</v>
      </c>
      <c r="V11" s="31">
        <f>IFERROR(VLOOKUP($A11, All!$A$1:$AB$700,22,0),0)</f>
        <v>-0.44852118311715766</v>
      </c>
      <c r="W11" s="31">
        <f>IFERROR(VLOOKUP($A11, All!$A$1:$AB$700,23,0),0)</f>
        <v>-0.35156560314800916</v>
      </c>
      <c r="X11" s="31">
        <f>IFERROR(VLOOKUP($A11, All!$A$1:$AB$700,24,0),0)</f>
        <v>0.20324251722408615</v>
      </c>
      <c r="Y11" s="31">
        <f>IFERROR(VLOOKUP($A11, All!$A$1:$AB$700,25,0),0)</f>
        <v>-0.39157692314390369</v>
      </c>
    </row>
    <row r="12" spans="1:25">
      <c r="A12" s="7" t="s">
        <v>97</v>
      </c>
      <c r="B12" s="8">
        <f>IFERROR(VLOOKUP($A12, All!$A$1:$AB$699,2,0),300)</f>
        <v>156</v>
      </c>
      <c r="C12" s="8">
        <f>IFERROR(VLOOKUP($A12, All!$A$1:$AB$699,3,0),70)</f>
        <v>68</v>
      </c>
      <c r="D12" s="8">
        <f>IFERROR(VLOOKUP($A12, All!$A$1:$AB$699,4,0),Math!B$2)</f>
        <v>0.45</v>
      </c>
      <c r="E12" s="8">
        <f>IFERROR(VLOOKUP($A12, All!$A$1:$AB$700,5,0),Math!C$2)</f>
        <v>0.79</v>
      </c>
      <c r="F12" s="8">
        <f>IFERROR(VLOOKUP($A12, All!$A$1:$AB$700,6,0),Math!D$2)</f>
        <v>1.6</v>
      </c>
      <c r="G12" s="8">
        <f>IFERROR(VLOOKUP($A12, All!$A$1:$AB$700,7,0),Math!E$2)</f>
        <v>3.1</v>
      </c>
      <c r="H12" s="8">
        <f>IFERROR(VLOOKUP($A12, All!$A$1:$AB$700,8,0),Math!F$2)</f>
        <v>4.8</v>
      </c>
      <c r="I12" s="8">
        <f>IFERROR(VLOOKUP($A12, All!$A$1:$AB$700,9,0),Math!G$2)</f>
        <v>0.8</v>
      </c>
      <c r="J12" s="8">
        <f>IFERROR(VLOOKUP($A12, All!$A$1:$AB$700,10,0),Math!H$2)</f>
        <v>0.1</v>
      </c>
      <c r="K12" s="8">
        <f>IFERROR(VLOOKUP($A12, All!$A$1:$AB$700,11,0),Math!I$2)</f>
        <v>1.9</v>
      </c>
      <c r="L12" s="8">
        <f>IFERROR(VLOOKUP($A12, All!$A$1:$AB$700,12,0),Math!J$2)</f>
        <v>13.8</v>
      </c>
      <c r="M12" s="8">
        <f>IFERROR(VLOOKUP($A12, All!$A$1:$AB$700,13,0),Math!K$2)</f>
        <v>5</v>
      </c>
      <c r="N12" s="8">
        <f>IFERROR(VLOOKUP($A12, All!$A$1:$AB$700,14,0),Math!L$2)</f>
        <v>11.2</v>
      </c>
      <c r="O12" s="8">
        <f>IFERROR(VLOOKUP($A12, All!$A$1:$AB$700,15,0),Math!M$2)</f>
        <v>2.2000000000000002</v>
      </c>
      <c r="P12" s="8">
        <f>IFERROR(VLOOKUP($A12, All!$A$1:$AB$700,16,0),Math!N$2)</f>
        <v>2.8</v>
      </c>
      <c r="Q12" s="31">
        <f>IFERROR(VLOOKUP($A12, All!$A$1:$AB$700,17,0),0)</f>
        <v>-0.50556318992096039</v>
      </c>
      <c r="R12" s="31">
        <f>IFERROR(VLOOKUP($A12, All!$A$1:$AB$700,18,0),0)</f>
        <v>0.11874990650021229</v>
      </c>
      <c r="S12" s="31">
        <f>IFERROR(VLOOKUP($A12, All!$A$1:$AB$700,19,0),0)</f>
        <v>0.15535958593122062</v>
      </c>
      <c r="T12" s="31">
        <f>IFERROR(VLOOKUP($A12, All!$A$1:$AB$700,20,0),0)</f>
        <v>-1.046137062181649</v>
      </c>
      <c r="U12" s="31">
        <f>IFERROR(VLOOKUP($A12, All!$A$1:$AB$700,21,0),0)</f>
        <v>0.7602038534163591</v>
      </c>
      <c r="V12" s="31">
        <f>IFERROR(VLOOKUP($A12, All!$A$1:$AB$700,22,0),0)</f>
        <v>-0.44852118311715766</v>
      </c>
      <c r="W12" s="31">
        <f>IFERROR(VLOOKUP($A12, All!$A$1:$AB$700,23,0),0)</f>
        <v>-1.0878286463899152</v>
      </c>
      <c r="X12" s="31">
        <f>IFERROR(VLOOKUP($A12, All!$A$1:$AB$700,24,0),0)</f>
        <v>-0.19921791292262073</v>
      </c>
      <c r="Y12" s="31">
        <f>IFERROR(VLOOKUP($A12, All!$A$1:$AB$700,25,0),0)</f>
        <v>-0.29132681481213107</v>
      </c>
    </row>
    <row r="13" spans="1:25">
      <c r="A13" s="7" t="s">
        <v>655</v>
      </c>
      <c r="B13" s="8">
        <f>IFERROR(VLOOKUP($A13, All!$A$1:$AB$699,2,0),300)</f>
        <v>110</v>
      </c>
      <c r="C13" s="8">
        <f>IFERROR(VLOOKUP($A13, All!$A$1:$AB$699,3,0),70)</f>
        <v>70</v>
      </c>
      <c r="D13" s="8">
        <f>IFERROR(VLOOKUP($A13, All!$A$1:$AB$699,4,0),Math!B$2)</f>
        <v>0.43</v>
      </c>
      <c r="E13" s="8">
        <f>IFERROR(VLOOKUP($A13, All!$A$1:$AB$700,5,0),Math!C$2)</f>
        <v>0.83</v>
      </c>
      <c r="F13" s="8">
        <f>IFERROR(VLOOKUP($A13, All!$A$1:$AB$700,6,0),Math!D$2)</f>
        <v>1.5</v>
      </c>
      <c r="G13" s="8">
        <f>IFERROR(VLOOKUP($A13, All!$A$1:$AB$700,7,0),Math!E$2)</f>
        <v>5.0999999999999996</v>
      </c>
      <c r="H13" s="8">
        <f>IFERROR(VLOOKUP($A13, All!$A$1:$AB$700,8,0),Math!F$2)</f>
        <v>4.5999999999999996</v>
      </c>
      <c r="I13" s="8">
        <f>IFERROR(VLOOKUP($A13, All!$A$1:$AB$700,9,0),Math!G$2)</f>
        <v>0.9</v>
      </c>
      <c r="J13" s="8">
        <f>IFERROR(VLOOKUP($A13, All!$A$1:$AB$700,10,0),Math!H$2)</f>
        <v>0.6</v>
      </c>
      <c r="K13" s="8">
        <f>IFERROR(VLOOKUP($A13, All!$A$1:$AB$700,11,0),Math!I$2)</f>
        <v>1.5</v>
      </c>
      <c r="L13" s="8">
        <f>IFERROR(VLOOKUP($A13, All!$A$1:$AB$700,12,0),Math!J$2)</f>
        <v>11.7</v>
      </c>
      <c r="M13" s="8">
        <f>IFERROR(VLOOKUP($A13, All!$A$1:$AB$700,13,0),Math!K$2)</f>
        <v>4.5999999999999996</v>
      </c>
      <c r="N13" s="8">
        <f>IFERROR(VLOOKUP($A13, All!$A$1:$AB$700,14,0),Math!L$2)</f>
        <v>10.6</v>
      </c>
      <c r="O13" s="8">
        <f>IFERROR(VLOOKUP($A13, All!$A$1:$AB$700,15,0),Math!M$2)</f>
        <v>1</v>
      </c>
      <c r="P13" s="8">
        <f>IFERROR(VLOOKUP($A13, All!$A$1:$AB$700,16,0),Math!N$2)</f>
        <v>1.2</v>
      </c>
      <c r="Q13" s="31">
        <f>IFERROR(VLOOKUP($A13, All!$A$1:$AB$700,17,0),0)</f>
        <v>-0.87526204909533856</v>
      </c>
      <c r="R13" s="31">
        <f>IFERROR(VLOOKUP($A13, All!$A$1:$AB$700,18,0),0)</f>
        <v>0.60344340241944372</v>
      </c>
      <c r="S13" s="31">
        <f>IFERROR(VLOOKUP($A13, All!$A$1:$AB$700,19,0),0)</f>
        <v>4.7470984590095355E-2</v>
      </c>
      <c r="T13" s="31">
        <f>IFERROR(VLOOKUP($A13, All!$A$1:$AB$700,20,0),0)</f>
        <v>-0.28655306350192628</v>
      </c>
      <c r="U13" s="31">
        <f>IFERROR(VLOOKUP($A13, All!$A$1:$AB$700,21,0),0)</f>
        <v>0.65988001924725836</v>
      </c>
      <c r="V13" s="31">
        <f>IFERROR(VLOOKUP($A13, All!$A$1:$AB$700,22,0),0)</f>
        <v>-0.18468519304824169</v>
      </c>
      <c r="W13" s="31">
        <f>IFERROR(VLOOKUP($A13, All!$A$1:$AB$700,23,0),0)</f>
        <v>-0.16749984233753273</v>
      </c>
      <c r="X13" s="31">
        <f>IFERROR(VLOOKUP($A13, All!$A$1:$AB$700,24,0),0)</f>
        <v>0.3373959939396553</v>
      </c>
      <c r="Y13" s="31">
        <f>IFERROR(VLOOKUP($A13, All!$A$1:$AB$700,25,0),0)</f>
        <v>-0.71237726980557636</v>
      </c>
    </row>
    <row r="14" spans="1:25">
      <c r="A14" s="7" t="s">
        <v>656</v>
      </c>
      <c r="B14" s="8">
        <f>IFERROR(VLOOKUP($A14, All!$A$1:$AB$699,2,0),300)</f>
        <v>112</v>
      </c>
      <c r="C14" s="8">
        <f>IFERROR(VLOOKUP($A14, All!$A$1:$AB$699,3,0),70)</f>
        <v>74</v>
      </c>
      <c r="D14" s="8">
        <f>IFERROR(VLOOKUP($A14, All!$A$1:$AB$699,4,0),Math!B$2)</f>
        <v>0.45</v>
      </c>
      <c r="E14" s="8">
        <f>IFERROR(VLOOKUP($A14, All!$A$1:$AB$700,5,0),Math!C$2)</f>
        <v>0.91</v>
      </c>
      <c r="F14" s="8">
        <f>IFERROR(VLOOKUP($A14, All!$A$1:$AB$700,6,0),Math!D$2)</f>
        <v>2.6</v>
      </c>
      <c r="G14" s="8">
        <f>IFERROR(VLOOKUP($A14, All!$A$1:$AB$700,7,0),Math!E$2)</f>
        <v>4.8</v>
      </c>
      <c r="H14" s="8">
        <f>IFERROR(VLOOKUP($A14, All!$A$1:$AB$700,8,0),Math!F$2)</f>
        <v>1.8</v>
      </c>
      <c r="I14" s="8">
        <f>IFERROR(VLOOKUP($A14, All!$A$1:$AB$700,9,0),Math!G$2)</f>
        <v>0.7</v>
      </c>
      <c r="J14" s="8">
        <f>IFERROR(VLOOKUP($A14, All!$A$1:$AB$700,10,0),Math!H$2)</f>
        <v>0.5</v>
      </c>
      <c r="K14" s="8">
        <f>IFERROR(VLOOKUP($A14, All!$A$1:$AB$700,11,0),Math!I$2)</f>
        <v>0.8</v>
      </c>
      <c r="L14" s="8">
        <f>IFERROR(VLOOKUP($A14, All!$A$1:$AB$700,12,0),Math!J$2)</f>
        <v>11</v>
      </c>
      <c r="M14" s="8">
        <f>IFERROR(VLOOKUP($A14, All!$A$1:$AB$700,13,0),Math!K$2)</f>
        <v>3.7</v>
      </c>
      <c r="N14" s="8">
        <f>IFERROR(VLOOKUP($A14, All!$A$1:$AB$700,14,0),Math!L$2)</f>
        <v>8.1999999999999993</v>
      </c>
      <c r="O14" s="8">
        <f>IFERROR(VLOOKUP($A14, All!$A$1:$AB$700,15,0),Math!M$2)</f>
        <v>1</v>
      </c>
      <c r="P14" s="8">
        <f>IFERROR(VLOOKUP($A14, All!$A$1:$AB$700,16,0),Math!N$2)</f>
        <v>1.1000000000000001</v>
      </c>
      <c r="Q14" s="31">
        <f>IFERROR(VLOOKUP($A14, All!$A$1:$AB$700,17,0),0)</f>
        <v>-0.50556318992096039</v>
      </c>
      <c r="R14" s="31">
        <f>IFERROR(VLOOKUP($A14, All!$A$1:$AB$700,18,0),0)</f>
        <v>1.5728303942579092</v>
      </c>
      <c r="S14" s="31">
        <f>IFERROR(VLOOKUP($A14, All!$A$1:$AB$700,19,0),0)</f>
        <v>1.2342455993424724</v>
      </c>
      <c r="T14" s="31">
        <f>IFERROR(VLOOKUP($A14, All!$A$1:$AB$700,20,0),0)</f>
        <v>-0.40049066330388466</v>
      </c>
      <c r="U14" s="31">
        <f>IFERROR(VLOOKUP($A14, All!$A$1:$AB$700,21,0),0)</f>
        <v>-0.74465365912014936</v>
      </c>
      <c r="V14" s="31">
        <f>IFERROR(VLOOKUP($A14, All!$A$1:$AB$700,22,0),0)</f>
        <v>-0.71235717318607394</v>
      </c>
      <c r="W14" s="31">
        <f>IFERROR(VLOOKUP($A14, All!$A$1:$AB$700,23,0),0)</f>
        <v>-0.35156560314800916</v>
      </c>
      <c r="X14" s="31">
        <f>IFERROR(VLOOKUP($A14, All!$A$1:$AB$700,24,0),0)</f>
        <v>1.2764703309486385</v>
      </c>
      <c r="Y14" s="31">
        <f>IFERROR(VLOOKUP($A14, All!$A$1:$AB$700,25,0),0)</f>
        <v>-0.85272742147005787</v>
      </c>
    </row>
    <row r="16" spans="1:25">
      <c r="A16" s="9" t="s">
        <v>123</v>
      </c>
      <c r="B16" s="2" t="s">
        <v>121</v>
      </c>
      <c r="C16" s="10" t="s">
        <v>122</v>
      </c>
      <c r="D16" s="12" t="s">
        <v>129</v>
      </c>
      <c r="E16" s="12" t="s">
        <v>130</v>
      </c>
      <c r="F16" s="11" t="s">
        <v>5</v>
      </c>
      <c r="G16" s="11" t="s">
        <v>6</v>
      </c>
      <c r="H16" s="11" t="s">
        <v>7</v>
      </c>
      <c r="I16" s="11" t="s">
        <v>8</v>
      </c>
      <c r="J16" s="11" t="s">
        <v>9</v>
      </c>
      <c r="K16" s="11" t="s">
        <v>10</v>
      </c>
      <c r="L16" s="11" t="s">
        <v>11</v>
      </c>
      <c r="M16" s="12" t="s">
        <v>12</v>
      </c>
      <c r="N16" s="12" t="s">
        <v>13</v>
      </c>
      <c r="O16" s="4" t="s">
        <v>125</v>
      </c>
      <c r="P16" s="17" t="s">
        <v>126</v>
      </c>
      <c r="Q16" s="17" t="s">
        <v>127</v>
      </c>
      <c r="R16" s="18" t="s">
        <v>128</v>
      </c>
    </row>
    <row r="17" spans="1:18">
      <c r="A17" s="6"/>
      <c r="B17" s="15">
        <f t="shared" ref="B17:N17" si="0">AVERAGE(B2:B14)</f>
        <v>71.615384615384613</v>
      </c>
      <c r="C17" s="15">
        <f t="shared" si="0"/>
        <v>71.769230769230774</v>
      </c>
      <c r="D17" s="15">
        <f t="shared" si="0"/>
        <v>0.44769230769230767</v>
      </c>
      <c r="E17" s="15">
        <f t="shared" si="0"/>
        <v>0.83769230769230763</v>
      </c>
      <c r="F17" s="15">
        <f t="shared" si="0"/>
        <v>1.9846153846153849</v>
      </c>
      <c r="G17" s="15">
        <f t="shared" si="0"/>
        <v>4.8769230769230765</v>
      </c>
      <c r="H17" s="15">
        <f t="shared" si="0"/>
        <v>4.930769230769231</v>
      </c>
      <c r="I17" s="15">
        <f t="shared" si="0"/>
        <v>1.0615384615384615</v>
      </c>
      <c r="J17" s="15">
        <f t="shared" si="0"/>
        <v>0.39999999999999997</v>
      </c>
      <c r="K17" s="15">
        <f t="shared" si="0"/>
        <v>2.0307692307692311</v>
      </c>
      <c r="L17" s="15">
        <f t="shared" si="0"/>
        <v>17.330769230769231</v>
      </c>
      <c r="M17" s="15">
        <f t="shared" si="0"/>
        <v>6.1538461538461542</v>
      </c>
      <c r="N17" s="15">
        <f t="shared" si="0"/>
        <v>13.638461538461538</v>
      </c>
      <c r="O17" s="16">
        <f>M17/N17</f>
        <v>0.45121263395375072</v>
      </c>
      <c r="P17" s="16">
        <f>AVERAGE(O2:O14)</f>
        <v>3.0384615384615392</v>
      </c>
      <c r="Q17" s="16">
        <f>AVERAGE(P2:P14)</f>
        <v>3.6307692307692312</v>
      </c>
      <c r="R17" s="15">
        <f>P17/Q17</f>
        <v>0.83686440677966112</v>
      </c>
    </row>
    <row r="19" spans="1:18">
      <c r="A19" s="13" t="s">
        <v>124</v>
      </c>
      <c r="B19" s="11" t="s">
        <v>3</v>
      </c>
      <c r="C19" s="11" t="s">
        <v>4</v>
      </c>
      <c r="D19" s="11" t="s">
        <v>5</v>
      </c>
      <c r="E19" s="11" t="s">
        <v>6</v>
      </c>
      <c r="F19" s="11" t="s">
        <v>7</v>
      </c>
      <c r="G19" s="11" t="s">
        <v>8</v>
      </c>
      <c r="H19" s="11" t="s">
        <v>9</v>
      </c>
      <c r="I19" s="11" t="s">
        <v>10</v>
      </c>
      <c r="J19" s="11" t="s">
        <v>11</v>
      </c>
      <c r="K19" s="12" t="s">
        <v>12</v>
      </c>
      <c r="L19" s="12" t="s">
        <v>13</v>
      </c>
      <c r="M19" s="12" t="s">
        <v>126</v>
      </c>
      <c r="N19" s="12" t="s">
        <v>127</v>
      </c>
    </row>
    <row r="20" spans="1:18">
      <c r="A20" s="6"/>
      <c r="B20" s="16">
        <f>K20/L20</f>
        <v>0.45121263395375077</v>
      </c>
      <c r="C20" s="15">
        <f>M20/N20</f>
        <v>0.83686440677966112</v>
      </c>
      <c r="D20" s="15">
        <f t="shared" ref="D20:N20" si="1">SUM(F2:F14)</f>
        <v>25.800000000000004</v>
      </c>
      <c r="E20" s="15">
        <f t="shared" si="1"/>
        <v>63.4</v>
      </c>
      <c r="F20" s="15">
        <f t="shared" si="1"/>
        <v>64.100000000000009</v>
      </c>
      <c r="G20" s="15">
        <f t="shared" si="1"/>
        <v>13.8</v>
      </c>
      <c r="H20" s="15">
        <f t="shared" si="1"/>
        <v>5.1999999999999993</v>
      </c>
      <c r="I20" s="15">
        <f t="shared" si="1"/>
        <v>26.400000000000002</v>
      </c>
      <c r="J20" s="15">
        <f t="shared" si="1"/>
        <v>225.3</v>
      </c>
      <c r="K20" s="15">
        <f t="shared" si="1"/>
        <v>80</v>
      </c>
      <c r="L20" s="15">
        <f t="shared" si="1"/>
        <v>177.29999999999998</v>
      </c>
      <c r="M20" s="15">
        <f t="shared" si="1"/>
        <v>39.500000000000007</v>
      </c>
      <c r="N20" s="15">
        <f t="shared" si="1"/>
        <v>47.2</v>
      </c>
    </row>
  </sheetData>
  <sortState xmlns:xlrd2="http://schemas.microsoft.com/office/spreadsheetml/2017/richdata2" ref="A2:P14">
    <sortCondition ref="B2"/>
  </sortState>
  <conditionalFormatting sqref="D2:D14">
    <cfRule type="colorScale" priority="18">
      <colorScale>
        <cfvo type="min"/>
        <cfvo type="percentile" val="50"/>
        <cfvo type="max"/>
        <color rgb="FFF8696B"/>
        <color rgb="FFFFEB84"/>
        <color rgb="FF63BE7B"/>
      </colorScale>
    </cfRule>
  </conditionalFormatting>
  <conditionalFormatting sqref="E2:E14">
    <cfRule type="colorScale" priority="17">
      <colorScale>
        <cfvo type="min"/>
        <cfvo type="percentile" val="50"/>
        <cfvo type="max"/>
        <color rgb="FFF8696B"/>
        <color rgb="FFFFEB84"/>
        <color rgb="FF63BE7B"/>
      </colorScale>
    </cfRule>
  </conditionalFormatting>
  <conditionalFormatting sqref="F2:F14">
    <cfRule type="colorScale" priority="16">
      <colorScale>
        <cfvo type="min"/>
        <cfvo type="percentile" val="50"/>
        <cfvo type="max"/>
        <color rgb="FFF8696B"/>
        <color rgb="FFFFEB84"/>
        <color rgb="FF63BE7B"/>
      </colorScale>
    </cfRule>
  </conditionalFormatting>
  <conditionalFormatting sqref="G2:G14">
    <cfRule type="colorScale" priority="15">
      <colorScale>
        <cfvo type="min"/>
        <cfvo type="percentile" val="50"/>
        <cfvo type="max"/>
        <color rgb="FFF8696B"/>
        <color rgb="FFFFEB84"/>
        <color rgb="FF63BE7B"/>
      </colorScale>
    </cfRule>
  </conditionalFormatting>
  <conditionalFormatting sqref="H2:H14">
    <cfRule type="colorScale" priority="14">
      <colorScale>
        <cfvo type="min"/>
        <cfvo type="percentile" val="50"/>
        <cfvo type="max"/>
        <color rgb="FFF8696B"/>
        <color rgb="FFFFEB84"/>
        <color rgb="FF63BE7B"/>
      </colorScale>
    </cfRule>
  </conditionalFormatting>
  <conditionalFormatting sqref="I2:I14">
    <cfRule type="colorScale" priority="13">
      <colorScale>
        <cfvo type="min"/>
        <cfvo type="percentile" val="50"/>
        <cfvo type="max"/>
        <color rgb="FFF8696B"/>
        <color rgb="FFFFEB84"/>
        <color rgb="FF63BE7B"/>
      </colorScale>
    </cfRule>
  </conditionalFormatting>
  <conditionalFormatting sqref="J2:J14">
    <cfRule type="colorScale" priority="12">
      <colorScale>
        <cfvo type="min"/>
        <cfvo type="percentile" val="50"/>
        <cfvo type="max"/>
        <color rgb="FFF8696B"/>
        <color rgb="FFFFEB84"/>
        <color rgb="FF63BE7B"/>
      </colorScale>
    </cfRule>
  </conditionalFormatting>
  <conditionalFormatting sqref="K2:K14">
    <cfRule type="colorScale" priority="11">
      <colorScale>
        <cfvo type="min"/>
        <cfvo type="percentile" val="50"/>
        <cfvo type="max"/>
        <color rgb="FF63BE7B"/>
        <color rgb="FFFFEB84"/>
        <color rgb="FFF8696B"/>
      </colorScale>
    </cfRule>
  </conditionalFormatting>
  <conditionalFormatting sqref="L2:L14">
    <cfRule type="colorScale" priority="10">
      <colorScale>
        <cfvo type="min"/>
        <cfvo type="percentile" val="50"/>
        <cfvo type="max"/>
        <color rgb="FFF8696B"/>
        <color rgb="FFFFEB84"/>
        <color rgb="FF63BE7B"/>
      </colorScale>
    </cfRule>
  </conditionalFormatting>
  <conditionalFormatting sqref="Q2:Q14">
    <cfRule type="colorScale" priority="9">
      <colorScale>
        <cfvo type="min"/>
        <cfvo type="percentile" val="50"/>
        <cfvo type="max"/>
        <color rgb="FFF8696B"/>
        <color rgb="FFFFEB84"/>
        <color rgb="FF63BE7B"/>
      </colorScale>
    </cfRule>
  </conditionalFormatting>
  <conditionalFormatting sqref="R2:R14">
    <cfRule type="colorScale" priority="8">
      <colorScale>
        <cfvo type="min"/>
        <cfvo type="percentile" val="50"/>
        <cfvo type="max"/>
        <color rgb="FFF8696B"/>
        <color rgb="FFFFEB84"/>
        <color rgb="FF63BE7B"/>
      </colorScale>
    </cfRule>
  </conditionalFormatting>
  <conditionalFormatting sqref="S2:S14">
    <cfRule type="colorScale" priority="7">
      <colorScale>
        <cfvo type="min"/>
        <cfvo type="percentile" val="50"/>
        <cfvo type="max"/>
        <color rgb="FFF8696B"/>
        <color rgb="FFFFEB84"/>
        <color rgb="FF63BE7B"/>
      </colorScale>
    </cfRule>
  </conditionalFormatting>
  <conditionalFormatting sqref="T2:T14">
    <cfRule type="colorScale" priority="6">
      <colorScale>
        <cfvo type="min"/>
        <cfvo type="percentile" val="50"/>
        <cfvo type="max"/>
        <color rgb="FFF8696B"/>
        <color rgb="FFFFEB84"/>
        <color rgb="FF63BE7B"/>
      </colorScale>
    </cfRule>
  </conditionalFormatting>
  <conditionalFormatting sqref="U2:U14">
    <cfRule type="colorScale" priority="5">
      <colorScale>
        <cfvo type="min"/>
        <cfvo type="percentile" val="50"/>
        <cfvo type="max"/>
        <color rgb="FFF8696B"/>
        <color rgb="FFFFEB84"/>
        <color rgb="FF63BE7B"/>
      </colorScale>
    </cfRule>
  </conditionalFormatting>
  <conditionalFormatting sqref="V2:V14">
    <cfRule type="colorScale" priority="4">
      <colorScale>
        <cfvo type="min"/>
        <cfvo type="percentile" val="50"/>
        <cfvo type="max"/>
        <color rgb="FFF8696B"/>
        <color rgb="FFFFEB84"/>
        <color rgb="FF63BE7B"/>
      </colorScale>
    </cfRule>
  </conditionalFormatting>
  <conditionalFormatting sqref="W2:W14">
    <cfRule type="colorScale" priority="3">
      <colorScale>
        <cfvo type="min"/>
        <cfvo type="percentile" val="50"/>
        <cfvo type="max"/>
        <color rgb="FFF8696B"/>
        <color rgb="FFFFEB84"/>
        <color rgb="FF63BE7B"/>
      </colorScale>
    </cfRule>
  </conditionalFormatting>
  <conditionalFormatting sqref="X2:X14">
    <cfRule type="colorScale" priority="2">
      <colorScale>
        <cfvo type="min"/>
        <cfvo type="percentile" val="50"/>
        <cfvo type="max"/>
        <color rgb="FFF8696B"/>
        <color rgb="FFFFEB84"/>
        <color rgb="FF63BE7B"/>
      </colorScale>
    </cfRule>
  </conditionalFormatting>
  <conditionalFormatting sqref="Y2:Y14">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B89EB-CAF6-2F43-80BC-34396832DF62}">
  <sheetPr codeName="Sheet9"/>
  <dimension ref="A1:Y20"/>
  <sheetViews>
    <sheetView workbookViewId="0">
      <selection activeCell="A10" sqref="A10"/>
    </sheetView>
  </sheetViews>
  <sheetFormatPr baseColWidth="10" defaultRowHeight="16"/>
  <cols>
    <col min="1" max="1" width="18.83203125" customWidth="1"/>
  </cols>
  <sheetData>
    <row r="1" spans="1:25">
      <c r="A1" s="1" t="s">
        <v>0</v>
      </c>
      <c r="B1" s="2" t="s">
        <v>1</v>
      </c>
      <c r="C1" s="3" t="s">
        <v>2</v>
      </c>
      <c r="D1" s="4" t="s">
        <v>3</v>
      </c>
      <c r="E1" s="4" t="s">
        <v>4</v>
      </c>
      <c r="F1" s="4" t="s">
        <v>5</v>
      </c>
      <c r="G1" s="4" t="s">
        <v>6</v>
      </c>
      <c r="H1" s="4" t="s">
        <v>7</v>
      </c>
      <c r="I1" s="4" t="s">
        <v>8</v>
      </c>
      <c r="J1" s="4" t="s">
        <v>9</v>
      </c>
      <c r="K1" s="4" t="s">
        <v>10</v>
      </c>
      <c r="L1" s="4" t="s">
        <v>11</v>
      </c>
      <c r="M1" s="5" t="s">
        <v>12</v>
      </c>
      <c r="N1" s="5" t="s">
        <v>13</v>
      </c>
      <c r="O1" s="5" t="s">
        <v>126</v>
      </c>
      <c r="P1" s="5" t="s">
        <v>127</v>
      </c>
      <c r="Q1" s="27" t="s">
        <v>144</v>
      </c>
      <c r="R1" s="28" t="s">
        <v>145</v>
      </c>
      <c r="S1" s="29" t="s">
        <v>146</v>
      </c>
      <c r="T1" s="29" t="s">
        <v>147</v>
      </c>
      <c r="U1" s="29" t="s">
        <v>148</v>
      </c>
      <c r="V1" s="29" t="s">
        <v>149</v>
      </c>
      <c r="W1" s="29" t="s">
        <v>150</v>
      </c>
      <c r="X1" s="29" t="s">
        <v>151</v>
      </c>
      <c r="Y1" s="29" t="s">
        <v>152</v>
      </c>
    </row>
    <row r="2" spans="1:25">
      <c r="A2" s="7" t="s">
        <v>14</v>
      </c>
      <c r="B2" s="8">
        <f>IFERROR(VLOOKUP($A2, All!$A$1:$AB$699,2,0),300)</f>
        <v>1</v>
      </c>
      <c r="C2" s="8">
        <f>IFERROR(VLOOKUP($A2, All!$A$1:$AB$699,3,0),70)</f>
        <v>74</v>
      </c>
      <c r="D2" s="8">
        <f>IFERROR(VLOOKUP($A2, All!$A$1:$AB$699,4,0),Math!B$2)</f>
        <v>0.52</v>
      </c>
      <c r="E2" s="8">
        <f>IFERROR(VLOOKUP($A2, All!$A$1:$AB$700,5,0),Math!C$2)</f>
        <v>0.81</v>
      </c>
      <c r="F2" s="8">
        <f>IFERROR(VLOOKUP($A2, All!$A$1:$AB$700,6,0),Math!D$2)</f>
        <v>1</v>
      </c>
      <c r="G2" s="8">
        <f>IFERROR(VLOOKUP($A2, All!$A$1:$AB$700,7,0),Math!E$2)</f>
        <v>11.3</v>
      </c>
      <c r="H2" s="8">
        <f>IFERROR(VLOOKUP($A2, All!$A$1:$AB$700,8,0),Math!F$2)</f>
        <v>3.5</v>
      </c>
      <c r="I2" s="8">
        <f>IFERROR(VLOOKUP($A2, All!$A$1:$AB$700,9,0),Math!G$2)</f>
        <v>1.7</v>
      </c>
      <c r="J2" s="8">
        <f>IFERROR(VLOOKUP($A2, All!$A$1:$AB$700,10,0),Math!H$2)</f>
        <v>2.6</v>
      </c>
      <c r="K2" s="8">
        <f>IFERROR(VLOOKUP($A2, All!$A$1:$AB$700,11,0),Math!I$2)</f>
        <v>2.2000000000000002</v>
      </c>
      <c r="L2" s="8">
        <f>IFERROR(VLOOKUP($A2, All!$A$1:$AB$700,12,0),Math!J$2)</f>
        <v>27.7</v>
      </c>
      <c r="M2" s="8">
        <f>IFERROR(VLOOKUP($A2, All!$A$1:$AB$700,13,0),Math!K$2)</f>
        <v>10</v>
      </c>
      <c r="N2" s="8">
        <f>IFERROR(VLOOKUP($A2, All!$A$1:$AB$700,14,0),Math!L$2)</f>
        <v>19.3</v>
      </c>
      <c r="O2" s="8">
        <f>IFERROR(VLOOKUP($A2, All!$A$1:$AB$700,15,0),Math!M$2)</f>
        <v>6.6</v>
      </c>
      <c r="P2" s="8">
        <f>IFERROR(VLOOKUP($A2, All!$A$1:$AB$700,16,0),Math!N$2)</f>
        <v>8.1</v>
      </c>
      <c r="Q2" s="31">
        <f>IFERROR(VLOOKUP($A2, All!$A$1:$AB$700,17,0),0)</f>
        <v>0.78838281718936221</v>
      </c>
      <c r="R2" s="31">
        <f>IFERROR(VLOOKUP($A2, All!$A$1:$AB$700,18,0),0)</f>
        <v>0.36109665445982869</v>
      </c>
      <c r="S2" s="31">
        <f>IFERROR(VLOOKUP($A2, All!$A$1:$AB$700,19,0),0)</f>
        <v>-0.49197202211553048</v>
      </c>
      <c r="T2" s="31">
        <f>IFERROR(VLOOKUP($A2, All!$A$1:$AB$700,20,0),0)</f>
        <v>2.0681573324052156</v>
      </c>
      <c r="U2" s="31">
        <f>IFERROR(VLOOKUP($A2, All!$A$1:$AB$700,21,0),0)</f>
        <v>0.10809893131720544</v>
      </c>
      <c r="V2" s="31">
        <f>IFERROR(VLOOKUP($A2, All!$A$1:$AB$700,22,0),0)</f>
        <v>1.9260027275030867</v>
      </c>
      <c r="W2" s="31">
        <f>IFERROR(VLOOKUP($A2, All!$A$1:$AB$700,23,0),0)</f>
        <v>3.513815373871997</v>
      </c>
      <c r="X2" s="31">
        <f>IFERROR(VLOOKUP($A2, All!$A$1:$AB$700,24,0),0)</f>
        <v>-0.60167834306932821</v>
      </c>
      <c r="Y2" s="31">
        <f>IFERROR(VLOOKUP($A2, All!$A$1:$AB$700,25,0),0)</f>
        <v>2.4956261968111471</v>
      </c>
    </row>
    <row r="3" spans="1:25">
      <c r="A3" s="7" t="s">
        <v>22</v>
      </c>
      <c r="B3" s="8">
        <f>IFERROR(VLOOKUP($A3, All!$A$1:$AB$699,2,0),300)</f>
        <v>15</v>
      </c>
      <c r="C3" s="8">
        <f>IFERROR(VLOOKUP($A3, All!$A$1:$AB$699,3,0),70)</f>
        <v>78</v>
      </c>
      <c r="D3" s="8">
        <f>IFERROR(VLOOKUP($A3, All!$A$1:$AB$699,4,0),Math!B$2)</f>
        <v>0.49</v>
      </c>
      <c r="E3" s="8">
        <f>IFERROR(VLOOKUP($A3, All!$A$1:$AB$700,5,0),Math!C$2)</f>
        <v>0.8</v>
      </c>
      <c r="F3" s="8">
        <f>IFERROR(VLOOKUP($A3, All!$A$1:$AB$700,6,0),Math!D$2)</f>
        <v>1.2</v>
      </c>
      <c r="G3" s="8">
        <f>IFERROR(VLOOKUP($A3, All!$A$1:$AB$700,7,0),Math!E$2)</f>
        <v>12.1</v>
      </c>
      <c r="H3" s="8">
        <f>IFERROR(VLOOKUP($A3, All!$A$1:$AB$700,8,0),Math!F$2)</f>
        <v>4.0999999999999996</v>
      </c>
      <c r="I3" s="8">
        <f>IFERROR(VLOOKUP($A3, All!$A$1:$AB$700,9,0),Math!G$2)</f>
        <v>1</v>
      </c>
      <c r="J3" s="8">
        <f>IFERROR(VLOOKUP($A3, All!$A$1:$AB$700,10,0),Math!H$2)</f>
        <v>1.2</v>
      </c>
      <c r="K3" s="8">
        <f>IFERROR(VLOOKUP($A3, All!$A$1:$AB$700,11,0),Math!I$2)</f>
        <v>2</v>
      </c>
      <c r="L3" s="8">
        <f>IFERROR(VLOOKUP($A3, All!$A$1:$AB$700,12,0),Math!J$2)</f>
        <v>20.100000000000001</v>
      </c>
      <c r="M3" s="8">
        <f>IFERROR(VLOOKUP($A3, All!$A$1:$AB$700,13,0),Math!K$2)</f>
        <v>8.3000000000000007</v>
      </c>
      <c r="N3" s="8">
        <f>IFERROR(VLOOKUP($A3, All!$A$1:$AB$700,14,0),Math!L$2)</f>
        <v>17.100000000000001</v>
      </c>
      <c r="O3" s="8">
        <f>IFERROR(VLOOKUP($A3, All!$A$1:$AB$700,15,0),Math!M$2)</f>
        <v>2.4</v>
      </c>
      <c r="P3" s="8">
        <f>IFERROR(VLOOKUP($A3, All!$A$1:$AB$700,16,0),Math!N$2)</f>
        <v>3</v>
      </c>
      <c r="Q3" s="31">
        <f>IFERROR(VLOOKUP($A3, All!$A$1:$AB$700,17,0),0)</f>
        <v>0.23383452842779492</v>
      </c>
      <c r="R3" s="31">
        <f>IFERROR(VLOOKUP($A3, All!$A$1:$AB$700,18,0),0)</f>
        <v>0.23992328048002048</v>
      </c>
      <c r="S3" s="31">
        <f>IFERROR(VLOOKUP($A3, All!$A$1:$AB$700,19,0),0)</f>
        <v>-0.27619481943328023</v>
      </c>
      <c r="T3" s="31">
        <f>IFERROR(VLOOKUP($A3, All!$A$1:$AB$700,20,0),0)</f>
        <v>2.3719909318771046</v>
      </c>
      <c r="U3" s="31">
        <f>IFERROR(VLOOKUP($A3, All!$A$1:$AB$700,21,0),0)</f>
        <v>0.40907043382450697</v>
      </c>
      <c r="V3" s="31">
        <f>IFERROR(VLOOKUP($A3, All!$A$1:$AB$700,22,0),0)</f>
        <v>7.9150797020674304E-2</v>
      </c>
      <c r="W3" s="31">
        <f>IFERROR(VLOOKUP($A3, All!$A$1:$AB$700,23,0),0)</f>
        <v>0.93689472252532613</v>
      </c>
      <c r="X3" s="31">
        <f>IFERROR(VLOOKUP($A3, All!$A$1:$AB$700,24,0),0)</f>
        <v>-0.33337138963818985</v>
      </c>
      <c r="Y3" s="31">
        <f>IFERROR(VLOOKUP($A3, All!$A$1:$AB$700,25,0),0)</f>
        <v>0.97182455016820402</v>
      </c>
    </row>
    <row r="4" spans="1:25">
      <c r="A4" s="7" t="s">
        <v>26</v>
      </c>
      <c r="B4" s="8">
        <f>IFERROR(VLOOKUP($A4, All!$A$1:$AB$699,2,0),300)</f>
        <v>21</v>
      </c>
      <c r="C4" s="8">
        <f>IFERROR(VLOOKUP($A4, All!$A$1:$AB$699,3,0),70)</f>
        <v>72</v>
      </c>
      <c r="D4" s="8">
        <f>IFERROR(VLOOKUP($A4, All!$A$1:$AB$699,4,0),Math!B$2)</f>
        <v>0.56000000000000005</v>
      </c>
      <c r="E4" s="8">
        <f>IFERROR(VLOOKUP($A4, All!$A$1:$AB$700,5,0),Math!C$2)</f>
        <v>0.75</v>
      </c>
      <c r="F4" s="8">
        <f>IFERROR(VLOOKUP($A4, All!$A$1:$AB$700,6,0),Math!D$2)</f>
        <v>0</v>
      </c>
      <c r="G4" s="8">
        <f>IFERROR(VLOOKUP($A4, All!$A$1:$AB$700,7,0),Math!E$2)</f>
        <v>11</v>
      </c>
      <c r="H4" s="8">
        <f>IFERROR(VLOOKUP($A4, All!$A$1:$AB$700,8,0),Math!F$2)</f>
        <v>2</v>
      </c>
      <c r="I4" s="8">
        <f>IFERROR(VLOOKUP($A4, All!$A$1:$AB$700,9,0),Math!G$2)</f>
        <v>0.9</v>
      </c>
      <c r="J4" s="8">
        <f>IFERROR(VLOOKUP($A4, All!$A$1:$AB$700,10,0),Math!H$2)</f>
        <v>1.3</v>
      </c>
      <c r="K4" s="8">
        <f>IFERROR(VLOOKUP($A4, All!$A$1:$AB$700,11,0),Math!I$2)</f>
        <v>1.9</v>
      </c>
      <c r="L4" s="8">
        <f>IFERROR(VLOOKUP($A4, All!$A$1:$AB$700,12,0),Math!J$2)</f>
        <v>19.5</v>
      </c>
      <c r="M4" s="8">
        <f>IFERROR(VLOOKUP($A4, All!$A$1:$AB$700,13,0),Math!K$2)</f>
        <v>8.5</v>
      </c>
      <c r="N4" s="8">
        <f>IFERROR(VLOOKUP($A4, All!$A$1:$AB$700,14,0),Math!L$2)</f>
        <v>15.3</v>
      </c>
      <c r="O4" s="8">
        <f>IFERROR(VLOOKUP($A4, All!$A$1:$AB$700,15,0),Math!M$2)</f>
        <v>2.4</v>
      </c>
      <c r="P4" s="8">
        <f>IFERROR(VLOOKUP($A4, All!$A$1:$AB$700,16,0),Math!N$2)</f>
        <v>3.2</v>
      </c>
      <c r="Q4" s="31">
        <f>IFERROR(VLOOKUP($A4, All!$A$1:$AB$700,17,0),0)</f>
        <v>1.5277805355381187</v>
      </c>
      <c r="R4" s="31">
        <f>IFERROR(VLOOKUP($A4, All!$A$1:$AB$700,18,0),0)</f>
        <v>-0.3659435894190205</v>
      </c>
      <c r="S4" s="31">
        <f>IFERROR(VLOOKUP($A4, All!$A$1:$AB$700,19,0),0)</f>
        <v>-1.5708580355267823</v>
      </c>
      <c r="T4" s="31">
        <f>IFERROR(VLOOKUP($A4, All!$A$1:$AB$700,20,0),0)</f>
        <v>1.9542197326032569</v>
      </c>
      <c r="U4" s="31">
        <f>IFERROR(VLOOKUP($A4, All!$A$1:$AB$700,21,0),0)</f>
        <v>-0.64432982495104885</v>
      </c>
      <c r="V4" s="31">
        <f>IFERROR(VLOOKUP($A4, All!$A$1:$AB$700,22,0),0)</f>
        <v>-0.18468519304824169</v>
      </c>
      <c r="W4" s="31">
        <f>IFERROR(VLOOKUP($A4, All!$A$1:$AB$700,23,0),0)</f>
        <v>1.1209604833358027</v>
      </c>
      <c r="X4" s="31">
        <f>IFERROR(VLOOKUP($A4, All!$A$1:$AB$700,24,0),0)</f>
        <v>-0.19921791292262073</v>
      </c>
      <c r="Y4" s="31">
        <f>IFERROR(VLOOKUP($A4, All!$A$1:$AB$700,25,0),0)</f>
        <v>0.85152442017007657</v>
      </c>
    </row>
    <row r="5" spans="1:25">
      <c r="A5" s="7" t="s">
        <v>892</v>
      </c>
      <c r="B5" s="8">
        <f>IFERROR(VLOOKUP($A5, All!$A$1:$AB$699,2,0),300)</f>
        <v>35</v>
      </c>
      <c r="C5" s="8">
        <f>IFERROR(VLOOKUP($A5, All!$A$1:$AB$699,3,0),70)</f>
        <v>76</v>
      </c>
      <c r="D5" s="8">
        <f>IFERROR(VLOOKUP($A5, All!$A$1:$AB$699,4,0),Math!B$2)</f>
        <v>0.47</v>
      </c>
      <c r="E5" s="8">
        <f>IFERROR(VLOOKUP($A5, All!$A$1:$AB$700,5,0),Math!C$2)</f>
        <v>0.8</v>
      </c>
      <c r="F5" s="8">
        <f>IFERROR(VLOOKUP($A5, All!$A$1:$AB$700,6,0),Math!D$2)</f>
        <v>2.2000000000000002</v>
      </c>
      <c r="G5" s="8">
        <f>IFERROR(VLOOKUP($A5, All!$A$1:$AB$700,7,0),Math!E$2)</f>
        <v>5.7</v>
      </c>
      <c r="H5" s="8">
        <f>IFERROR(VLOOKUP($A5, All!$A$1:$AB$700,8,0),Math!F$2)</f>
        <v>2.6</v>
      </c>
      <c r="I5" s="8">
        <f>IFERROR(VLOOKUP($A5, All!$A$1:$AB$700,9,0),Math!G$2)</f>
        <v>1.5</v>
      </c>
      <c r="J5" s="8">
        <f>IFERROR(VLOOKUP($A5, All!$A$1:$AB$700,10,0),Math!H$2)</f>
        <v>0.7</v>
      </c>
      <c r="K5" s="8">
        <f>IFERROR(VLOOKUP($A5, All!$A$1:$AB$700,11,0),Math!I$2)</f>
        <v>1.3</v>
      </c>
      <c r="L5" s="8">
        <f>IFERROR(VLOOKUP($A5, All!$A$1:$AB$700,12,0),Math!J$2)</f>
        <v>16.899999999999999</v>
      </c>
      <c r="M5" s="8">
        <f>IFERROR(VLOOKUP($A5, All!$A$1:$AB$700,13,0),Math!K$2)</f>
        <v>6.5</v>
      </c>
      <c r="N5" s="8">
        <f>IFERROR(VLOOKUP($A5, All!$A$1:$AB$700,14,0),Math!L$2)</f>
        <v>13.9</v>
      </c>
      <c r="O5" s="8">
        <f>IFERROR(VLOOKUP($A5, All!$A$1:$AB$700,15,0),Math!M$2)</f>
        <v>1.6</v>
      </c>
      <c r="P5" s="8">
        <f>IFERROR(VLOOKUP($A5, All!$A$1:$AB$700,16,0),Math!N$2)</f>
        <v>2</v>
      </c>
      <c r="Q5" s="31">
        <f>IFERROR(VLOOKUP($A5, All!$A$1:$AB$700,17,0),0)</f>
        <v>-0.13586433074658327</v>
      </c>
      <c r="R5" s="31">
        <f>IFERROR(VLOOKUP($A5, All!$A$1:$AB$700,18,0),0)</f>
        <v>0.23992328048002048</v>
      </c>
      <c r="S5" s="31">
        <f>IFERROR(VLOOKUP($A5, All!$A$1:$AB$700,19,0),0)</f>
        <v>0.80269119397797173</v>
      </c>
      <c r="T5" s="31">
        <f>IFERROR(VLOOKUP($A5, All!$A$1:$AB$700,20,0),0)</f>
        <v>-5.8677863898009143E-2</v>
      </c>
      <c r="U5" s="31">
        <f>IFERROR(VLOOKUP($A5, All!$A$1:$AB$700,21,0),0)</f>
        <v>-0.34335832244374709</v>
      </c>
      <c r="V5" s="31">
        <f>IFERROR(VLOOKUP($A5, All!$A$1:$AB$700,22,0),0)</f>
        <v>1.3983307473652546</v>
      </c>
      <c r="W5" s="31">
        <f>IFERROR(VLOOKUP($A5, All!$A$1:$AB$700,23,0),0)</f>
        <v>1.6565918472943714E-2</v>
      </c>
      <c r="X5" s="31">
        <f>IFERROR(VLOOKUP($A5, All!$A$1:$AB$700,24,0),0)</f>
        <v>0.60570294737079333</v>
      </c>
      <c r="Y5" s="31">
        <f>IFERROR(VLOOKUP($A5, All!$A$1:$AB$700,25,0),0)</f>
        <v>0.33022385684485867</v>
      </c>
    </row>
    <row r="6" spans="1:25">
      <c r="A6" s="7" t="s">
        <v>47</v>
      </c>
      <c r="B6" s="8">
        <f>IFERROR(VLOOKUP($A6, All!$A$1:$AB$699,2,0),300)</f>
        <v>56</v>
      </c>
      <c r="C6" s="8">
        <f>IFERROR(VLOOKUP($A6, All!$A$1:$AB$699,3,0),70)</f>
        <v>70</v>
      </c>
      <c r="D6" s="8">
        <f>IFERROR(VLOOKUP($A6, All!$A$1:$AB$699,4,0),Math!B$2)</f>
        <v>0.5</v>
      </c>
      <c r="E6" s="8">
        <f>IFERROR(VLOOKUP($A6, All!$A$1:$AB$700,5,0),Math!C$2)</f>
        <v>0.86</v>
      </c>
      <c r="F6" s="8">
        <f>IFERROR(VLOOKUP($A6, All!$A$1:$AB$700,6,0),Math!D$2)</f>
        <v>1.1000000000000001</v>
      </c>
      <c r="G6" s="8">
        <f>IFERROR(VLOOKUP($A6, All!$A$1:$AB$700,7,0),Math!E$2)</f>
        <v>6.9</v>
      </c>
      <c r="H6" s="8">
        <f>IFERROR(VLOOKUP($A6, All!$A$1:$AB$700,8,0),Math!F$2)</f>
        <v>3.8</v>
      </c>
      <c r="I6" s="8">
        <f>IFERROR(VLOOKUP($A6, All!$A$1:$AB$700,9,0),Math!G$2)</f>
        <v>0.9</v>
      </c>
      <c r="J6" s="8">
        <f>IFERROR(VLOOKUP($A6, All!$A$1:$AB$700,10,0),Math!H$2)</f>
        <v>1.3</v>
      </c>
      <c r="K6" s="8">
        <f>IFERROR(VLOOKUP($A6, All!$A$1:$AB$700,11,0),Math!I$2)</f>
        <v>1.4</v>
      </c>
      <c r="L6" s="8">
        <f>IFERROR(VLOOKUP($A6, All!$A$1:$AB$700,12,0),Math!J$2)</f>
        <v>12.8</v>
      </c>
      <c r="M6" s="8">
        <f>IFERROR(VLOOKUP($A6, All!$A$1:$AB$700,13,0),Math!K$2)</f>
        <v>5.2</v>
      </c>
      <c r="N6" s="8">
        <f>IFERROR(VLOOKUP($A6, All!$A$1:$AB$700,14,0),Math!L$2)</f>
        <v>10.5</v>
      </c>
      <c r="O6" s="8">
        <f>IFERROR(VLOOKUP($A6, All!$A$1:$AB$700,15,0),Math!M$2)</f>
        <v>1.2</v>
      </c>
      <c r="P6" s="8">
        <f>IFERROR(VLOOKUP($A6, All!$A$1:$AB$700,16,0),Math!N$2)</f>
        <v>1.4</v>
      </c>
      <c r="Q6" s="31">
        <f>IFERROR(VLOOKUP($A6, All!$A$1:$AB$700,17,0),0)</f>
        <v>0.41868395801498404</v>
      </c>
      <c r="R6" s="31">
        <f>IFERROR(VLOOKUP($A6, All!$A$1:$AB$700,18,0),0)</f>
        <v>0.96696352435886834</v>
      </c>
      <c r="S6" s="31">
        <f>IFERROR(VLOOKUP($A6, All!$A$1:$AB$700,19,0),0)</f>
        <v>-0.38408342077440522</v>
      </c>
      <c r="T6" s="31">
        <f>IFERROR(VLOOKUP($A6, All!$A$1:$AB$700,20,0),0)</f>
        <v>0.39707253530982478</v>
      </c>
      <c r="U6" s="31">
        <f>IFERROR(VLOOKUP($A6, All!$A$1:$AB$700,21,0),0)</f>
        <v>0.25858468257085621</v>
      </c>
      <c r="V6" s="31">
        <f>IFERROR(VLOOKUP($A6, All!$A$1:$AB$700,22,0),0)</f>
        <v>-0.18468519304824169</v>
      </c>
      <c r="W6" s="31">
        <f>IFERROR(VLOOKUP($A6, All!$A$1:$AB$700,23,0),0)</f>
        <v>1.1209604833358027</v>
      </c>
      <c r="X6" s="31">
        <f>IFERROR(VLOOKUP($A6, All!$A$1:$AB$700,24,0),0)</f>
        <v>0.47154947065522446</v>
      </c>
      <c r="Y6" s="31">
        <f>IFERROR(VLOOKUP($A6, All!$A$1:$AB$700,25,0),0)</f>
        <v>-0.4918270314756763</v>
      </c>
    </row>
    <row r="7" spans="1:25">
      <c r="A7" s="7" t="s">
        <v>50</v>
      </c>
      <c r="B7" s="8">
        <f>IFERROR(VLOOKUP($A7, All!$A$1:$AB$699,2,0),300)</f>
        <v>55</v>
      </c>
      <c r="C7" s="8">
        <f>IFERROR(VLOOKUP($A7, All!$A$1:$AB$699,3,0),70)</f>
        <v>76</v>
      </c>
      <c r="D7" s="8">
        <f>IFERROR(VLOOKUP($A7, All!$A$1:$AB$699,4,0),Math!B$2)</f>
        <v>0.47</v>
      </c>
      <c r="E7" s="8">
        <f>IFERROR(VLOOKUP($A7, All!$A$1:$AB$700,5,0),Math!C$2)</f>
        <v>0.82</v>
      </c>
      <c r="F7" s="8">
        <f>IFERROR(VLOOKUP($A7, All!$A$1:$AB$700,6,0),Math!D$2)</f>
        <v>0.4</v>
      </c>
      <c r="G7" s="8">
        <f>IFERROR(VLOOKUP($A7, All!$A$1:$AB$700,7,0),Math!E$2)</f>
        <v>6</v>
      </c>
      <c r="H7" s="8">
        <f>IFERROR(VLOOKUP($A7, All!$A$1:$AB$700,8,0),Math!F$2)</f>
        <v>5.2</v>
      </c>
      <c r="I7" s="8">
        <f>IFERROR(VLOOKUP($A7, All!$A$1:$AB$700,9,0),Math!G$2)</f>
        <v>1.1000000000000001</v>
      </c>
      <c r="J7" s="8">
        <f>IFERROR(VLOOKUP($A7, All!$A$1:$AB$700,10,0),Math!H$2)</f>
        <v>0.5</v>
      </c>
      <c r="K7" s="8">
        <f>IFERROR(VLOOKUP($A7, All!$A$1:$AB$700,11,0),Math!I$2)</f>
        <v>2.5</v>
      </c>
      <c r="L7" s="8">
        <f>IFERROR(VLOOKUP($A7, All!$A$1:$AB$700,12,0),Math!J$2)</f>
        <v>21.4</v>
      </c>
      <c r="M7" s="8">
        <f>IFERROR(VLOOKUP($A7, All!$A$1:$AB$700,13,0),Math!K$2)</f>
        <v>8.1999999999999993</v>
      </c>
      <c r="N7" s="8">
        <f>IFERROR(VLOOKUP($A7, All!$A$1:$AB$700,14,0),Math!L$2)</f>
        <v>17.3</v>
      </c>
      <c r="O7" s="8">
        <f>IFERROR(VLOOKUP($A7, All!$A$1:$AB$700,15,0),Math!M$2)</f>
        <v>4.7</v>
      </c>
      <c r="P7" s="8">
        <f>IFERROR(VLOOKUP($A7, All!$A$1:$AB$700,16,0),Math!N$2)</f>
        <v>5.7</v>
      </c>
      <c r="Q7" s="31">
        <f>IFERROR(VLOOKUP($A7, All!$A$1:$AB$700,17,0),0)</f>
        <v>-0.13586433074658327</v>
      </c>
      <c r="R7" s="31">
        <f>IFERROR(VLOOKUP($A7, All!$A$1:$AB$700,18,0),0)</f>
        <v>0.48227002843963551</v>
      </c>
      <c r="S7" s="31">
        <f>IFERROR(VLOOKUP($A7, All!$A$1:$AB$700,19,0),0)</f>
        <v>-1.1393036301622814</v>
      </c>
      <c r="T7" s="31">
        <f>IFERROR(VLOOKUP($A7, All!$A$1:$AB$700,20,0),0)</f>
        <v>5.5259735903949246E-2</v>
      </c>
      <c r="U7" s="31">
        <f>IFERROR(VLOOKUP($A7, All!$A$1:$AB$700,21,0),0)</f>
        <v>0.96085152175456034</v>
      </c>
      <c r="V7" s="31">
        <f>IFERROR(VLOOKUP($A7, All!$A$1:$AB$700,22,0),0)</f>
        <v>0.34298678708959057</v>
      </c>
      <c r="W7" s="31">
        <f>IFERROR(VLOOKUP($A7, All!$A$1:$AB$700,23,0),0)</f>
        <v>-0.35156560314800916</v>
      </c>
      <c r="X7" s="31">
        <f>IFERROR(VLOOKUP($A7, All!$A$1:$AB$700,24,0),0)</f>
        <v>-1.0041387732160352</v>
      </c>
      <c r="Y7" s="31">
        <f>IFERROR(VLOOKUP($A7, All!$A$1:$AB$700,25,0),0)</f>
        <v>1.2324748318308123</v>
      </c>
    </row>
    <row r="8" spans="1:25">
      <c r="A8" s="7" t="s">
        <v>69</v>
      </c>
      <c r="B8" s="8">
        <f>IFERROR(VLOOKUP($A8, All!$A$1:$AB$699,2,0),300)</f>
        <v>61</v>
      </c>
      <c r="C8" s="8">
        <f>IFERROR(VLOOKUP($A8, All!$A$1:$AB$699,3,0),70)</f>
        <v>66</v>
      </c>
      <c r="D8" s="8">
        <f>IFERROR(VLOOKUP($A8, All!$A$1:$AB$699,4,0),Math!B$2)</f>
        <v>0.44</v>
      </c>
      <c r="E8" s="8">
        <f>IFERROR(VLOOKUP($A8, All!$A$1:$AB$700,5,0),Math!C$2)</f>
        <v>0.56999999999999995</v>
      </c>
      <c r="F8" s="8">
        <f>IFERROR(VLOOKUP($A8, All!$A$1:$AB$700,6,0),Math!D$2)</f>
        <v>1.7</v>
      </c>
      <c r="G8" s="8">
        <f>IFERROR(VLOOKUP($A8, All!$A$1:$AB$700,7,0),Math!E$2)</f>
        <v>5.7</v>
      </c>
      <c r="H8" s="8">
        <f>IFERROR(VLOOKUP($A8, All!$A$1:$AB$700,8,0),Math!F$2)</f>
        <v>8.5</v>
      </c>
      <c r="I8" s="8">
        <f>IFERROR(VLOOKUP($A8, All!$A$1:$AB$700,9,0),Math!G$2)</f>
        <v>1.7</v>
      </c>
      <c r="J8" s="8">
        <f>IFERROR(VLOOKUP($A8, All!$A$1:$AB$700,10,0),Math!H$2)</f>
        <v>0.4</v>
      </c>
      <c r="K8" s="8">
        <f>IFERROR(VLOOKUP($A8, All!$A$1:$AB$700,11,0),Math!I$2)</f>
        <v>2.2999999999999998</v>
      </c>
      <c r="L8" s="8">
        <f>IFERROR(VLOOKUP($A8, All!$A$1:$AB$700,12,0),Math!J$2)</f>
        <v>12.1</v>
      </c>
      <c r="M8" s="8">
        <f>IFERROR(VLOOKUP($A8, All!$A$1:$AB$700,13,0),Math!K$2)</f>
        <v>4.8</v>
      </c>
      <c r="N8" s="8">
        <f>IFERROR(VLOOKUP($A8, All!$A$1:$AB$700,14,0),Math!L$2)</f>
        <v>10.8</v>
      </c>
      <c r="O8" s="8">
        <f>IFERROR(VLOOKUP($A8, All!$A$1:$AB$700,15,0),Math!M$2)</f>
        <v>0.8</v>
      </c>
      <c r="P8" s="8">
        <f>IFERROR(VLOOKUP($A8, All!$A$1:$AB$700,16,0),Math!N$2)</f>
        <v>1.4</v>
      </c>
      <c r="Q8" s="31">
        <f>IFERROR(VLOOKUP($A8, All!$A$1:$AB$700,17,0),0)</f>
        <v>-0.69041261950814947</v>
      </c>
      <c r="R8" s="31">
        <f>IFERROR(VLOOKUP($A8, All!$A$1:$AB$700,18,0),0)</f>
        <v>-2.5470643210555668</v>
      </c>
      <c r="S8" s="31">
        <f>IFERROR(VLOOKUP($A8, All!$A$1:$AB$700,19,0),0)</f>
        <v>0.26324818727234567</v>
      </c>
      <c r="T8" s="31">
        <f>IFERROR(VLOOKUP($A8, All!$A$1:$AB$700,20,0),0)</f>
        <v>-5.8677863898009143E-2</v>
      </c>
      <c r="U8" s="31">
        <f>IFERROR(VLOOKUP($A8, All!$A$1:$AB$700,21,0),0)</f>
        <v>2.6161947855447196</v>
      </c>
      <c r="V8" s="31">
        <f>IFERROR(VLOOKUP($A8, All!$A$1:$AB$700,22,0),0)</f>
        <v>1.9260027275030867</v>
      </c>
      <c r="W8" s="31">
        <f>IFERROR(VLOOKUP($A8, All!$A$1:$AB$700,23,0),0)</f>
        <v>-0.53563136395848565</v>
      </c>
      <c r="X8" s="31">
        <f>IFERROR(VLOOKUP($A8, All!$A$1:$AB$700,24,0),0)</f>
        <v>-0.73583181978489676</v>
      </c>
      <c r="Y8" s="31">
        <f>IFERROR(VLOOKUP($A8, All!$A$1:$AB$700,25,0),0)</f>
        <v>-0.63217718314015814</v>
      </c>
    </row>
    <row r="9" spans="1:25">
      <c r="A9" s="7" t="s">
        <v>73</v>
      </c>
      <c r="B9" s="8">
        <f>IFERROR(VLOOKUP($A9, All!$A$1:$AB$699,2,0),300)</f>
        <v>66</v>
      </c>
      <c r="C9" s="8">
        <f>IFERROR(VLOOKUP($A9, All!$A$1:$AB$699,3,0),70)</f>
        <v>78</v>
      </c>
      <c r="D9" s="8">
        <f>IFERROR(VLOOKUP($A9, All!$A$1:$AB$699,4,0),Math!B$2)</f>
        <v>0.42</v>
      </c>
      <c r="E9" s="8">
        <f>IFERROR(VLOOKUP($A9, All!$A$1:$AB$700,5,0),Math!C$2)</f>
        <v>0.74</v>
      </c>
      <c r="F9" s="8">
        <f>IFERROR(VLOOKUP($A9, All!$A$1:$AB$700,6,0),Math!D$2)</f>
        <v>2.4</v>
      </c>
      <c r="G9" s="8">
        <f>IFERROR(VLOOKUP($A9, All!$A$1:$AB$700,7,0),Math!E$2)</f>
        <v>6.1</v>
      </c>
      <c r="H9" s="8">
        <f>IFERROR(VLOOKUP($A9, All!$A$1:$AB$700,8,0),Math!F$2)</f>
        <v>5.4</v>
      </c>
      <c r="I9" s="8">
        <f>IFERROR(VLOOKUP($A9, All!$A$1:$AB$700,9,0),Math!G$2)</f>
        <v>1.3</v>
      </c>
      <c r="J9" s="8">
        <f>IFERROR(VLOOKUP($A9, All!$A$1:$AB$700,10,0),Math!H$2)</f>
        <v>0.5</v>
      </c>
      <c r="K9" s="8">
        <f>IFERROR(VLOOKUP($A9, All!$A$1:$AB$700,11,0),Math!I$2)</f>
        <v>1.9</v>
      </c>
      <c r="L9" s="8">
        <f>IFERROR(VLOOKUP($A9, All!$A$1:$AB$700,12,0),Math!J$2)</f>
        <v>17.899999999999999</v>
      </c>
      <c r="M9" s="8">
        <f>IFERROR(VLOOKUP($A9, All!$A$1:$AB$700,13,0),Math!K$2)</f>
        <v>7</v>
      </c>
      <c r="N9" s="8">
        <f>IFERROR(VLOOKUP($A9, All!$A$1:$AB$700,14,0),Math!L$2)</f>
        <v>16.7</v>
      </c>
      <c r="O9" s="8">
        <f>IFERROR(VLOOKUP($A9, All!$A$1:$AB$700,15,0),Math!M$2)</f>
        <v>1.4</v>
      </c>
      <c r="P9" s="8">
        <f>IFERROR(VLOOKUP($A9, All!$A$1:$AB$700,16,0),Math!N$2)</f>
        <v>1.9</v>
      </c>
      <c r="Q9" s="31">
        <f>IFERROR(VLOOKUP($A9, All!$A$1:$AB$700,17,0),0)</f>
        <v>-1.0601114786825276</v>
      </c>
      <c r="R9" s="31">
        <f>IFERROR(VLOOKUP($A9, All!$A$1:$AB$700,18,0),0)</f>
        <v>-0.48711696339882865</v>
      </c>
      <c r="S9" s="31">
        <f>IFERROR(VLOOKUP($A9, All!$A$1:$AB$700,19,0),0)</f>
        <v>1.0184683966602219</v>
      </c>
      <c r="T9" s="31">
        <f>IFERROR(VLOOKUP($A9, All!$A$1:$AB$700,20,0),0)</f>
        <v>9.3238935837935272E-2</v>
      </c>
      <c r="U9" s="31">
        <f>IFERROR(VLOOKUP($A9, All!$A$1:$AB$700,21,0),0)</f>
        <v>1.061175355923661</v>
      </c>
      <c r="V9" s="31">
        <f>IFERROR(VLOOKUP($A9, All!$A$1:$AB$700,22,0),0)</f>
        <v>0.87065876722742253</v>
      </c>
      <c r="W9" s="31">
        <f>IFERROR(VLOOKUP($A9, All!$A$1:$AB$700,23,0),0)</f>
        <v>-0.35156560314800916</v>
      </c>
      <c r="X9" s="31">
        <f>IFERROR(VLOOKUP($A9, All!$A$1:$AB$700,24,0),0)</f>
        <v>-0.19921791292262073</v>
      </c>
      <c r="Y9" s="31">
        <f>IFERROR(VLOOKUP($A9, All!$A$1:$AB$700,25,0),0)</f>
        <v>0.53072407350840389</v>
      </c>
    </row>
    <row r="10" spans="1:25">
      <c r="A10" s="7" t="s">
        <v>77</v>
      </c>
      <c r="B10" s="8">
        <f>IFERROR(VLOOKUP($A10, All!$A$1:$AB$699,2,0),300)</f>
        <v>115</v>
      </c>
      <c r="C10" s="8">
        <f>IFERROR(VLOOKUP($A10, All!$A$1:$AB$699,3,0),70)</f>
        <v>80</v>
      </c>
      <c r="D10" s="8">
        <f>IFERROR(VLOOKUP($A10, All!$A$1:$AB$699,4,0),Math!B$2)</f>
        <v>0.46</v>
      </c>
      <c r="E10" s="8">
        <f>IFERROR(VLOOKUP($A10, All!$A$1:$AB$700,5,0),Math!C$2)</f>
        <v>0.71</v>
      </c>
      <c r="F10" s="8">
        <f>IFERROR(VLOOKUP($A10, All!$A$1:$AB$700,6,0),Math!D$2)</f>
        <v>2.2000000000000002</v>
      </c>
      <c r="G10" s="8">
        <f>IFERROR(VLOOKUP($A10, All!$A$1:$AB$700,7,0),Math!E$2)</f>
        <v>3.8</v>
      </c>
      <c r="H10" s="8">
        <f>IFERROR(VLOOKUP($A10, All!$A$1:$AB$700,8,0),Math!F$2)</f>
        <v>4.7</v>
      </c>
      <c r="I10" s="8">
        <f>IFERROR(VLOOKUP($A10, All!$A$1:$AB$700,9,0),Math!G$2)</f>
        <v>1.1000000000000001</v>
      </c>
      <c r="J10" s="8">
        <f>IFERROR(VLOOKUP($A10, All!$A$1:$AB$700,10,0),Math!H$2)</f>
        <v>0.2</v>
      </c>
      <c r="K10" s="8">
        <f>IFERROR(VLOOKUP($A10, All!$A$1:$AB$700,11,0),Math!I$2)</f>
        <v>2.1</v>
      </c>
      <c r="L10" s="8">
        <f>IFERROR(VLOOKUP($A10, All!$A$1:$AB$700,12,0),Math!J$2)</f>
        <v>11.5</v>
      </c>
      <c r="M10" s="8">
        <f>IFERROR(VLOOKUP($A10, All!$A$1:$AB$700,13,0),Math!K$2)</f>
        <v>4.2</v>
      </c>
      <c r="N10" s="8">
        <f>IFERROR(VLOOKUP($A10, All!$A$1:$AB$700,14,0),Math!L$2)</f>
        <v>9.1999999999999993</v>
      </c>
      <c r="O10" s="8">
        <f>IFERROR(VLOOKUP($A10, All!$A$1:$AB$700,15,0),Math!M$2)</f>
        <v>1</v>
      </c>
      <c r="P10" s="8">
        <f>IFERROR(VLOOKUP($A10, All!$A$1:$AB$700,16,0),Math!N$2)</f>
        <v>1.4</v>
      </c>
      <c r="Q10" s="31">
        <f>IFERROR(VLOOKUP($A10, All!$A$1:$AB$700,17,0),0)</f>
        <v>-0.3207137603337713</v>
      </c>
      <c r="R10" s="31">
        <f>IFERROR(VLOOKUP($A10, All!$A$1:$AB$700,18,0),0)</f>
        <v>-0.85063708533825322</v>
      </c>
      <c r="S10" s="31">
        <f>IFERROR(VLOOKUP($A10, All!$A$1:$AB$700,19,0),0)</f>
        <v>0.80269119397797173</v>
      </c>
      <c r="T10" s="31">
        <f>IFERROR(VLOOKUP($A10, All!$A$1:$AB$700,20,0),0)</f>
        <v>-0.78028266264374613</v>
      </c>
      <c r="U10" s="31">
        <f>IFERROR(VLOOKUP($A10, All!$A$1:$AB$700,21,0),0)</f>
        <v>0.7100419363318089</v>
      </c>
      <c r="V10" s="31">
        <f>IFERROR(VLOOKUP($A10, All!$A$1:$AB$700,22,0),0)</f>
        <v>0.34298678708959057</v>
      </c>
      <c r="W10" s="31">
        <f>IFERROR(VLOOKUP($A10, All!$A$1:$AB$700,23,0),0)</f>
        <v>-0.90376288557943862</v>
      </c>
      <c r="X10" s="31">
        <f>IFERROR(VLOOKUP($A10, All!$A$1:$AB$700,24,0),0)</f>
        <v>-0.46752486635375906</v>
      </c>
      <c r="Y10" s="31">
        <f>IFERROR(VLOOKUP($A10, All!$A$1:$AB$700,25,0),0)</f>
        <v>-0.75247731313828525</v>
      </c>
    </row>
    <row r="11" spans="1:25">
      <c r="A11" s="7" t="s">
        <v>80</v>
      </c>
      <c r="B11" s="8">
        <f>IFERROR(VLOOKUP($A11, All!$A$1:$AB$699,2,0),300)</f>
        <v>106</v>
      </c>
      <c r="C11" s="8">
        <f>IFERROR(VLOOKUP($A11, All!$A$1:$AB$699,3,0),70)</f>
        <v>74</v>
      </c>
      <c r="D11" s="8">
        <f>IFERROR(VLOOKUP($A11, All!$A$1:$AB$699,4,0),Math!B$2)</f>
        <v>0.43</v>
      </c>
      <c r="E11" s="8">
        <f>IFERROR(VLOOKUP($A11, All!$A$1:$AB$700,5,0),Math!C$2)</f>
        <v>0.89</v>
      </c>
      <c r="F11" s="8">
        <f>IFERROR(VLOOKUP($A11, All!$A$1:$AB$700,6,0),Math!D$2)</f>
        <v>2.8</v>
      </c>
      <c r="G11" s="8">
        <f>IFERROR(VLOOKUP($A11, All!$A$1:$AB$700,7,0),Math!E$2)</f>
        <v>3.5</v>
      </c>
      <c r="H11" s="8">
        <f>IFERROR(VLOOKUP($A11, All!$A$1:$AB$700,8,0),Math!F$2)</f>
        <v>1.8</v>
      </c>
      <c r="I11" s="8">
        <f>IFERROR(VLOOKUP($A11, All!$A$1:$AB$700,9,0),Math!G$2)</f>
        <v>0.9</v>
      </c>
      <c r="J11" s="8">
        <f>IFERROR(VLOOKUP($A11, All!$A$1:$AB$700,10,0),Math!H$2)</f>
        <v>0.4</v>
      </c>
      <c r="K11" s="8">
        <f>IFERROR(VLOOKUP($A11, All!$A$1:$AB$700,11,0),Math!I$2)</f>
        <v>1.1000000000000001</v>
      </c>
      <c r="L11" s="8">
        <f>IFERROR(VLOOKUP($A11, All!$A$1:$AB$700,12,0),Math!J$2)</f>
        <v>15.6</v>
      </c>
      <c r="M11" s="8">
        <f>IFERROR(VLOOKUP($A11, All!$A$1:$AB$700,13,0),Math!K$2)</f>
        <v>5.6</v>
      </c>
      <c r="N11" s="8">
        <f>IFERROR(VLOOKUP($A11, All!$A$1:$AB$700,14,0),Math!L$2)</f>
        <v>13.1</v>
      </c>
      <c r="O11" s="8">
        <f>IFERROR(VLOOKUP($A11, All!$A$1:$AB$700,15,0),Math!M$2)</f>
        <v>1.7</v>
      </c>
      <c r="P11" s="8">
        <f>IFERROR(VLOOKUP($A11, All!$A$1:$AB$700,16,0),Math!N$2)</f>
        <v>1.9</v>
      </c>
      <c r="Q11" s="31">
        <f>IFERROR(VLOOKUP($A11, All!$A$1:$AB$700,17,0),0)</f>
        <v>-0.87526204909533856</v>
      </c>
      <c r="R11" s="31">
        <f>IFERROR(VLOOKUP($A11, All!$A$1:$AB$700,18,0),0)</f>
        <v>1.330483646298293</v>
      </c>
      <c r="S11" s="31">
        <f>IFERROR(VLOOKUP($A11, All!$A$1:$AB$700,19,0),0)</f>
        <v>1.4500228020247223</v>
      </c>
      <c r="T11" s="31">
        <f>IFERROR(VLOOKUP($A11, All!$A$1:$AB$700,20,0),0)</f>
        <v>-0.89422026244570452</v>
      </c>
      <c r="U11" s="31">
        <f>IFERROR(VLOOKUP($A11, All!$A$1:$AB$700,21,0),0)</f>
        <v>-0.74465365912014936</v>
      </c>
      <c r="V11" s="31">
        <f>IFERROR(VLOOKUP($A11, All!$A$1:$AB$700,22,0),0)</f>
        <v>-0.18468519304824169</v>
      </c>
      <c r="W11" s="31">
        <f>IFERROR(VLOOKUP($A11, All!$A$1:$AB$700,23,0),0)</f>
        <v>-0.53563136395848565</v>
      </c>
      <c r="X11" s="31">
        <f>IFERROR(VLOOKUP($A11, All!$A$1:$AB$700,24,0),0)</f>
        <v>0.87400990080193131</v>
      </c>
      <c r="Y11" s="31">
        <f>IFERROR(VLOOKUP($A11, All!$A$1:$AB$700,25,0),0)</f>
        <v>6.9573575182250103E-2</v>
      </c>
    </row>
    <row r="12" spans="1:25">
      <c r="A12" s="7" t="s">
        <v>81</v>
      </c>
      <c r="B12" s="8">
        <f>IFERROR(VLOOKUP($A12, All!$A$1:$AB$699,2,0),300)</f>
        <v>105</v>
      </c>
      <c r="C12" s="8">
        <f>IFERROR(VLOOKUP($A12, All!$A$1:$AB$699,3,0),70)</f>
        <v>66</v>
      </c>
      <c r="D12" s="8">
        <f>IFERROR(VLOOKUP($A12, All!$A$1:$AB$699,4,0),Math!B$2)</f>
        <v>0.49</v>
      </c>
      <c r="E12" s="8">
        <f>IFERROR(VLOOKUP($A12, All!$A$1:$AB$700,5,0),Math!C$2)</f>
        <v>0.72</v>
      </c>
      <c r="F12" s="8">
        <f>IFERROR(VLOOKUP($A12, All!$A$1:$AB$700,6,0),Math!D$2)</f>
        <v>0.8</v>
      </c>
      <c r="G12" s="8">
        <f>IFERROR(VLOOKUP($A12, All!$A$1:$AB$700,7,0),Math!E$2)</f>
        <v>7.3</v>
      </c>
      <c r="H12" s="8">
        <f>IFERROR(VLOOKUP($A12, All!$A$1:$AB$700,8,0),Math!F$2)</f>
        <v>2</v>
      </c>
      <c r="I12" s="8">
        <f>IFERROR(VLOOKUP($A12, All!$A$1:$AB$700,9,0),Math!G$2)</f>
        <v>1.2</v>
      </c>
      <c r="J12" s="8">
        <f>IFERROR(VLOOKUP($A12, All!$A$1:$AB$700,10,0),Math!H$2)</f>
        <v>0.8</v>
      </c>
      <c r="K12" s="8">
        <f>IFERROR(VLOOKUP($A12, All!$A$1:$AB$700,11,0),Math!I$2)</f>
        <v>1.3</v>
      </c>
      <c r="L12" s="8">
        <f>IFERROR(VLOOKUP($A12, All!$A$1:$AB$700,12,0),Math!J$2)</f>
        <v>12.8</v>
      </c>
      <c r="M12" s="8">
        <f>IFERROR(VLOOKUP($A12, All!$A$1:$AB$700,13,0),Math!K$2)</f>
        <v>4.7</v>
      </c>
      <c r="N12" s="8">
        <f>IFERROR(VLOOKUP($A12, All!$A$1:$AB$700,14,0),Math!L$2)</f>
        <v>9.6</v>
      </c>
      <c r="O12" s="8">
        <f>IFERROR(VLOOKUP($A12, All!$A$1:$AB$700,15,0),Math!M$2)</f>
        <v>2.6</v>
      </c>
      <c r="P12" s="8">
        <f>IFERROR(VLOOKUP($A12, All!$A$1:$AB$700,16,0),Math!N$2)</f>
        <v>3.6</v>
      </c>
      <c r="Q12" s="31">
        <f>IFERROR(VLOOKUP($A12, All!$A$1:$AB$700,17,0),0)</f>
        <v>0.23383452842779492</v>
      </c>
      <c r="R12" s="31">
        <f>IFERROR(VLOOKUP($A12, All!$A$1:$AB$700,18,0),0)</f>
        <v>-0.72946371135844501</v>
      </c>
      <c r="S12" s="31">
        <f>IFERROR(VLOOKUP($A12, All!$A$1:$AB$700,19,0),0)</f>
        <v>-0.7077492247977808</v>
      </c>
      <c r="T12" s="31">
        <f>IFERROR(VLOOKUP($A12, All!$A$1:$AB$700,20,0),0)</f>
        <v>0.54898933504576919</v>
      </c>
      <c r="U12" s="31">
        <f>IFERROR(VLOOKUP($A12, All!$A$1:$AB$700,21,0),0)</f>
        <v>-0.64432982495104885</v>
      </c>
      <c r="V12" s="31">
        <f>IFERROR(VLOOKUP($A12, All!$A$1:$AB$700,22,0),0)</f>
        <v>0.6068227771585063</v>
      </c>
      <c r="W12" s="31">
        <f>IFERROR(VLOOKUP($A12, All!$A$1:$AB$700,23,0),0)</f>
        <v>0.20063167928342035</v>
      </c>
      <c r="X12" s="31">
        <f>IFERROR(VLOOKUP($A12, All!$A$1:$AB$700,24,0),0)</f>
        <v>0.60570294737079333</v>
      </c>
      <c r="Y12" s="31">
        <f>IFERROR(VLOOKUP($A12, All!$A$1:$AB$700,25,0),0)</f>
        <v>-0.4918270314756763</v>
      </c>
    </row>
    <row r="13" spans="1:25">
      <c r="A13" s="7" t="s">
        <v>84</v>
      </c>
      <c r="B13" s="8">
        <f>IFERROR(VLOOKUP($A13, All!$A$1:$AB$699,2,0),300)</f>
        <v>107</v>
      </c>
      <c r="C13" s="8">
        <f>IFERROR(VLOOKUP($A13, All!$A$1:$AB$699,3,0),70)</f>
        <v>76</v>
      </c>
      <c r="D13" s="8">
        <f>IFERROR(VLOOKUP($A13, All!$A$1:$AB$699,4,0),Math!B$2)</f>
        <v>0.44</v>
      </c>
      <c r="E13" s="8">
        <f>IFERROR(VLOOKUP($A13, All!$A$1:$AB$700,5,0),Math!C$2)</f>
        <v>0.88</v>
      </c>
      <c r="F13" s="8">
        <f>IFERROR(VLOOKUP($A13, All!$A$1:$AB$700,6,0),Math!D$2)</f>
        <v>1.4</v>
      </c>
      <c r="G13" s="8">
        <f>IFERROR(VLOOKUP($A13, All!$A$1:$AB$700,7,0),Math!E$2)</f>
        <v>3</v>
      </c>
      <c r="H13" s="8">
        <f>IFERROR(VLOOKUP($A13, All!$A$1:$AB$700,8,0),Math!F$2)</f>
        <v>3.9</v>
      </c>
      <c r="I13" s="8">
        <f>IFERROR(VLOOKUP($A13, All!$A$1:$AB$700,9,0),Math!G$2)</f>
        <v>0.7</v>
      </c>
      <c r="J13" s="8">
        <f>IFERROR(VLOOKUP($A13, All!$A$1:$AB$700,10,0),Math!H$2)</f>
        <v>0.1</v>
      </c>
      <c r="K13" s="8">
        <f>IFERROR(VLOOKUP($A13, All!$A$1:$AB$700,11,0),Math!I$2)</f>
        <v>2.2999999999999998</v>
      </c>
      <c r="L13" s="8">
        <f>IFERROR(VLOOKUP($A13, All!$A$1:$AB$700,12,0),Math!J$2)</f>
        <v>17.399999999999999</v>
      </c>
      <c r="M13" s="8">
        <f>IFERROR(VLOOKUP($A13, All!$A$1:$AB$700,13,0),Math!K$2)</f>
        <v>5.5</v>
      </c>
      <c r="N13" s="8">
        <f>IFERROR(VLOOKUP($A13, All!$A$1:$AB$700,14,0),Math!L$2)</f>
        <v>12.5</v>
      </c>
      <c r="O13" s="8">
        <f>IFERROR(VLOOKUP($A13, All!$A$1:$AB$700,15,0),Math!M$2)</f>
        <v>4.9000000000000004</v>
      </c>
      <c r="P13" s="8">
        <f>IFERROR(VLOOKUP($A13, All!$A$1:$AB$700,16,0),Math!N$2)</f>
        <v>5.6</v>
      </c>
      <c r="Q13" s="31">
        <f>IFERROR(VLOOKUP($A13, All!$A$1:$AB$700,17,0),0)</f>
        <v>-0.69041261950814947</v>
      </c>
      <c r="R13" s="31">
        <f>IFERROR(VLOOKUP($A13, All!$A$1:$AB$700,18,0),0)</f>
        <v>1.2093102723184848</v>
      </c>
      <c r="S13" s="31">
        <f>IFERROR(VLOOKUP($A13, All!$A$1:$AB$700,19,0),0)</f>
        <v>-6.0417616751029912E-2</v>
      </c>
      <c r="T13" s="31">
        <f>IFERROR(VLOOKUP($A13, All!$A$1:$AB$700,20,0),0)</f>
        <v>-1.0841162621156353</v>
      </c>
      <c r="U13" s="31">
        <f>IFERROR(VLOOKUP($A13, All!$A$1:$AB$700,21,0),0)</f>
        <v>0.30874659965540652</v>
      </c>
      <c r="V13" s="31">
        <f>IFERROR(VLOOKUP($A13, All!$A$1:$AB$700,22,0),0)</f>
        <v>-0.71235717318607394</v>
      </c>
      <c r="W13" s="31">
        <f>IFERROR(VLOOKUP($A13, All!$A$1:$AB$700,23,0),0)</f>
        <v>-1.0878286463899152</v>
      </c>
      <c r="X13" s="31">
        <f>IFERROR(VLOOKUP($A13, All!$A$1:$AB$700,24,0),0)</f>
        <v>-0.73583181978489676</v>
      </c>
      <c r="Y13" s="31">
        <f>IFERROR(VLOOKUP($A13, All!$A$1:$AB$700,25,0),0)</f>
        <v>0.43047396517663128</v>
      </c>
    </row>
    <row r="14" spans="1:25">
      <c r="A14" s="7" t="s">
        <v>96</v>
      </c>
      <c r="B14" s="8">
        <f>IFERROR(VLOOKUP($A14, All!$A$1:$AB$699,2,0),300)</f>
        <v>140</v>
      </c>
      <c r="C14" s="8">
        <f>IFERROR(VLOOKUP($A14, All!$A$1:$AB$699,3,0),70)</f>
        <v>74</v>
      </c>
      <c r="D14" s="8">
        <f>IFERROR(VLOOKUP($A14, All!$A$1:$AB$699,4,0),Math!B$2)</f>
        <v>0.42</v>
      </c>
      <c r="E14" s="8">
        <f>IFERROR(VLOOKUP($A14, All!$A$1:$AB$700,5,0),Math!C$2)</f>
        <v>0.84</v>
      </c>
      <c r="F14" s="8">
        <f>IFERROR(VLOOKUP($A14, All!$A$1:$AB$700,6,0),Math!D$2)</f>
        <v>2.4</v>
      </c>
      <c r="G14" s="8">
        <f>IFERROR(VLOOKUP($A14, All!$A$1:$AB$700,7,0),Math!E$2)</f>
        <v>4.7</v>
      </c>
      <c r="H14" s="8">
        <f>IFERROR(VLOOKUP($A14, All!$A$1:$AB$700,8,0),Math!F$2)</f>
        <v>1.5</v>
      </c>
      <c r="I14" s="8">
        <f>IFERROR(VLOOKUP($A14, All!$A$1:$AB$700,9,0),Math!G$2)</f>
        <v>0.6</v>
      </c>
      <c r="J14" s="8">
        <f>IFERROR(VLOOKUP($A14, All!$A$1:$AB$700,10,0),Math!H$2)</f>
        <v>0.2</v>
      </c>
      <c r="K14" s="8">
        <f>IFERROR(VLOOKUP($A14, All!$A$1:$AB$700,11,0),Math!I$2)</f>
        <v>1.3</v>
      </c>
      <c r="L14" s="8">
        <f>IFERROR(VLOOKUP($A14, All!$A$1:$AB$700,12,0),Math!J$2)</f>
        <v>16.899999999999999</v>
      </c>
      <c r="M14" s="8">
        <f>IFERROR(VLOOKUP($A14, All!$A$1:$AB$700,13,0),Math!K$2)</f>
        <v>5.7</v>
      </c>
      <c r="N14" s="8">
        <f>IFERROR(VLOOKUP($A14, All!$A$1:$AB$700,14,0),Math!L$2)</f>
        <v>13.6</v>
      </c>
      <c r="O14" s="8">
        <f>IFERROR(VLOOKUP($A14, All!$A$1:$AB$700,15,0),Math!M$2)</f>
        <v>3.1</v>
      </c>
      <c r="P14" s="8">
        <f>IFERROR(VLOOKUP($A14, All!$A$1:$AB$700,16,0),Math!N$2)</f>
        <v>3.7</v>
      </c>
      <c r="Q14" s="31">
        <f>IFERROR(VLOOKUP($A14, All!$A$1:$AB$700,17,0),0)</f>
        <v>-1.0601114786825276</v>
      </c>
      <c r="R14" s="31">
        <f>IFERROR(VLOOKUP($A14, All!$A$1:$AB$700,18,0),0)</f>
        <v>0.72461677639925193</v>
      </c>
      <c r="S14" s="31">
        <f>IFERROR(VLOOKUP($A14, All!$A$1:$AB$700,19,0),0)</f>
        <v>1.0184683966602219</v>
      </c>
      <c r="T14" s="31">
        <f>IFERROR(VLOOKUP($A14, All!$A$1:$AB$700,20,0),0)</f>
        <v>-0.43846986323787068</v>
      </c>
      <c r="U14" s="31">
        <f>IFERROR(VLOOKUP($A14, All!$A$1:$AB$700,21,0),0)</f>
        <v>-0.89513941037380029</v>
      </c>
      <c r="V14" s="31">
        <f>IFERROR(VLOOKUP($A14, All!$A$1:$AB$700,22,0),0)</f>
        <v>-0.97619316325498995</v>
      </c>
      <c r="W14" s="31">
        <f>IFERROR(VLOOKUP($A14, All!$A$1:$AB$700,23,0),0)</f>
        <v>-0.90376288557943862</v>
      </c>
      <c r="X14" s="31">
        <f>IFERROR(VLOOKUP($A14, All!$A$1:$AB$700,24,0),0)</f>
        <v>0.60570294737079333</v>
      </c>
      <c r="Y14" s="31">
        <f>IFERROR(VLOOKUP($A14, All!$A$1:$AB$700,25,0),0)</f>
        <v>0.33022385684485867</v>
      </c>
    </row>
    <row r="16" spans="1:25">
      <c r="A16" s="9" t="s">
        <v>123</v>
      </c>
      <c r="B16" s="2" t="s">
        <v>121</v>
      </c>
      <c r="C16" s="10" t="s">
        <v>122</v>
      </c>
      <c r="D16" s="12" t="s">
        <v>129</v>
      </c>
      <c r="E16" s="12" t="s">
        <v>130</v>
      </c>
      <c r="F16" s="11" t="s">
        <v>5</v>
      </c>
      <c r="G16" s="11" t="s">
        <v>6</v>
      </c>
      <c r="H16" s="11" t="s">
        <v>7</v>
      </c>
      <c r="I16" s="11" t="s">
        <v>8</v>
      </c>
      <c r="J16" s="11" t="s">
        <v>9</v>
      </c>
      <c r="K16" s="11" t="s">
        <v>10</v>
      </c>
      <c r="L16" s="11" t="s">
        <v>11</v>
      </c>
      <c r="M16" s="12" t="s">
        <v>12</v>
      </c>
      <c r="N16" s="12" t="s">
        <v>13</v>
      </c>
      <c r="O16" s="4" t="s">
        <v>125</v>
      </c>
      <c r="P16" s="17" t="s">
        <v>126</v>
      </c>
      <c r="Q16" s="17" t="s">
        <v>127</v>
      </c>
      <c r="R16" s="18" t="s">
        <v>128</v>
      </c>
    </row>
    <row r="17" spans="1:18">
      <c r="A17" s="6"/>
      <c r="B17" s="15">
        <f t="shared" ref="B17:N17" si="0">AVERAGE(B2:B14)</f>
        <v>67.92307692307692</v>
      </c>
      <c r="C17" s="15">
        <f t="shared" si="0"/>
        <v>73.84615384615384</v>
      </c>
      <c r="D17" s="15">
        <f t="shared" si="0"/>
        <v>0.47000000000000003</v>
      </c>
      <c r="E17" s="15">
        <f t="shared" si="0"/>
        <v>0.78384615384615397</v>
      </c>
      <c r="F17" s="15">
        <f t="shared" si="0"/>
        <v>1.5076923076923074</v>
      </c>
      <c r="G17" s="15">
        <f t="shared" si="0"/>
        <v>6.6999999999999993</v>
      </c>
      <c r="H17" s="15">
        <f t="shared" si="0"/>
        <v>3.7692307692307692</v>
      </c>
      <c r="I17" s="15">
        <f t="shared" si="0"/>
        <v>1.1230769230769229</v>
      </c>
      <c r="J17" s="15">
        <f t="shared" si="0"/>
        <v>0.7846153846153846</v>
      </c>
      <c r="K17" s="15">
        <f t="shared" si="0"/>
        <v>1.8153846153846156</v>
      </c>
      <c r="L17" s="15">
        <f t="shared" si="0"/>
        <v>17.123076923076923</v>
      </c>
      <c r="M17" s="15">
        <f t="shared" si="0"/>
        <v>6.476923076923077</v>
      </c>
      <c r="N17" s="15">
        <f t="shared" si="0"/>
        <v>13.761538461538461</v>
      </c>
      <c r="O17" s="16">
        <f>M17/N17</f>
        <v>0.47065399664617108</v>
      </c>
      <c r="P17" s="16">
        <f>AVERAGE(O2:O14)</f>
        <v>2.6461538461538461</v>
      </c>
      <c r="Q17" s="16">
        <f>AVERAGE(P2:P14)</f>
        <v>3.3</v>
      </c>
      <c r="R17" s="15">
        <f>P17/Q17</f>
        <v>0.80186480186480191</v>
      </c>
    </row>
    <row r="19" spans="1:18">
      <c r="A19" s="13" t="s">
        <v>124</v>
      </c>
      <c r="B19" s="11" t="s">
        <v>3</v>
      </c>
      <c r="C19" s="11" t="s">
        <v>4</v>
      </c>
      <c r="D19" s="11" t="s">
        <v>5</v>
      </c>
      <c r="E19" s="11" t="s">
        <v>6</v>
      </c>
      <c r="F19" s="11" t="s">
        <v>7</v>
      </c>
      <c r="G19" s="11" t="s">
        <v>8</v>
      </c>
      <c r="H19" s="11" t="s">
        <v>9</v>
      </c>
      <c r="I19" s="11" t="s">
        <v>10</v>
      </c>
      <c r="J19" s="11" t="s">
        <v>11</v>
      </c>
      <c r="K19" s="12" t="s">
        <v>12</v>
      </c>
      <c r="L19" s="12" t="s">
        <v>13</v>
      </c>
      <c r="M19" s="12" t="s">
        <v>126</v>
      </c>
      <c r="N19" s="12" t="s">
        <v>127</v>
      </c>
    </row>
    <row r="20" spans="1:18">
      <c r="A20" s="6"/>
      <c r="B20" s="16">
        <f>K20/L20</f>
        <v>0.47065399664617114</v>
      </c>
      <c r="C20" s="15">
        <f>M20/N20</f>
        <v>0.80186480186480191</v>
      </c>
      <c r="D20" s="15">
        <f t="shared" ref="D20:N20" si="1">SUM(F2:F14)</f>
        <v>19.599999999999998</v>
      </c>
      <c r="E20" s="15">
        <f t="shared" si="1"/>
        <v>87.1</v>
      </c>
      <c r="F20" s="15">
        <f t="shared" si="1"/>
        <v>49</v>
      </c>
      <c r="G20" s="15">
        <f t="shared" si="1"/>
        <v>14.599999999999998</v>
      </c>
      <c r="H20" s="15">
        <f t="shared" si="1"/>
        <v>10.199999999999999</v>
      </c>
      <c r="I20" s="15">
        <f t="shared" si="1"/>
        <v>23.6</v>
      </c>
      <c r="J20" s="15">
        <f t="shared" si="1"/>
        <v>222.6</v>
      </c>
      <c r="K20" s="15">
        <f t="shared" si="1"/>
        <v>84.2</v>
      </c>
      <c r="L20" s="15">
        <f t="shared" si="1"/>
        <v>178.89999999999998</v>
      </c>
      <c r="M20" s="15">
        <f t="shared" si="1"/>
        <v>34.4</v>
      </c>
      <c r="N20" s="15">
        <f t="shared" si="1"/>
        <v>42.9</v>
      </c>
    </row>
  </sheetData>
  <sortState xmlns:xlrd2="http://schemas.microsoft.com/office/spreadsheetml/2017/richdata2" ref="A2:P14">
    <sortCondition ref="B2"/>
  </sortState>
  <conditionalFormatting sqref="D2:D14">
    <cfRule type="colorScale" priority="18">
      <colorScale>
        <cfvo type="min"/>
        <cfvo type="percentile" val="50"/>
        <cfvo type="max"/>
        <color rgb="FFF8696B"/>
        <color rgb="FFFFEB84"/>
        <color rgb="FF63BE7B"/>
      </colorScale>
    </cfRule>
  </conditionalFormatting>
  <conditionalFormatting sqref="E2:E14">
    <cfRule type="colorScale" priority="17">
      <colorScale>
        <cfvo type="min"/>
        <cfvo type="percentile" val="50"/>
        <cfvo type="max"/>
        <color rgb="FFF8696B"/>
        <color rgb="FFFFEB84"/>
        <color rgb="FF63BE7B"/>
      </colorScale>
    </cfRule>
  </conditionalFormatting>
  <conditionalFormatting sqref="F2:F14">
    <cfRule type="colorScale" priority="16">
      <colorScale>
        <cfvo type="min"/>
        <cfvo type="percentile" val="50"/>
        <cfvo type="max"/>
        <color rgb="FFF8696B"/>
        <color rgb="FFFFEB84"/>
        <color rgb="FF63BE7B"/>
      </colorScale>
    </cfRule>
  </conditionalFormatting>
  <conditionalFormatting sqref="G2:G14">
    <cfRule type="colorScale" priority="15">
      <colorScale>
        <cfvo type="min"/>
        <cfvo type="percentile" val="50"/>
        <cfvo type="max"/>
        <color rgb="FFF8696B"/>
        <color rgb="FFFFEB84"/>
        <color rgb="FF63BE7B"/>
      </colorScale>
    </cfRule>
  </conditionalFormatting>
  <conditionalFormatting sqref="H2:H14">
    <cfRule type="colorScale" priority="14">
      <colorScale>
        <cfvo type="min"/>
        <cfvo type="percentile" val="50"/>
        <cfvo type="max"/>
        <color rgb="FFF8696B"/>
        <color rgb="FFFFEB84"/>
        <color rgb="FF63BE7B"/>
      </colorScale>
    </cfRule>
  </conditionalFormatting>
  <conditionalFormatting sqref="I2:I14">
    <cfRule type="colorScale" priority="13">
      <colorScale>
        <cfvo type="min"/>
        <cfvo type="percentile" val="50"/>
        <cfvo type="max"/>
        <color rgb="FFF8696B"/>
        <color rgb="FFFFEB84"/>
        <color rgb="FF63BE7B"/>
      </colorScale>
    </cfRule>
  </conditionalFormatting>
  <conditionalFormatting sqref="J2:J14">
    <cfRule type="colorScale" priority="12">
      <colorScale>
        <cfvo type="min"/>
        <cfvo type="percentile" val="50"/>
        <cfvo type="max"/>
        <color rgb="FFF8696B"/>
        <color rgb="FFFFEB84"/>
        <color rgb="FF63BE7B"/>
      </colorScale>
    </cfRule>
  </conditionalFormatting>
  <conditionalFormatting sqref="K2:K14">
    <cfRule type="colorScale" priority="11">
      <colorScale>
        <cfvo type="min"/>
        <cfvo type="percentile" val="50"/>
        <cfvo type="max"/>
        <color rgb="FF63BE7B"/>
        <color rgb="FFFFEB84"/>
        <color rgb="FFF8696B"/>
      </colorScale>
    </cfRule>
  </conditionalFormatting>
  <conditionalFormatting sqref="L2:L14">
    <cfRule type="colorScale" priority="10">
      <colorScale>
        <cfvo type="min"/>
        <cfvo type="percentile" val="50"/>
        <cfvo type="max"/>
        <color rgb="FFF8696B"/>
        <color rgb="FFFFEB84"/>
        <color rgb="FF63BE7B"/>
      </colorScale>
    </cfRule>
  </conditionalFormatting>
  <conditionalFormatting sqref="Q2:Q14">
    <cfRule type="colorScale" priority="9">
      <colorScale>
        <cfvo type="min"/>
        <cfvo type="percentile" val="50"/>
        <cfvo type="max"/>
        <color rgb="FFF8696B"/>
        <color rgb="FFFFEB84"/>
        <color rgb="FF63BE7B"/>
      </colorScale>
    </cfRule>
  </conditionalFormatting>
  <conditionalFormatting sqref="R2:R14">
    <cfRule type="colorScale" priority="8">
      <colorScale>
        <cfvo type="min"/>
        <cfvo type="percentile" val="50"/>
        <cfvo type="max"/>
        <color rgb="FFF8696B"/>
        <color rgb="FFFFEB84"/>
        <color rgb="FF63BE7B"/>
      </colorScale>
    </cfRule>
  </conditionalFormatting>
  <conditionalFormatting sqref="S2:S14">
    <cfRule type="colorScale" priority="7">
      <colorScale>
        <cfvo type="min"/>
        <cfvo type="percentile" val="50"/>
        <cfvo type="max"/>
        <color rgb="FFF8696B"/>
        <color rgb="FFFFEB84"/>
        <color rgb="FF63BE7B"/>
      </colorScale>
    </cfRule>
  </conditionalFormatting>
  <conditionalFormatting sqref="T2:T14">
    <cfRule type="colorScale" priority="6">
      <colorScale>
        <cfvo type="min"/>
        <cfvo type="percentile" val="50"/>
        <cfvo type="max"/>
        <color rgb="FFF8696B"/>
        <color rgb="FFFFEB84"/>
        <color rgb="FF63BE7B"/>
      </colorScale>
    </cfRule>
  </conditionalFormatting>
  <conditionalFormatting sqref="U2:U14">
    <cfRule type="colorScale" priority="5">
      <colorScale>
        <cfvo type="min"/>
        <cfvo type="percentile" val="50"/>
        <cfvo type="max"/>
        <color rgb="FFF8696B"/>
        <color rgb="FFFFEB84"/>
        <color rgb="FF63BE7B"/>
      </colorScale>
    </cfRule>
  </conditionalFormatting>
  <conditionalFormatting sqref="V2:V14">
    <cfRule type="colorScale" priority="4">
      <colorScale>
        <cfvo type="min"/>
        <cfvo type="percentile" val="50"/>
        <cfvo type="max"/>
        <color rgb="FFF8696B"/>
        <color rgb="FFFFEB84"/>
        <color rgb="FF63BE7B"/>
      </colorScale>
    </cfRule>
  </conditionalFormatting>
  <conditionalFormatting sqref="W2:W14">
    <cfRule type="colorScale" priority="3">
      <colorScale>
        <cfvo type="min"/>
        <cfvo type="percentile" val="50"/>
        <cfvo type="max"/>
        <color rgb="FFF8696B"/>
        <color rgb="FFFFEB84"/>
        <color rgb="FF63BE7B"/>
      </colorScale>
    </cfRule>
  </conditionalFormatting>
  <conditionalFormatting sqref="X2:X14">
    <cfRule type="colorScale" priority="2">
      <colorScale>
        <cfvo type="min"/>
        <cfvo type="percentile" val="50"/>
        <cfvo type="max"/>
        <color rgb="FFF8696B"/>
        <color rgb="FFFFEB84"/>
        <color rgb="FF63BE7B"/>
      </colorScale>
    </cfRule>
  </conditionalFormatting>
  <conditionalFormatting sqref="Y2:Y14">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35B4F9-2C05-F34B-AD5B-CE0850E5763E}">
  <sheetPr codeName="Sheet10"/>
  <dimension ref="A1:Y20"/>
  <sheetViews>
    <sheetView workbookViewId="0">
      <selection activeCell="A2" sqref="A2"/>
    </sheetView>
  </sheetViews>
  <sheetFormatPr baseColWidth="10" defaultRowHeight="16"/>
  <cols>
    <col min="1" max="1" width="18.83203125" customWidth="1"/>
  </cols>
  <sheetData>
    <row r="1" spans="1:25">
      <c r="A1" s="1" t="s">
        <v>0</v>
      </c>
      <c r="B1" s="2" t="s">
        <v>1</v>
      </c>
      <c r="C1" s="3" t="s">
        <v>2</v>
      </c>
      <c r="D1" s="4" t="s">
        <v>3</v>
      </c>
      <c r="E1" s="4" t="s">
        <v>4</v>
      </c>
      <c r="F1" s="4" t="s">
        <v>5</v>
      </c>
      <c r="G1" s="4" t="s">
        <v>6</v>
      </c>
      <c r="H1" s="4" t="s">
        <v>7</v>
      </c>
      <c r="I1" s="4" t="s">
        <v>8</v>
      </c>
      <c r="J1" s="4" t="s">
        <v>9</v>
      </c>
      <c r="K1" s="4" t="s">
        <v>10</v>
      </c>
      <c r="L1" s="4" t="s">
        <v>11</v>
      </c>
      <c r="M1" s="5" t="s">
        <v>12</v>
      </c>
      <c r="N1" s="5" t="s">
        <v>13</v>
      </c>
      <c r="O1" s="5" t="s">
        <v>126</v>
      </c>
      <c r="P1" s="5" t="s">
        <v>127</v>
      </c>
      <c r="Q1" s="27" t="s">
        <v>144</v>
      </c>
      <c r="R1" s="28" t="s">
        <v>145</v>
      </c>
      <c r="S1" s="29" t="s">
        <v>146</v>
      </c>
      <c r="T1" s="29" t="s">
        <v>147</v>
      </c>
      <c r="U1" s="29" t="s">
        <v>148</v>
      </c>
      <c r="V1" s="29" t="s">
        <v>149</v>
      </c>
      <c r="W1" s="29" t="s">
        <v>150</v>
      </c>
      <c r="X1" s="29" t="s">
        <v>151</v>
      </c>
      <c r="Y1" s="29" t="s">
        <v>152</v>
      </c>
    </row>
    <row r="2" spans="1:25">
      <c r="A2" s="7" t="s">
        <v>15</v>
      </c>
      <c r="B2" s="8">
        <f>IFERROR(VLOOKUP($A2, All!$A$1:$AB$699,2,0),300)</f>
        <v>3</v>
      </c>
      <c r="C2" s="8">
        <f>IFERROR(VLOOKUP($A2, All!$A$1:$AB$699,3,0),70)</f>
        <v>76</v>
      </c>
      <c r="D2" s="8">
        <f>IFERROR(VLOOKUP($A2, All!$A$1:$AB$699,4,0),Math!B$2)</f>
        <v>0.48</v>
      </c>
      <c r="E2" s="8">
        <f>IFERROR(VLOOKUP($A2, All!$A$1:$AB$700,5,0),Math!C$2)</f>
        <v>0.91</v>
      </c>
      <c r="F2" s="8">
        <f>IFERROR(VLOOKUP($A2, All!$A$1:$AB$700,6,0),Math!D$2)</f>
        <v>5.6</v>
      </c>
      <c r="G2" s="8">
        <f>IFERROR(VLOOKUP($A2, All!$A$1:$AB$700,7,0),Math!E$2)</f>
        <v>5.9</v>
      </c>
      <c r="H2" s="8">
        <f>IFERROR(VLOOKUP($A2, All!$A$1:$AB$700,8,0),Math!F$2)</f>
        <v>5.7</v>
      </c>
      <c r="I2" s="8">
        <f>IFERROR(VLOOKUP($A2, All!$A$1:$AB$700,9,0),Math!G$2)</f>
        <v>1.5</v>
      </c>
      <c r="J2" s="8">
        <f>IFERROR(VLOOKUP($A2, All!$A$1:$AB$700,10,0),Math!H$2)</f>
        <v>0.4</v>
      </c>
      <c r="K2" s="8">
        <f>IFERROR(VLOOKUP($A2, All!$A$1:$AB$700,11,0),Math!I$2)</f>
        <v>2.9</v>
      </c>
      <c r="L2" s="8">
        <f>IFERROR(VLOOKUP($A2, All!$A$1:$AB$700,12,0),Math!J$2)</f>
        <v>29.8</v>
      </c>
      <c r="M2" s="8">
        <f>IFERROR(VLOOKUP($A2, All!$A$1:$AB$700,13,0),Math!K$2)</f>
        <v>10.1</v>
      </c>
      <c r="N2" s="8">
        <f>IFERROR(VLOOKUP($A2, All!$A$1:$AB$700,14,0),Math!L$2)</f>
        <v>21.1</v>
      </c>
      <c r="O2" s="8">
        <f>IFERROR(VLOOKUP($A2, All!$A$1:$AB$700,15,0),Math!M$2)</f>
        <v>4.2</v>
      </c>
      <c r="P2" s="8">
        <f>IFERROR(VLOOKUP($A2, All!$A$1:$AB$700,16,0),Math!N$2)</f>
        <v>4.5999999999999996</v>
      </c>
      <c r="Q2" s="31">
        <f>IFERROR(VLOOKUP($A2, All!$A$1:$AB$700,17,0),0)</f>
        <v>4.8985098840605826E-2</v>
      </c>
      <c r="R2" s="31">
        <f>IFERROR(VLOOKUP($A2, All!$A$1:$AB$700,18,0),0)</f>
        <v>1.5728303942579092</v>
      </c>
      <c r="S2" s="31">
        <f>IFERROR(VLOOKUP($A2, All!$A$1:$AB$700,19,0),0)</f>
        <v>4.4709036395762274</v>
      </c>
      <c r="T2" s="31">
        <f>IFERROR(VLOOKUP($A2, All!$A$1:$AB$700,20,0),0)</f>
        <v>1.7280535969963231E-2</v>
      </c>
      <c r="U2" s="31">
        <f>IFERROR(VLOOKUP($A2, All!$A$1:$AB$700,21,0),0)</f>
        <v>1.2116611071773118</v>
      </c>
      <c r="V2" s="31">
        <f>IFERROR(VLOOKUP($A2, All!$A$1:$AB$700,22,0),0)</f>
        <v>1.3983307473652546</v>
      </c>
      <c r="W2" s="31">
        <f>IFERROR(VLOOKUP($A2, All!$A$1:$AB$700,23,0),0)</f>
        <v>-0.53563136395848565</v>
      </c>
      <c r="X2" s="31">
        <f>IFERROR(VLOOKUP($A2, All!$A$1:$AB$700,24,0),0)</f>
        <v>-1.5407526800783111</v>
      </c>
      <c r="Y2" s="31">
        <f>IFERROR(VLOOKUP($A2, All!$A$1:$AB$700,25,0),0)</f>
        <v>2.9166766518045923</v>
      </c>
    </row>
    <row r="3" spans="1:25">
      <c r="A3" s="7" t="s">
        <v>25</v>
      </c>
      <c r="B3" s="8">
        <f>IFERROR(VLOOKUP($A3, All!$A$1:$AB$699,2,0),300)</f>
        <v>25</v>
      </c>
      <c r="C3" s="8">
        <f>IFERROR(VLOOKUP($A3, All!$A$1:$AB$699,3,0),70)</f>
        <v>76</v>
      </c>
      <c r="D3" s="8">
        <f>IFERROR(VLOOKUP($A3, All!$A$1:$AB$699,4,0),Math!B$2)</f>
        <v>0.48</v>
      </c>
      <c r="E3" s="8">
        <f>IFERROR(VLOOKUP($A3, All!$A$1:$AB$700,5,0),Math!C$2)</f>
        <v>0.73</v>
      </c>
      <c r="F3" s="8">
        <f>IFERROR(VLOOKUP($A3, All!$A$1:$AB$700,6,0),Math!D$2)</f>
        <v>1.1000000000000001</v>
      </c>
      <c r="G3" s="8">
        <f>IFERROR(VLOOKUP($A3, All!$A$1:$AB$700,7,0),Math!E$2)</f>
        <v>7.9</v>
      </c>
      <c r="H3" s="8">
        <f>IFERROR(VLOOKUP($A3, All!$A$1:$AB$700,8,0),Math!F$2)</f>
        <v>1.8</v>
      </c>
      <c r="I3" s="8">
        <f>IFERROR(VLOOKUP($A3, All!$A$1:$AB$700,9,0),Math!G$2)</f>
        <v>0.8</v>
      </c>
      <c r="J3" s="8">
        <f>IFERROR(VLOOKUP($A3, All!$A$1:$AB$700,10,0),Math!H$2)</f>
        <v>2.8</v>
      </c>
      <c r="K3" s="8">
        <f>IFERROR(VLOOKUP($A3, All!$A$1:$AB$700,11,0),Math!I$2)</f>
        <v>1.5</v>
      </c>
      <c r="L3" s="8">
        <f>IFERROR(VLOOKUP($A3, All!$A$1:$AB$700,12,0),Math!J$2)</f>
        <v>14.6</v>
      </c>
      <c r="M3" s="8">
        <f>IFERROR(VLOOKUP($A3, All!$A$1:$AB$700,13,0),Math!K$2)</f>
        <v>5.6</v>
      </c>
      <c r="N3" s="8">
        <f>IFERROR(VLOOKUP($A3, All!$A$1:$AB$700,14,0),Math!L$2)</f>
        <v>11.7</v>
      </c>
      <c r="O3" s="8">
        <f>IFERROR(VLOOKUP($A3, All!$A$1:$AB$700,15,0),Math!M$2)</f>
        <v>2.2000000000000002</v>
      </c>
      <c r="P3" s="8">
        <f>IFERROR(VLOOKUP($A3, All!$A$1:$AB$700,16,0),Math!N$2)</f>
        <v>3</v>
      </c>
      <c r="Q3" s="31">
        <f>IFERROR(VLOOKUP($A3, All!$A$1:$AB$700,17,0),0)</f>
        <v>4.8985098840605826E-2</v>
      </c>
      <c r="R3" s="31">
        <f>IFERROR(VLOOKUP($A3, All!$A$1:$AB$700,18,0),0)</f>
        <v>-0.6082903373786368</v>
      </c>
      <c r="S3" s="31">
        <f>IFERROR(VLOOKUP($A3, All!$A$1:$AB$700,19,0),0)</f>
        <v>-0.38408342077440522</v>
      </c>
      <c r="T3" s="31">
        <f>IFERROR(VLOOKUP($A3, All!$A$1:$AB$700,20,0),0)</f>
        <v>0.7768645346496863</v>
      </c>
      <c r="U3" s="31">
        <f>IFERROR(VLOOKUP($A3, All!$A$1:$AB$700,21,0),0)</f>
        <v>-0.74465365912014936</v>
      </c>
      <c r="V3" s="31">
        <f>IFERROR(VLOOKUP($A3, All!$A$1:$AB$700,22,0),0)</f>
        <v>-0.44852118311715766</v>
      </c>
      <c r="W3" s="31">
        <f>IFERROR(VLOOKUP($A3, All!$A$1:$AB$700,23,0),0)</f>
        <v>3.8819468954929497</v>
      </c>
      <c r="X3" s="31">
        <f>IFERROR(VLOOKUP($A3, All!$A$1:$AB$700,24,0),0)</f>
        <v>0.3373959939396553</v>
      </c>
      <c r="Y3" s="31">
        <f>IFERROR(VLOOKUP($A3, All!$A$1:$AB$700,25,0),0)</f>
        <v>-0.13092664148129513</v>
      </c>
    </row>
    <row r="4" spans="1:25">
      <c r="A4" s="7" t="s">
        <v>28</v>
      </c>
      <c r="B4" s="8">
        <f>IFERROR(VLOOKUP($A4, All!$A$1:$AB$699,2,0),300)</f>
        <v>17</v>
      </c>
      <c r="C4" s="8">
        <f>IFERROR(VLOOKUP($A4, All!$A$1:$AB$699,3,0),70)</f>
        <v>71</v>
      </c>
      <c r="D4" s="8">
        <f>IFERROR(VLOOKUP($A4, All!$A$1:$AB$699,4,0),Math!B$2)</f>
        <v>0.47</v>
      </c>
      <c r="E4" s="8">
        <f>IFERROR(VLOOKUP($A4, All!$A$1:$AB$700,5,0),Math!C$2)</f>
        <v>0.85</v>
      </c>
      <c r="F4" s="8">
        <f>IFERROR(VLOOKUP($A4, All!$A$1:$AB$700,6,0),Math!D$2)</f>
        <v>2.2000000000000002</v>
      </c>
      <c r="G4" s="8">
        <f>IFERROR(VLOOKUP($A4, All!$A$1:$AB$700,7,0),Math!E$2)</f>
        <v>4.3</v>
      </c>
      <c r="H4" s="8">
        <f>IFERROR(VLOOKUP($A4, All!$A$1:$AB$700,8,0),Math!F$2)</f>
        <v>5.7</v>
      </c>
      <c r="I4" s="8">
        <f>IFERROR(VLOOKUP($A4, All!$A$1:$AB$700,9,0),Math!G$2)</f>
        <v>0.9</v>
      </c>
      <c r="J4" s="8">
        <f>IFERROR(VLOOKUP($A4, All!$A$1:$AB$700,10,0),Math!H$2)</f>
        <v>0.2</v>
      </c>
      <c r="K4" s="8">
        <f>IFERROR(VLOOKUP($A4, All!$A$1:$AB$700,11,0),Math!I$2)</f>
        <v>3.7</v>
      </c>
      <c r="L4" s="8">
        <f>IFERROR(VLOOKUP($A4, All!$A$1:$AB$700,12,0),Math!J$2)</f>
        <v>27.5</v>
      </c>
      <c r="M4" s="8">
        <f>IFERROR(VLOOKUP($A4, All!$A$1:$AB$700,13,0),Math!K$2)</f>
        <v>9.4</v>
      </c>
      <c r="N4" s="8">
        <f>IFERROR(VLOOKUP($A4, All!$A$1:$AB$700,14,0),Math!L$2)</f>
        <v>20.100000000000001</v>
      </c>
      <c r="O4" s="8">
        <f>IFERROR(VLOOKUP($A4, All!$A$1:$AB$700,15,0),Math!M$2)</f>
        <v>6.4</v>
      </c>
      <c r="P4" s="8">
        <f>IFERROR(VLOOKUP($A4, All!$A$1:$AB$700,16,0),Math!N$2)</f>
        <v>7.5</v>
      </c>
      <c r="Q4" s="31">
        <f>IFERROR(VLOOKUP($A4, All!$A$1:$AB$700,17,0),0)</f>
        <v>-0.13586433074658327</v>
      </c>
      <c r="R4" s="31">
        <f>IFERROR(VLOOKUP($A4, All!$A$1:$AB$700,18,0),0)</f>
        <v>0.84579015037906013</v>
      </c>
      <c r="S4" s="31">
        <f>IFERROR(VLOOKUP($A4, All!$A$1:$AB$700,19,0),0)</f>
        <v>0.80269119397797173</v>
      </c>
      <c r="T4" s="31">
        <f>IFERROR(VLOOKUP($A4, All!$A$1:$AB$700,20,0),0)</f>
        <v>-0.59038666297381537</v>
      </c>
      <c r="U4" s="31">
        <f>IFERROR(VLOOKUP($A4, All!$A$1:$AB$700,21,0),0)</f>
        <v>1.2116611071773118</v>
      </c>
      <c r="V4" s="31">
        <f>IFERROR(VLOOKUP($A4, All!$A$1:$AB$700,22,0),0)</f>
        <v>-0.18468519304824169</v>
      </c>
      <c r="W4" s="31">
        <f>IFERROR(VLOOKUP($A4, All!$A$1:$AB$700,23,0),0)</f>
        <v>-0.90376288557943862</v>
      </c>
      <c r="X4" s="31">
        <f>IFERROR(VLOOKUP($A4, All!$A$1:$AB$700,24,0),0)</f>
        <v>-2.6139804938028637</v>
      </c>
      <c r="Y4" s="31">
        <f>IFERROR(VLOOKUP($A4, All!$A$1:$AB$700,25,0),0)</f>
        <v>2.4555261534784383</v>
      </c>
    </row>
    <row r="5" spans="1:25">
      <c r="A5" s="7" t="s">
        <v>37</v>
      </c>
      <c r="B5" s="8">
        <f>IFERROR(VLOOKUP($A5, All!$A$1:$AB$699,2,0),300)</f>
        <v>24</v>
      </c>
      <c r="C5" s="8">
        <f>IFERROR(VLOOKUP($A5, All!$A$1:$AB$699,3,0),70)</f>
        <v>78</v>
      </c>
      <c r="D5" s="8">
        <f>IFERROR(VLOOKUP($A5, All!$A$1:$AB$699,4,0),Math!B$2)</f>
        <v>0.43</v>
      </c>
      <c r="E5" s="8">
        <f>IFERROR(VLOOKUP($A5, All!$A$1:$AB$700,5,0),Math!C$2)</f>
        <v>0.86</v>
      </c>
      <c r="F5" s="8">
        <f>IFERROR(VLOOKUP($A5, All!$A$1:$AB$700,6,0),Math!D$2)</f>
        <v>2.4</v>
      </c>
      <c r="G5" s="8">
        <f>IFERROR(VLOOKUP($A5, All!$A$1:$AB$700,7,0),Math!E$2)</f>
        <v>4</v>
      </c>
      <c r="H5" s="8">
        <f>IFERROR(VLOOKUP($A5, All!$A$1:$AB$700,8,0),Math!F$2)</f>
        <v>8.9</v>
      </c>
      <c r="I5" s="8">
        <f>IFERROR(VLOOKUP($A5, All!$A$1:$AB$700,9,0),Math!G$2)</f>
        <v>1</v>
      </c>
      <c r="J5" s="8">
        <f>IFERROR(VLOOKUP($A5, All!$A$1:$AB$700,10,0),Math!H$2)</f>
        <v>0.2</v>
      </c>
      <c r="K5" s="8">
        <f>IFERROR(VLOOKUP($A5, All!$A$1:$AB$700,11,0),Math!I$2)</f>
        <v>3.9</v>
      </c>
      <c r="L5" s="8">
        <f>IFERROR(VLOOKUP($A5, All!$A$1:$AB$700,12,0),Math!J$2)</f>
        <v>22.3</v>
      </c>
      <c r="M5" s="8">
        <f>IFERROR(VLOOKUP($A5, All!$A$1:$AB$700,13,0),Math!K$2)</f>
        <v>7.5</v>
      </c>
      <c r="N5" s="8">
        <f>IFERROR(VLOOKUP($A5, All!$A$1:$AB$700,14,0),Math!L$2)</f>
        <v>17.3</v>
      </c>
      <c r="O5" s="8">
        <f>IFERROR(VLOOKUP($A5, All!$A$1:$AB$700,15,0),Math!M$2)</f>
        <v>4.9000000000000004</v>
      </c>
      <c r="P5" s="8">
        <f>IFERROR(VLOOKUP($A5, All!$A$1:$AB$700,16,0),Math!N$2)</f>
        <v>5.7</v>
      </c>
      <c r="Q5" s="31">
        <f>IFERROR(VLOOKUP($A5, All!$A$1:$AB$700,17,0),0)</f>
        <v>-0.87526204909533856</v>
      </c>
      <c r="R5" s="31">
        <f>IFERROR(VLOOKUP($A5, All!$A$1:$AB$700,18,0),0)</f>
        <v>0.96696352435886834</v>
      </c>
      <c r="S5" s="31">
        <f>IFERROR(VLOOKUP($A5, All!$A$1:$AB$700,19,0),0)</f>
        <v>1.0184683966602219</v>
      </c>
      <c r="T5" s="31">
        <f>IFERROR(VLOOKUP($A5, All!$A$1:$AB$700,20,0),0)</f>
        <v>-0.70432426277577376</v>
      </c>
      <c r="U5" s="31">
        <f>IFERROR(VLOOKUP($A5, All!$A$1:$AB$700,21,0),0)</f>
        <v>2.8168424538829209</v>
      </c>
      <c r="V5" s="31">
        <f>IFERROR(VLOOKUP($A5, All!$A$1:$AB$700,22,0),0)</f>
        <v>7.9150797020674304E-2</v>
      </c>
      <c r="W5" s="31">
        <f>IFERROR(VLOOKUP($A5, All!$A$1:$AB$700,23,0),0)</f>
        <v>-0.90376288557943862</v>
      </c>
      <c r="X5" s="31">
        <f>IFERROR(VLOOKUP($A5, All!$A$1:$AB$700,24,0),0)</f>
        <v>-2.8822874472340012</v>
      </c>
      <c r="Y5" s="31">
        <f>IFERROR(VLOOKUP($A5, All!$A$1:$AB$700,25,0),0)</f>
        <v>1.4129250268280034</v>
      </c>
    </row>
    <row r="6" spans="1:25">
      <c r="A6" s="7" t="s">
        <v>46</v>
      </c>
      <c r="B6" s="8">
        <f>IFERROR(VLOOKUP($A6, All!$A$1:$AB$699,2,0),300)</f>
        <v>58</v>
      </c>
      <c r="C6" s="8">
        <f>IFERROR(VLOOKUP($A6, All!$A$1:$AB$699,3,0),70)</f>
        <v>76</v>
      </c>
      <c r="D6" s="8">
        <f>IFERROR(VLOOKUP($A6, All!$A$1:$AB$699,4,0),Math!B$2)</f>
        <v>0.45</v>
      </c>
      <c r="E6" s="8">
        <f>IFERROR(VLOOKUP($A6, All!$A$1:$AB$700,5,0),Math!C$2)</f>
        <v>0.88</v>
      </c>
      <c r="F6" s="8">
        <f>IFERROR(VLOOKUP($A6, All!$A$1:$AB$700,6,0),Math!D$2)</f>
        <v>2.4</v>
      </c>
      <c r="G6" s="8">
        <f>IFERROR(VLOOKUP($A6, All!$A$1:$AB$700,7,0),Math!E$2)</f>
        <v>5</v>
      </c>
      <c r="H6" s="8">
        <f>IFERROR(VLOOKUP($A6, All!$A$1:$AB$700,8,0),Math!F$2)</f>
        <v>1.2</v>
      </c>
      <c r="I6" s="8">
        <f>IFERROR(VLOOKUP($A6, All!$A$1:$AB$700,9,0),Math!G$2)</f>
        <v>0.6</v>
      </c>
      <c r="J6" s="8">
        <f>IFERROR(VLOOKUP($A6, All!$A$1:$AB$700,10,0),Math!H$2)</f>
        <v>2.2999999999999998</v>
      </c>
      <c r="K6" s="8">
        <f>IFERROR(VLOOKUP($A6, All!$A$1:$AB$700,11,0),Math!I$2)</f>
        <v>1</v>
      </c>
      <c r="L6" s="8">
        <f>IFERROR(VLOOKUP($A6, All!$A$1:$AB$700,12,0),Math!J$2)</f>
        <v>12.9</v>
      </c>
      <c r="M6" s="8">
        <f>IFERROR(VLOOKUP($A6, All!$A$1:$AB$700,13,0),Math!K$2)</f>
        <v>4.5</v>
      </c>
      <c r="N6" s="8">
        <f>IFERROR(VLOOKUP($A6, All!$A$1:$AB$700,14,0),Math!L$2)</f>
        <v>9.9</v>
      </c>
      <c r="O6" s="8">
        <f>IFERROR(VLOOKUP($A6, All!$A$1:$AB$700,15,0),Math!M$2)</f>
        <v>1.4</v>
      </c>
      <c r="P6" s="8">
        <f>IFERROR(VLOOKUP($A6, All!$A$1:$AB$700,16,0),Math!N$2)</f>
        <v>1.6</v>
      </c>
      <c r="Q6" s="31">
        <f>IFERROR(VLOOKUP($A6, All!$A$1:$AB$700,17,0),0)</f>
        <v>-0.50556318992096039</v>
      </c>
      <c r="R6" s="31">
        <f>IFERROR(VLOOKUP($A6, All!$A$1:$AB$700,18,0),0)</f>
        <v>1.2093102723184848</v>
      </c>
      <c r="S6" s="31">
        <f>IFERROR(VLOOKUP($A6, All!$A$1:$AB$700,19,0),0)</f>
        <v>1.0184683966602219</v>
      </c>
      <c r="T6" s="31">
        <f>IFERROR(VLOOKUP($A6, All!$A$1:$AB$700,20,0),0)</f>
        <v>-0.32453226343591229</v>
      </c>
      <c r="U6" s="31">
        <f>IFERROR(VLOOKUP($A6, All!$A$1:$AB$700,21,0),0)</f>
        <v>-1.0456251616274512</v>
      </c>
      <c r="V6" s="31">
        <f>IFERROR(VLOOKUP($A6, All!$A$1:$AB$700,22,0),0)</f>
        <v>-0.97619316325498995</v>
      </c>
      <c r="W6" s="31">
        <f>IFERROR(VLOOKUP($A6, All!$A$1:$AB$700,23,0),0)</f>
        <v>2.9616180914405672</v>
      </c>
      <c r="X6" s="31">
        <f>IFERROR(VLOOKUP($A6, All!$A$1:$AB$700,24,0),0)</f>
        <v>1.0081633775175005</v>
      </c>
      <c r="Y6" s="31">
        <f>IFERROR(VLOOKUP($A6, All!$A$1:$AB$700,25,0),0)</f>
        <v>-0.47177700980932186</v>
      </c>
    </row>
    <row r="7" spans="1:25">
      <c r="A7" s="7" t="s">
        <v>893</v>
      </c>
      <c r="B7" s="8">
        <f>IFERROR(VLOOKUP($A7, All!$A$1:$AB$699,2,0),300)</f>
        <v>53</v>
      </c>
      <c r="C7" s="8">
        <f>IFERROR(VLOOKUP($A7, All!$A$1:$AB$699,3,0),70)</f>
        <v>70</v>
      </c>
      <c r="D7" s="8">
        <f>IFERROR(VLOOKUP($A7, All!$A$1:$AB$699,4,0),Math!B$2)</f>
        <v>0.49</v>
      </c>
      <c r="E7" s="8">
        <f>IFERROR(VLOOKUP($A7, All!$A$1:$AB$700,5,0),Math!C$2)</f>
        <v>0.77</v>
      </c>
      <c r="F7" s="8">
        <f>IFERROR(VLOOKUP($A7, All!$A$1:$AB$700,6,0),Math!D$2)</f>
        <v>1.1000000000000001</v>
      </c>
      <c r="G7" s="8">
        <f>IFERROR(VLOOKUP($A7, All!$A$1:$AB$700,7,0),Math!E$2)</f>
        <v>7.2</v>
      </c>
      <c r="H7" s="8">
        <f>IFERROR(VLOOKUP($A7, All!$A$1:$AB$700,8,0),Math!F$2)</f>
        <v>1.4</v>
      </c>
      <c r="I7" s="8">
        <f>IFERROR(VLOOKUP($A7, All!$A$1:$AB$700,9,0),Math!G$2)</f>
        <v>1.1000000000000001</v>
      </c>
      <c r="J7" s="8">
        <f>IFERROR(VLOOKUP($A7, All!$A$1:$AB$700,10,0),Math!H$2)</f>
        <v>1.8</v>
      </c>
      <c r="K7" s="8">
        <f>IFERROR(VLOOKUP($A7, All!$A$1:$AB$700,11,0),Math!I$2)</f>
        <v>2.1</v>
      </c>
      <c r="L7" s="8">
        <f>IFERROR(VLOOKUP($A7, All!$A$1:$AB$700,12,0),Math!J$2)</f>
        <v>17.100000000000001</v>
      </c>
      <c r="M7" s="8">
        <f>IFERROR(VLOOKUP($A7, All!$A$1:$AB$700,13,0),Math!K$2)</f>
        <v>6.3</v>
      </c>
      <c r="N7" s="8">
        <f>IFERROR(VLOOKUP($A7, All!$A$1:$AB$700,14,0),Math!L$2)</f>
        <v>12.9</v>
      </c>
      <c r="O7" s="8">
        <f>IFERROR(VLOOKUP($A7, All!$A$1:$AB$700,15,0),Math!M$2)</f>
        <v>3.4</v>
      </c>
      <c r="P7" s="8">
        <f>IFERROR(VLOOKUP($A7, All!$A$1:$AB$700,16,0),Math!N$2)</f>
        <v>4.4000000000000004</v>
      </c>
      <c r="Q7" s="31">
        <f>IFERROR(VLOOKUP($A7, All!$A$1:$AB$700,17,0),0)</f>
        <v>0.23383452842779492</v>
      </c>
      <c r="R7" s="31">
        <f>IFERROR(VLOOKUP($A7, All!$A$1:$AB$700,18,0),0)</f>
        <v>-0.12359684145940408</v>
      </c>
      <c r="S7" s="31">
        <f>IFERROR(VLOOKUP($A7, All!$A$1:$AB$700,19,0),0)</f>
        <v>-0.38408342077440522</v>
      </c>
      <c r="T7" s="31">
        <f>IFERROR(VLOOKUP($A7, All!$A$1:$AB$700,20,0),0)</f>
        <v>0.51101013511178317</v>
      </c>
      <c r="U7" s="31">
        <f>IFERROR(VLOOKUP($A7, All!$A$1:$AB$700,21,0),0)</f>
        <v>-0.9453013274583506</v>
      </c>
      <c r="V7" s="31">
        <f>IFERROR(VLOOKUP($A7, All!$A$1:$AB$700,22,0),0)</f>
        <v>0.34298678708959057</v>
      </c>
      <c r="W7" s="31">
        <f>IFERROR(VLOOKUP($A7, All!$A$1:$AB$700,23,0),0)</f>
        <v>2.0412892873881852</v>
      </c>
      <c r="X7" s="31">
        <f>IFERROR(VLOOKUP($A7, All!$A$1:$AB$700,24,0),0)</f>
        <v>-0.46752486635375906</v>
      </c>
      <c r="Y7" s="31">
        <f>IFERROR(VLOOKUP($A7, All!$A$1:$AB$700,25,0),0)</f>
        <v>0.37032390017756828</v>
      </c>
    </row>
    <row r="8" spans="1:25">
      <c r="A8" s="7" t="s">
        <v>54</v>
      </c>
      <c r="B8" s="8">
        <f>IFERROR(VLOOKUP($A8, All!$A$1:$AB$699,2,0),300)</f>
        <v>50</v>
      </c>
      <c r="C8" s="8">
        <f>IFERROR(VLOOKUP($A8, All!$A$1:$AB$699,3,0),70)</f>
        <v>50</v>
      </c>
      <c r="D8" s="8">
        <f>IFERROR(VLOOKUP($A8, All!$A$1:$AB$699,4,0),Math!B$2)</f>
        <v>0.44</v>
      </c>
      <c r="E8" s="8">
        <f>IFERROR(VLOOKUP($A8, All!$A$1:$AB$700,5,0),Math!C$2)</f>
        <v>0.78</v>
      </c>
      <c r="F8" s="8">
        <f>IFERROR(VLOOKUP($A8, All!$A$1:$AB$700,6,0),Math!D$2)</f>
        <v>2.1</v>
      </c>
      <c r="G8" s="8">
        <f>IFERROR(VLOOKUP($A8, All!$A$1:$AB$700,7,0),Math!E$2)</f>
        <v>5.5</v>
      </c>
      <c r="H8" s="8">
        <f>IFERROR(VLOOKUP($A8, All!$A$1:$AB$700,8,0),Math!F$2)</f>
        <v>5.0999999999999996</v>
      </c>
      <c r="I8" s="8">
        <f>IFERROR(VLOOKUP($A8, All!$A$1:$AB$700,9,0),Math!G$2)</f>
        <v>1.6</v>
      </c>
      <c r="J8" s="8">
        <f>IFERROR(VLOOKUP($A8, All!$A$1:$AB$700,10,0),Math!H$2)</f>
        <v>0.3</v>
      </c>
      <c r="K8" s="8">
        <f>IFERROR(VLOOKUP($A8, All!$A$1:$AB$700,11,0),Math!I$2)</f>
        <v>2.2000000000000002</v>
      </c>
      <c r="L8" s="8">
        <f>IFERROR(VLOOKUP($A8, All!$A$1:$AB$700,12,0),Math!J$2)</f>
        <v>19.399999999999999</v>
      </c>
      <c r="M8" s="8">
        <f>IFERROR(VLOOKUP($A8, All!$A$1:$AB$700,13,0),Math!K$2)</f>
        <v>7.2</v>
      </c>
      <c r="N8" s="8">
        <f>IFERROR(VLOOKUP($A8, All!$A$1:$AB$700,14,0),Math!L$2)</f>
        <v>16.2</v>
      </c>
      <c r="O8" s="8">
        <f>IFERROR(VLOOKUP($A8, All!$A$1:$AB$700,15,0),Math!M$2)</f>
        <v>2.9</v>
      </c>
      <c r="P8" s="8">
        <f>IFERROR(VLOOKUP($A8, All!$A$1:$AB$700,16,0),Math!N$2)</f>
        <v>3.7</v>
      </c>
      <c r="Q8" s="31">
        <f>IFERROR(VLOOKUP($A8, All!$A$1:$AB$700,17,0),0)</f>
        <v>-0.69041261950814947</v>
      </c>
      <c r="R8" s="31">
        <f>IFERROR(VLOOKUP($A8, All!$A$1:$AB$700,18,0),0)</f>
        <v>-2.4234674795958946E-3</v>
      </c>
      <c r="S8" s="31">
        <f>IFERROR(VLOOKUP($A8, All!$A$1:$AB$700,19,0),0)</f>
        <v>0.69480259263684652</v>
      </c>
      <c r="T8" s="31">
        <f>IFERROR(VLOOKUP($A8, All!$A$1:$AB$700,20,0),0)</f>
        <v>-0.13463626376598151</v>
      </c>
      <c r="U8" s="31">
        <f>IFERROR(VLOOKUP($A8, All!$A$1:$AB$700,21,0),0)</f>
        <v>0.91068960467000981</v>
      </c>
      <c r="V8" s="31">
        <f>IFERROR(VLOOKUP($A8, All!$A$1:$AB$700,22,0),0)</f>
        <v>1.6621667374341709</v>
      </c>
      <c r="W8" s="31">
        <f>IFERROR(VLOOKUP($A8, All!$A$1:$AB$700,23,0),0)</f>
        <v>-0.71969712476896219</v>
      </c>
      <c r="X8" s="31">
        <f>IFERROR(VLOOKUP($A8, All!$A$1:$AB$700,24,0),0)</f>
        <v>-0.60167834306932821</v>
      </c>
      <c r="Y8" s="31">
        <f>IFERROR(VLOOKUP($A8, All!$A$1:$AB$700,25,0),0)</f>
        <v>0.83147439850372173</v>
      </c>
    </row>
    <row r="9" spans="1:25">
      <c r="A9" s="7" t="s">
        <v>62</v>
      </c>
      <c r="B9" s="8">
        <f>IFERROR(VLOOKUP($A9, All!$A$1:$AB$699,2,0),300)</f>
        <v>72</v>
      </c>
      <c r="C9" s="8">
        <f>IFERROR(VLOOKUP($A9, All!$A$1:$AB$699,3,0),70)</f>
        <v>74</v>
      </c>
      <c r="D9" s="8">
        <f>IFERROR(VLOOKUP($A9, All!$A$1:$AB$699,4,0),Math!B$2)</f>
        <v>0.45</v>
      </c>
      <c r="E9" s="8">
        <f>IFERROR(VLOOKUP($A9, All!$A$1:$AB$700,5,0),Math!C$2)</f>
        <v>0.79</v>
      </c>
      <c r="F9" s="8">
        <f>IFERROR(VLOOKUP($A9, All!$A$1:$AB$700,6,0),Math!D$2)</f>
        <v>1.5</v>
      </c>
      <c r="G9" s="8">
        <f>IFERROR(VLOOKUP($A9, All!$A$1:$AB$700,7,0),Math!E$2)</f>
        <v>4</v>
      </c>
      <c r="H9" s="8">
        <f>IFERROR(VLOOKUP($A9, All!$A$1:$AB$700,8,0),Math!F$2)</f>
        <v>7.9</v>
      </c>
      <c r="I9" s="8">
        <f>IFERROR(VLOOKUP($A9, All!$A$1:$AB$700,9,0),Math!G$2)</f>
        <v>1.2</v>
      </c>
      <c r="J9" s="8">
        <f>IFERROR(VLOOKUP($A9, All!$A$1:$AB$700,10,0),Math!H$2)</f>
        <v>0.4</v>
      </c>
      <c r="K9" s="8">
        <f>IFERROR(VLOOKUP($A9, All!$A$1:$AB$700,11,0),Math!I$2)</f>
        <v>3.1</v>
      </c>
      <c r="L9" s="8">
        <f>IFERROR(VLOOKUP($A9, All!$A$1:$AB$700,12,0),Math!J$2)</f>
        <v>16.399999999999999</v>
      </c>
      <c r="M9" s="8">
        <f>IFERROR(VLOOKUP($A9, All!$A$1:$AB$700,13,0),Math!K$2)</f>
        <v>5.8</v>
      </c>
      <c r="N9" s="8">
        <f>IFERROR(VLOOKUP($A9, All!$A$1:$AB$700,14,0),Math!L$2)</f>
        <v>13</v>
      </c>
      <c r="O9" s="8">
        <f>IFERROR(VLOOKUP($A9, All!$A$1:$AB$700,15,0),Math!M$2)</f>
        <v>3.3</v>
      </c>
      <c r="P9" s="8">
        <f>IFERROR(VLOOKUP($A9, All!$A$1:$AB$700,16,0),Math!N$2)</f>
        <v>4.2</v>
      </c>
      <c r="Q9" s="31">
        <f>IFERROR(VLOOKUP($A9, All!$A$1:$AB$700,17,0),0)</f>
        <v>-0.50556318992096039</v>
      </c>
      <c r="R9" s="31">
        <f>IFERROR(VLOOKUP($A9, All!$A$1:$AB$700,18,0),0)</f>
        <v>0.11874990650021229</v>
      </c>
      <c r="S9" s="31">
        <f>IFERROR(VLOOKUP($A9, All!$A$1:$AB$700,19,0),0)</f>
        <v>4.7470984590095355E-2</v>
      </c>
      <c r="T9" s="31">
        <f>IFERROR(VLOOKUP($A9, All!$A$1:$AB$700,20,0),0)</f>
        <v>-0.70432426277577376</v>
      </c>
      <c r="U9" s="31">
        <f>IFERROR(VLOOKUP($A9, All!$A$1:$AB$700,21,0),0)</f>
        <v>2.315223283037418</v>
      </c>
      <c r="V9" s="31">
        <f>IFERROR(VLOOKUP($A9, All!$A$1:$AB$700,22,0),0)</f>
        <v>0.6068227771585063</v>
      </c>
      <c r="W9" s="31">
        <f>IFERROR(VLOOKUP($A9, All!$A$1:$AB$700,23,0),0)</f>
        <v>-0.53563136395848565</v>
      </c>
      <c r="X9" s="31">
        <f>IFERROR(VLOOKUP($A9, All!$A$1:$AB$700,24,0),0)</f>
        <v>-1.8090596335094493</v>
      </c>
      <c r="Y9" s="31">
        <f>IFERROR(VLOOKUP($A9, All!$A$1:$AB$700,25,0),0)</f>
        <v>0.22997374851308608</v>
      </c>
    </row>
    <row r="10" spans="1:25">
      <c r="A10" s="7" t="s">
        <v>672</v>
      </c>
      <c r="B10" s="8">
        <f>IFERROR(VLOOKUP($A10, All!$A$1:$AB$699,2,0),300)</f>
        <v>99</v>
      </c>
      <c r="C10" s="8">
        <f>IFERROR(VLOOKUP($A10, All!$A$1:$AB$699,3,0),70)</f>
        <v>74</v>
      </c>
      <c r="D10" s="8">
        <f>IFERROR(VLOOKUP($A10, All!$A$1:$AB$699,4,0),Math!B$2)</f>
        <v>0.45</v>
      </c>
      <c r="E10" s="8">
        <f>IFERROR(VLOOKUP($A10, All!$A$1:$AB$700,5,0),Math!C$2)</f>
        <v>0.78</v>
      </c>
      <c r="F10" s="8">
        <f>IFERROR(VLOOKUP($A10, All!$A$1:$AB$700,6,0),Math!D$2)</f>
        <v>1.1000000000000001</v>
      </c>
      <c r="G10" s="8">
        <f>IFERROR(VLOOKUP($A10, All!$A$1:$AB$700,7,0),Math!E$2)</f>
        <v>6.7</v>
      </c>
      <c r="H10" s="8">
        <f>IFERROR(VLOOKUP($A10, All!$A$1:$AB$700,8,0),Math!F$2)</f>
        <v>3.8</v>
      </c>
      <c r="I10" s="8">
        <f>IFERROR(VLOOKUP($A10, All!$A$1:$AB$700,9,0),Math!G$2)</f>
        <v>0.9</v>
      </c>
      <c r="J10" s="8">
        <f>IFERROR(VLOOKUP($A10, All!$A$1:$AB$700,10,0),Math!H$2)</f>
        <v>0.9</v>
      </c>
      <c r="K10" s="8">
        <f>IFERROR(VLOOKUP($A10, All!$A$1:$AB$700,11,0),Math!I$2)</f>
        <v>1</v>
      </c>
      <c r="L10" s="8">
        <f>IFERROR(VLOOKUP($A10, All!$A$1:$AB$700,12,0),Math!J$2)</f>
        <v>11.6</v>
      </c>
      <c r="M10" s="8">
        <f>IFERROR(VLOOKUP($A10, All!$A$1:$AB$700,13,0),Math!K$2)</f>
        <v>4.2</v>
      </c>
      <c r="N10" s="8">
        <f>IFERROR(VLOOKUP($A10, All!$A$1:$AB$700,14,0),Math!L$2)</f>
        <v>9.4</v>
      </c>
      <c r="O10" s="8">
        <f>IFERROR(VLOOKUP($A10, All!$A$1:$AB$700,15,0),Math!M$2)</f>
        <v>2.1</v>
      </c>
      <c r="P10" s="8">
        <f>IFERROR(VLOOKUP($A10, All!$A$1:$AB$700,16,0),Math!N$2)</f>
        <v>2.7</v>
      </c>
      <c r="Q10" s="31">
        <f>IFERROR(VLOOKUP($A10, All!$A$1:$AB$700,17,0),0)</f>
        <v>-0.50556318992096039</v>
      </c>
      <c r="R10" s="31">
        <f>IFERROR(VLOOKUP($A10, All!$A$1:$AB$700,18,0),0)</f>
        <v>-2.4234674795958946E-3</v>
      </c>
      <c r="S10" s="31">
        <f>IFERROR(VLOOKUP($A10, All!$A$1:$AB$700,19,0),0)</f>
        <v>-0.38408342077440522</v>
      </c>
      <c r="T10" s="31">
        <f>IFERROR(VLOOKUP($A10, All!$A$1:$AB$700,20,0),0)</f>
        <v>0.32111413544185241</v>
      </c>
      <c r="U10" s="31">
        <f>IFERROR(VLOOKUP($A10, All!$A$1:$AB$700,21,0),0)</f>
        <v>0.25858468257085621</v>
      </c>
      <c r="V10" s="31">
        <f>IFERROR(VLOOKUP($A10, All!$A$1:$AB$700,22,0),0)</f>
        <v>-0.18468519304824169</v>
      </c>
      <c r="W10" s="31">
        <f>IFERROR(VLOOKUP($A10, All!$A$1:$AB$700,23,0),0)</f>
        <v>0.38469744009389678</v>
      </c>
      <c r="X10" s="31">
        <f>IFERROR(VLOOKUP($A10, All!$A$1:$AB$700,24,0),0)</f>
        <v>1.0081633775175005</v>
      </c>
      <c r="Y10" s="31">
        <f>IFERROR(VLOOKUP($A10, All!$A$1:$AB$700,25,0),0)</f>
        <v>-0.73242729147193075</v>
      </c>
    </row>
    <row r="11" spans="1:25">
      <c r="A11" s="7" t="s">
        <v>666</v>
      </c>
      <c r="B11" s="8">
        <f>IFERROR(VLOOKUP($A11, All!$A$1:$AB$699,2,0),300)</f>
        <v>91</v>
      </c>
      <c r="C11" s="8">
        <f>IFERROR(VLOOKUP($A11, All!$A$1:$AB$699,3,0),70)</f>
        <v>70</v>
      </c>
      <c r="D11" s="8">
        <f>IFERROR(VLOOKUP($A11, All!$A$1:$AB$699,4,0),Math!B$2)</f>
        <v>0.43</v>
      </c>
      <c r="E11" s="8">
        <f>IFERROR(VLOOKUP($A11, All!$A$1:$AB$700,5,0),Math!C$2)</f>
        <v>0.85</v>
      </c>
      <c r="F11" s="8">
        <f>IFERROR(VLOOKUP($A11, All!$A$1:$AB$700,6,0),Math!D$2)</f>
        <v>2.5</v>
      </c>
      <c r="G11" s="8">
        <f>IFERROR(VLOOKUP($A11, All!$A$1:$AB$700,7,0),Math!E$2)</f>
        <v>2.9</v>
      </c>
      <c r="H11" s="8">
        <f>IFERROR(VLOOKUP($A11, All!$A$1:$AB$700,8,0),Math!F$2)</f>
        <v>5.3</v>
      </c>
      <c r="I11" s="8">
        <f>IFERROR(VLOOKUP($A11, All!$A$1:$AB$700,9,0),Math!G$2)</f>
        <v>0.9</v>
      </c>
      <c r="J11" s="8">
        <f>IFERROR(VLOOKUP($A11, All!$A$1:$AB$700,10,0),Math!H$2)</f>
        <v>0.3</v>
      </c>
      <c r="K11" s="8">
        <f>IFERROR(VLOOKUP($A11, All!$A$1:$AB$700,11,0),Math!I$2)</f>
        <v>1.4</v>
      </c>
      <c r="L11" s="8">
        <f>IFERROR(VLOOKUP($A11, All!$A$1:$AB$700,12,0),Math!J$2)</f>
        <v>15.4</v>
      </c>
      <c r="M11" s="8">
        <f>IFERROR(VLOOKUP($A11, All!$A$1:$AB$700,13,0),Math!K$2)</f>
        <v>5.6</v>
      </c>
      <c r="N11" s="8">
        <f>IFERROR(VLOOKUP($A11, All!$A$1:$AB$700,14,0),Math!L$2)</f>
        <v>13</v>
      </c>
      <c r="O11" s="8">
        <f>IFERROR(VLOOKUP($A11, All!$A$1:$AB$700,15,0),Math!M$2)</f>
        <v>1.7</v>
      </c>
      <c r="P11" s="8">
        <f>IFERROR(VLOOKUP($A11, All!$A$1:$AB$700,16,0),Math!N$2)</f>
        <v>2</v>
      </c>
      <c r="Q11" s="31">
        <f>IFERROR(VLOOKUP($A11, All!$A$1:$AB$700,17,0),0)</f>
        <v>-0.87526204909533856</v>
      </c>
      <c r="R11" s="31">
        <f>IFERROR(VLOOKUP($A11, All!$A$1:$AB$700,18,0),0)</f>
        <v>0.84579015037906013</v>
      </c>
      <c r="S11" s="31">
        <f>IFERROR(VLOOKUP($A11, All!$A$1:$AB$700,19,0),0)</f>
        <v>1.126356998001347</v>
      </c>
      <c r="T11" s="31">
        <f>IFERROR(VLOOKUP($A11, All!$A$1:$AB$700,20,0),0)</f>
        <v>-1.1220954620496215</v>
      </c>
      <c r="U11" s="31">
        <f>IFERROR(VLOOKUP($A11, All!$A$1:$AB$700,21,0),0)</f>
        <v>1.0110134388391105</v>
      </c>
      <c r="V11" s="31">
        <f>IFERROR(VLOOKUP($A11, All!$A$1:$AB$700,22,0),0)</f>
        <v>-0.18468519304824169</v>
      </c>
      <c r="W11" s="31">
        <f>IFERROR(VLOOKUP($A11, All!$A$1:$AB$700,23,0),0)</f>
        <v>-0.71969712476896219</v>
      </c>
      <c r="X11" s="31">
        <f>IFERROR(VLOOKUP($A11, All!$A$1:$AB$700,24,0),0)</f>
        <v>0.47154947065522446</v>
      </c>
      <c r="Y11" s="31">
        <f>IFERROR(VLOOKUP($A11, All!$A$1:$AB$700,25,0),0)</f>
        <v>2.9473531849541195E-2</v>
      </c>
    </row>
    <row r="12" spans="1:25">
      <c r="A12" s="7" t="s">
        <v>88</v>
      </c>
      <c r="B12" s="8">
        <f>IFERROR(VLOOKUP($A12, All!$A$1:$AB$699,2,0),300)</f>
        <v>126</v>
      </c>
      <c r="C12" s="8">
        <f>IFERROR(VLOOKUP($A12, All!$A$1:$AB$699,3,0),70)</f>
        <v>78</v>
      </c>
      <c r="D12" s="8">
        <f>IFERROR(VLOOKUP($A12, All!$A$1:$AB$699,4,0),Math!B$2)</f>
        <v>0.49</v>
      </c>
      <c r="E12" s="8">
        <f>IFERROR(VLOOKUP($A12, All!$A$1:$AB$700,5,0),Math!C$2)</f>
        <v>0.79</v>
      </c>
      <c r="F12" s="8">
        <f>IFERROR(VLOOKUP($A12, All!$A$1:$AB$700,6,0),Math!D$2)</f>
        <v>2</v>
      </c>
      <c r="G12" s="8">
        <f>IFERROR(VLOOKUP($A12, All!$A$1:$AB$700,7,0),Math!E$2)</f>
        <v>4.0999999999999996</v>
      </c>
      <c r="H12" s="8">
        <f>IFERROR(VLOOKUP($A12, All!$A$1:$AB$700,8,0),Math!F$2)</f>
        <v>2</v>
      </c>
      <c r="I12" s="8">
        <f>IFERROR(VLOOKUP($A12, All!$A$1:$AB$700,9,0),Math!G$2)</f>
        <v>0.8</v>
      </c>
      <c r="J12" s="8">
        <f>IFERROR(VLOOKUP($A12, All!$A$1:$AB$700,10,0),Math!H$2)</f>
        <v>0</v>
      </c>
      <c r="K12" s="8">
        <f>IFERROR(VLOOKUP($A12, All!$A$1:$AB$700,11,0),Math!I$2)</f>
        <v>1.6</v>
      </c>
      <c r="L12" s="8">
        <f>IFERROR(VLOOKUP($A12, All!$A$1:$AB$700,12,0),Math!J$2)</f>
        <v>15.7</v>
      </c>
      <c r="M12" s="8">
        <f>IFERROR(VLOOKUP($A12, All!$A$1:$AB$700,13,0),Math!K$2)</f>
        <v>5.4</v>
      </c>
      <c r="N12" s="8">
        <f>IFERROR(VLOOKUP($A12, All!$A$1:$AB$700,14,0),Math!L$2)</f>
        <v>11.1</v>
      </c>
      <c r="O12" s="8">
        <f>IFERROR(VLOOKUP($A12, All!$A$1:$AB$700,15,0),Math!M$2)</f>
        <v>3</v>
      </c>
      <c r="P12" s="8">
        <f>IFERROR(VLOOKUP($A12, All!$A$1:$AB$700,16,0),Math!N$2)</f>
        <v>3.8</v>
      </c>
      <c r="Q12" s="31">
        <f>IFERROR(VLOOKUP($A12, All!$A$1:$AB$700,17,0),0)</f>
        <v>0.23383452842779492</v>
      </c>
      <c r="R12" s="31">
        <f>IFERROR(VLOOKUP($A12, All!$A$1:$AB$700,18,0),0)</f>
        <v>0.11874990650021229</v>
      </c>
      <c r="S12" s="31">
        <f>IFERROR(VLOOKUP($A12, All!$A$1:$AB$700,19,0),0)</f>
        <v>0.58691399129572119</v>
      </c>
      <c r="T12" s="31">
        <f>IFERROR(VLOOKUP($A12, All!$A$1:$AB$700,20,0),0)</f>
        <v>-0.66634506284178774</v>
      </c>
      <c r="U12" s="31">
        <f>IFERROR(VLOOKUP($A12, All!$A$1:$AB$700,21,0),0)</f>
        <v>-0.64432982495104885</v>
      </c>
      <c r="V12" s="31">
        <f>IFERROR(VLOOKUP($A12, All!$A$1:$AB$700,22,0),0)</f>
        <v>-0.44852118311715766</v>
      </c>
      <c r="W12" s="31">
        <f>IFERROR(VLOOKUP($A12, All!$A$1:$AB$700,23,0),0)</f>
        <v>-1.2718944072003915</v>
      </c>
      <c r="X12" s="31">
        <f>IFERROR(VLOOKUP($A12, All!$A$1:$AB$700,24,0),0)</f>
        <v>0.20324251722408615</v>
      </c>
      <c r="Y12" s="31">
        <f>IFERROR(VLOOKUP($A12, All!$A$1:$AB$700,25,0),0)</f>
        <v>8.9623596848604548E-2</v>
      </c>
    </row>
    <row r="13" spans="1:25">
      <c r="A13" s="7" t="s">
        <v>665</v>
      </c>
      <c r="B13" s="8">
        <f>IFERROR(VLOOKUP($A13, All!$A$1:$AB$699,2,0),300)</f>
        <v>88</v>
      </c>
      <c r="C13" s="8">
        <f>IFERROR(VLOOKUP($A13, All!$A$1:$AB$699,3,0),70)</f>
        <v>66</v>
      </c>
      <c r="D13" s="8">
        <f>IFERROR(VLOOKUP($A13, All!$A$1:$AB$699,4,0),Math!B$2)</f>
        <v>0.49</v>
      </c>
      <c r="E13" s="8">
        <f>IFERROR(VLOOKUP($A13, All!$A$1:$AB$700,5,0),Math!C$2)</f>
        <v>0.79</v>
      </c>
      <c r="F13" s="8">
        <f>IFERROR(VLOOKUP($A13, All!$A$1:$AB$700,6,0),Math!D$2)</f>
        <v>1.6</v>
      </c>
      <c r="G13" s="8">
        <f>IFERROR(VLOOKUP($A13, All!$A$1:$AB$700,7,0),Math!E$2)</f>
        <v>4</v>
      </c>
      <c r="H13" s="8">
        <f>IFERROR(VLOOKUP($A13, All!$A$1:$AB$700,8,0),Math!F$2)</f>
        <v>1.5</v>
      </c>
      <c r="I13" s="8">
        <f>IFERROR(VLOOKUP($A13, All!$A$1:$AB$700,9,0),Math!G$2)</f>
        <v>1.1000000000000001</v>
      </c>
      <c r="J13" s="8">
        <f>IFERROR(VLOOKUP($A13, All!$A$1:$AB$700,10,0),Math!H$2)</f>
        <v>0.7</v>
      </c>
      <c r="K13" s="8">
        <f>IFERROR(VLOOKUP($A13, All!$A$1:$AB$700,11,0),Math!I$2)</f>
        <v>1.1000000000000001</v>
      </c>
      <c r="L13" s="8">
        <f>IFERROR(VLOOKUP($A13, All!$A$1:$AB$700,12,0),Math!J$2)</f>
        <v>16.100000000000001</v>
      </c>
      <c r="M13" s="8">
        <f>IFERROR(VLOOKUP($A13, All!$A$1:$AB$700,13,0),Math!K$2)</f>
        <v>6.1</v>
      </c>
      <c r="N13" s="8">
        <f>IFERROR(VLOOKUP($A13, All!$A$1:$AB$700,14,0),Math!L$2)</f>
        <v>12.4</v>
      </c>
      <c r="O13" s="8">
        <f>IFERROR(VLOOKUP($A13, All!$A$1:$AB$700,15,0),Math!M$2)</f>
        <v>2.2999999999999998</v>
      </c>
      <c r="P13" s="8">
        <f>IFERROR(VLOOKUP($A13, All!$A$1:$AB$700,16,0),Math!N$2)</f>
        <v>2.9</v>
      </c>
      <c r="Q13" s="31">
        <f>IFERROR(VLOOKUP($A13, All!$A$1:$AB$700,17,0),0)</f>
        <v>0.23383452842779492</v>
      </c>
      <c r="R13" s="31">
        <f>IFERROR(VLOOKUP($A13, All!$A$1:$AB$700,18,0),0)</f>
        <v>0.11874990650021229</v>
      </c>
      <c r="S13" s="31">
        <f>IFERROR(VLOOKUP($A13, All!$A$1:$AB$700,19,0),0)</f>
        <v>0.15535958593122062</v>
      </c>
      <c r="T13" s="31">
        <f>IFERROR(VLOOKUP($A13, All!$A$1:$AB$700,20,0),0)</f>
        <v>-0.70432426277577376</v>
      </c>
      <c r="U13" s="31">
        <f>IFERROR(VLOOKUP($A13, All!$A$1:$AB$700,21,0),0)</f>
        <v>-0.89513941037380029</v>
      </c>
      <c r="V13" s="31">
        <f>IFERROR(VLOOKUP($A13, All!$A$1:$AB$700,22,0),0)</f>
        <v>0.34298678708959057</v>
      </c>
      <c r="W13" s="31">
        <f>IFERROR(VLOOKUP($A13, All!$A$1:$AB$700,23,0),0)</f>
        <v>1.6565918472943714E-2</v>
      </c>
      <c r="X13" s="31">
        <f>IFERROR(VLOOKUP($A13, All!$A$1:$AB$700,24,0),0)</f>
        <v>0.87400990080193131</v>
      </c>
      <c r="Y13" s="31">
        <f>IFERROR(VLOOKUP($A13, All!$A$1:$AB$700,25,0),0)</f>
        <v>0.16982368351402308</v>
      </c>
    </row>
    <row r="14" spans="1:25">
      <c r="A14" s="7" t="s">
        <v>101</v>
      </c>
      <c r="B14" s="8">
        <f>IFERROR(VLOOKUP($A14, All!$A$1:$AB$699,2,0),300)</f>
        <v>147</v>
      </c>
      <c r="C14" s="8">
        <f>IFERROR(VLOOKUP($A14, All!$A$1:$AB$699,3,0),70)</f>
        <v>72</v>
      </c>
      <c r="D14" s="8">
        <f>IFERROR(VLOOKUP($A14, All!$A$1:$AB$699,4,0),Math!B$2)</f>
        <v>0.46</v>
      </c>
      <c r="E14" s="8">
        <f>IFERROR(VLOOKUP($A14, All!$A$1:$AB$700,5,0),Math!C$2)</f>
        <v>0.75</v>
      </c>
      <c r="F14" s="8">
        <f>IFERROR(VLOOKUP($A14, All!$A$1:$AB$700,6,0),Math!D$2)</f>
        <v>1.6</v>
      </c>
      <c r="G14" s="8">
        <f>IFERROR(VLOOKUP($A14, All!$A$1:$AB$700,7,0),Math!E$2)</f>
        <v>4.5999999999999996</v>
      </c>
      <c r="H14" s="8">
        <f>IFERROR(VLOOKUP($A14, All!$A$1:$AB$700,8,0),Math!F$2)</f>
        <v>2.2000000000000002</v>
      </c>
      <c r="I14" s="8">
        <f>IFERROR(VLOOKUP($A14, All!$A$1:$AB$700,9,0),Math!G$2)</f>
        <v>1.1000000000000001</v>
      </c>
      <c r="J14" s="8">
        <f>IFERROR(VLOOKUP($A14, All!$A$1:$AB$700,10,0),Math!H$2)</f>
        <v>0.3</v>
      </c>
      <c r="K14" s="8">
        <f>IFERROR(VLOOKUP($A14, All!$A$1:$AB$700,11,0),Math!I$2)</f>
        <v>1.3</v>
      </c>
      <c r="L14" s="8">
        <f>IFERROR(VLOOKUP($A14, All!$A$1:$AB$700,12,0),Math!J$2)</f>
        <v>12.1</v>
      </c>
      <c r="M14" s="8">
        <f>IFERROR(VLOOKUP($A14, All!$A$1:$AB$700,13,0),Math!K$2)</f>
        <v>4.0999999999999996</v>
      </c>
      <c r="N14" s="8">
        <f>IFERROR(VLOOKUP($A14, All!$A$1:$AB$700,14,0),Math!L$2)</f>
        <v>8.9</v>
      </c>
      <c r="O14" s="8">
        <f>IFERROR(VLOOKUP($A14, All!$A$1:$AB$700,15,0),Math!M$2)</f>
        <v>2.4</v>
      </c>
      <c r="P14" s="8">
        <f>IFERROR(VLOOKUP($A14, All!$A$1:$AB$700,16,0),Math!N$2)</f>
        <v>3.2</v>
      </c>
      <c r="Q14" s="31">
        <f>IFERROR(VLOOKUP($A14, All!$A$1:$AB$700,17,0),0)</f>
        <v>-0.3207137603337713</v>
      </c>
      <c r="R14" s="31">
        <f>IFERROR(VLOOKUP($A14, All!$A$1:$AB$700,18,0),0)</f>
        <v>-0.3659435894190205</v>
      </c>
      <c r="S14" s="31">
        <f>IFERROR(VLOOKUP($A14, All!$A$1:$AB$700,19,0),0)</f>
        <v>0.15535958593122062</v>
      </c>
      <c r="T14" s="31">
        <f>IFERROR(VLOOKUP($A14, All!$A$1:$AB$700,20,0),0)</f>
        <v>-0.47644906317185703</v>
      </c>
      <c r="U14" s="31">
        <f>IFERROR(VLOOKUP($A14, All!$A$1:$AB$700,21,0),0)</f>
        <v>-0.54400599078194822</v>
      </c>
      <c r="V14" s="31">
        <f>IFERROR(VLOOKUP($A14, All!$A$1:$AB$700,22,0),0)</f>
        <v>0.34298678708959057</v>
      </c>
      <c r="W14" s="31">
        <f>IFERROR(VLOOKUP($A14, All!$A$1:$AB$700,23,0),0)</f>
        <v>-0.71969712476896219</v>
      </c>
      <c r="X14" s="31">
        <f>IFERROR(VLOOKUP($A14, All!$A$1:$AB$700,24,0),0)</f>
        <v>0.60570294737079333</v>
      </c>
      <c r="Y14" s="31">
        <f>IFERROR(VLOOKUP($A14, All!$A$1:$AB$700,25,0),0)</f>
        <v>-0.63217718314015814</v>
      </c>
    </row>
    <row r="16" spans="1:25">
      <c r="A16" s="9" t="s">
        <v>123</v>
      </c>
      <c r="B16" s="2" t="s">
        <v>121</v>
      </c>
      <c r="C16" s="10" t="s">
        <v>122</v>
      </c>
      <c r="D16" s="12" t="s">
        <v>129</v>
      </c>
      <c r="E16" s="12" t="s">
        <v>130</v>
      </c>
      <c r="F16" s="11" t="s">
        <v>5</v>
      </c>
      <c r="G16" s="11" t="s">
        <v>6</v>
      </c>
      <c r="H16" s="11" t="s">
        <v>7</v>
      </c>
      <c r="I16" s="11" t="s">
        <v>8</v>
      </c>
      <c r="J16" s="11" t="s">
        <v>9</v>
      </c>
      <c r="K16" s="11" t="s">
        <v>10</v>
      </c>
      <c r="L16" s="11" t="s">
        <v>11</v>
      </c>
      <c r="M16" s="12" t="s">
        <v>12</v>
      </c>
      <c r="N16" s="12" t="s">
        <v>13</v>
      </c>
      <c r="O16" s="4" t="s">
        <v>125</v>
      </c>
      <c r="P16" s="17" t="s">
        <v>126</v>
      </c>
      <c r="Q16" s="17" t="s">
        <v>127</v>
      </c>
      <c r="R16" s="18" t="s">
        <v>128</v>
      </c>
    </row>
    <row r="17" spans="1:18">
      <c r="A17" s="6"/>
      <c r="B17" s="15">
        <f t="shared" ref="B17:N17" si="0">AVERAGE(B2:B14)</f>
        <v>65.615384615384613</v>
      </c>
      <c r="C17" s="15">
        <f t="shared" si="0"/>
        <v>71.615384615384613</v>
      </c>
      <c r="D17" s="15">
        <f t="shared" si="0"/>
        <v>0.46230769230769231</v>
      </c>
      <c r="E17" s="15">
        <f t="shared" si="0"/>
        <v>0.81</v>
      </c>
      <c r="F17" s="15">
        <f t="shared" si="0"/>
        <v>2.0923076923076924</v>
      </c>
      <c r="G17" s="15">
        <f t="shared" si="0"/>
        <v>5.0846153846153852</v>
      </c>
      <c r="H17" s="15">
        <f t="shared" si="0"/>
        <v>4.0384615384615383</v>
      </c>
      <c r="I17" s="15">
        <f t="shared" si="0"/>
        <v>1.0384615384615383</v>
      </c>
      <c r="J17" s="15">
        <f t="shared" si="0"/>
        <v>0.81538461538461549</v>
      </c>
      <c r="K17" s="15">
        <f t="shared" si="0"/>
        <v>2.0615384615384618</v>
      </c>
      <c r="L17" s="15">
        <f t="shared" si="0"/>
        <v>17.761538461538461</v>
      </c>
      <c r="M17" s="15">
        <f t="shared" si="0"/>
        <v>6.2923076923076922</v>
      </c>
      <c r="N17" s="15">
        <f t="shared" si="0"/>
        <v>13.615384615384617</v>
      </c>
      <c r="O17" s="16">
        <f>M17/N17</f>
        <v>0.46214689265536718</v>
      </c>
      <c r="P17" s="16">
        <f>AVERAGE(O2:O14)</f>
        <v>3.092307692307692</v>
      </c>
      <c r="Q17" s="16">
        <f>AVERAGE(P2:P14)</f>
        <v>3.7923076923076926</v>
      </c>
      <c r="R17" s="15">
        <f>P17/Q17</f>
        <v>0.8154158215010141</v>
      </c>
    </row>
    <row r="19" spans="1:18">
      <c r="A19" s="13" t="s">
        <v>124</v>
      </c>
      <c r="B19" s="11" t="s">
        <v>3</v>
      </c>
      <c r="C19" s="11" t="s">
        <v>4</v>
      </c>
      <c r="D19" s="11" t="s">
        <v>5</v>
      </c>
      <c r="E19" s="11" t="s">
        <v>6</v>
      </c>
      <c r="F19" s="11" t="s">
        <v>7</v>
      </c>
      <c r="G19" s="11" t="s">
        <v>8</v>
      </c>
      <c r="H19" s="11" t="s">
        <v>9</v>
      </c>
      <c r="I19" s="11" t="s">
        <v>10</v>
      </c>
      <c r="J19" s="11" t="s">
        <v>11</v>
      </c>
      <c r="K19" s="12" t="s">
        <v>12</v>
      </c>
      <c r="L19" s="12" t="s">
        <v>13</v>
      </c>
      <c r="M19" s="12" t="s">
        <v>126</v>
      </c>
      <c r="N19" s="12" t="s">
        <v>127</v>
      </c>
    </row>
    <row r="20" spans="1:18">
      <c r="A20" s="6"/>
      <c r="B20" s="16">
        <f>K20/L20</f>
        <v>0.46214689265536713</v>
      </c>
      <c r="C20" s="15">
        <f>M20/N20</f>
        <v>0.81541582150101399</v>
      </c>
      <c r="D20" s="15">
        <f t="shared" ref="D20:N20" si="1">SUM(F2:F14)</f>
        <v>27.200000000000003</v>
      </c>
      <c r="E20" s="15">
        <f t="shared" si="1"/>
        <v>66.100000000000009</v>
      </c>
      <c r="F20" s="15">
        <f t="shared" si="1"/>
        <v>52.499999999999993</v>
      </c>
      <c r="G20" s="15">
        <f t="shared" si="1"/>
        <v>13.499999999999998</v>
      </c>
      <c r="H20" s="15">
        <f t="shared" si="1"/>
        <v>10.600000000000001</v>
      </c>
      <c r="I20" s="15">
        <f t="shared" si="1"/>
        <v>26.800000000000004</v>
      </c>
      <c r="J20" s="15">
        <f t="shared" si="1"/>
        <v>230.9</v>
      </c>
      <c r="K20" s="15">
        <f t="shared" si="1"/>
        <v>81.8</v>
      </c>
      <c r="L20" s="15">
        <f t="shared" si="1"/>
        <v>177.00000000000003</v>
      </c>
      <c r="M20" s="15">
        <f t="shared" si="1"/>
        <v>40.199999999999996</v>
      </c>
      <c r="N20" s="15">
        <f t="shared" si="1"/>
        <v>49.300000000000004</v>
      </c>
    </row>
  </sheetData>
  <sortState xmlns:xlrd2="http://schemas.microsoft.com/office/spreadsheetml/2017/richdata2" ref="A2:P14">
    <sortCondition ref="B2"/>
  </sortState>
  <conditionalFormatting sqref="D2:D14">
    <cfRule type="colorScale" priority="18">
      <colorScale>
        <cfvo type="min"/>
        <cfvo type="percentile" val="50"/>
        <cfvo type="max"/>
        <color rgb="FFF8696B"/>
        <color rgb="FFFFEB84"/>
        <color rgb="FF63BE7B"/>
      </colorScale>
    </cfRule>
  </conditionalFormatting>
  <conditionalFormatting sqref="E2:E14">
    <cfRule type="colorScale" priority="17">
      <colorScale>
        <cfvo type="min"/>
        <cfvo type="percentile" val="50"/>
        <cfvo type="max"/>
        <color rgb="FFF8696B"/>
        <color rgb="FFFFEB84"/>
        <color rgb="FF63BE7B"/>
      </colorScale>
    </cfRule>
  </conditionalFormatting>
  <conditionalFormatting sqref="F2:F14">
    <cfRule type="colorScale" priority="16">
      <colorScale>
        <cfvo type="min"/>
        <cfvo type="percentile" val="50"/>
        <cfvo type="max"/>
        <color rgb="FFF8696B"/>
        <color rgb="FFFFEB84"/>
        <color rgb="FF63BE7B"/>
      </colorScale>
    </cfRule>
  </conditionalFormatting>
  <conditionalFormatting sqref="G2:G14">
    <cfRule type="colorScale" priority="15">
      <colorScale>
        <cfvo type="min"/>
        <cfvo type="percentile" val="50"/>
        <cfvo type="max"/>
        <color rgb="FFF8696B"/>
        <color rgb="FFFFEB84"/>
        <color rgb="FF63BE7B"/>
      </colorScale>
    </cfRule>
  </conditionalFormatting>
  <conditionalFormatting sqref="H2:H14">
    <cfRule type="colorScale" priority="14">
      <colorScale>
        <cfvo type="min"/>
        <cfvo type="percentile" val="50"/>
        <cfvo type="max"/>
        <color rgb="FFF8696B"/>
        <color rgb="FFFFEB84"/>
        <color rgb="FF63BE7B"/>
      </colorScale>
    </cfRule>
  </conditionalFormatting>
  <conditionalFormatting sqref="I2:I14">
    <cfRule type="colorScale" priority="13">
      <colorScale>
        <cfvo type="min"/>
        <cfvo type="percentile" val="50"/>
        <cfvo type="max"/>
        <color rgb="FFF8696B"/>
        <color rgb="FFFFEB84"/>
        <color rgb="FF63BE7B"/>
      </colorScale>
    </cfRule>
  </conditionalFormatting>
  <conditionalFormatting sqref="J2:J14">
    <cfRule type="colorScale" priority="12">
      <colorScale>
        <cfvo type="min"/>
        <cfvo type="percentile" val="50"/>
        <cfvo type="max"/>
        <color rgb="FFF8696B"/>
        <color rgb="FFFFEB84"/>
        <color rgb="FF63BE7B"/>
      </colorScale>
    </cfRule>
  </conditionalFormatting>
  <conditionalFormatting sqref="K2:K14">
    <cfRule type="colorScale" priority="11">
      <colorScale>
        <cfvo type="min"/>
        <cfvo type="percentile" val="50"/>
        <cfvo type="max"/>
        <color rgb="FF63BE7B"/>
        <color rgb="FFFFEB84"/>
        <color rgb="FFF8696B"/>
      </colorScale>
    </cfRule>
  </conditionalFormatting>
  <conditionalFormatting sqref="L2:L14">
    <cfRule type="colorScale" priority="10">
      <colorScale>
        <cfvo type="min"/>
        <cfvo type="percentile" val="50"/>
        <cfvo type="max"/>
        <color rgb="FFF8696B"/>
        <color rgb="FFFFEB84"/>
        <color rgb="FF63BE7B"/>
      </colorScale>
    </cfRule>
  </conditionalFormatting>
  <conditionalFormatting sqref="Q2:Q14">
    <cfRule type="colorScale" priority="9">
      <colorScale>
        <cfvo type="min"/>
        <cfvo type="percentile" val="50"/>
        <cfvo type="max"/>
        <color rgb="FFF8696B"/>
        <color rgb="FFFFEB84"/>
        <color rgb="FF63BE7B"/>
      </colorScale>
    </cfRule>
  </conditionalFormatting>
  <conditionalFormatting sqref="R2:R14">
    <cfRule type="colorScale" priority="8">
      <colorScale>
        <cfvo type="min"/>
        <cfvo type="percentile" val="50"/>
        <cfvo type="max"/>
        <color rgb="FFF8696B"/>
        <color rgb="FFFFEB84"/>
        <color rgb="FF63BE7B"/>
      </colorScale>
    </cfRule>
  </conditionalFormatting>
  <conditionalFormatting sqref="S2:S14">
    <cfRule type="colorScale" priority="7">
      <colorScale>
        <cfvo type="min"/>
        <cfvo type="percentile" val="50"/>
        <cfvo type="max"/>
        <color rgb="FFF8696B"/>
        <color rgb="FFFFEB84"/>
        <color rgb="FF63BE7B"/>
      </colorScale>
    </cfRule>
  </conditionalFormatting>
  <conditionalFormatting sqref="T2:T14">
    <cfRule type="colorScale" priority="6">
      <colorScale>
        <cfvo type="min"/>
        <cfvo type="percentile" val="50"/>
        <cfvo type="max"/>
        <color rgb="FFF8696B"/>
        <color rgb="FFFFEB84"/>
        <color rgb="FF63BE7B"/>
      </colorScale>
    </cfRule>
  </conditionalFormatting>
  <conditionalFormatting sqref="U2:U14">
    <cfRule type="colorScale" priority="5">
      <colorScale>
        <cfvo type="min"/>
        <cfvo type="percentile" val="50"/>
        <cfvo type="max"/>
        <color rgb="FFF8696B"/>
        <color rgb="FFFFEB84"/>
        <color rgb="FF63BE7B"/>
      </colorScale>
    </cfRule>
  </conditionalFormatting>
  <conditionalFormatting sqref="V2:V14">
    <cfRule type="colorScale" priority="4">
      <colorScale>
        <cfvo type="min"/>
        <cfvo type="percentile" val="50"/>
        <cfvo type="max"/>
        <color rgb="FFF8696B"/>
        <color rgb="FFFFEB84"/>
        <color rgb="FF63BE7B"/>
      </colorScale>
    </cfRule>
  </conditionalFormatting>
  <conditionalFormatting sqref="W2:W14">
    <cfRule type="colorScale" priority="3">
      <colorScale>
        <cfvo type="min"/>
        <cfvo type="percentile" val="50"/>
        <cfvo type="max"/>
        <color rgb="FFF8696B"/>
        <color rgb="FFFFEB84"/>
        <color rgb="FF63BE7B"/>
      </colorScale>
    </cfRule>
  </conditionalFormatting>
  <conditionalFormatting sqref="X2:X14">
    <cfRule type="colorScale" priority="2">
      <colorScale>
        <cfvo type="min"/>
        <cfvo type="percentile" val="50"/>
        <cfvo type="max"/>
        <color rgb="FFF8696B"/>
        <color rgb="FFFFEB84"/>
        <color rgb="FF63BE7B"/>
      </colorScale>
    </cfRule>
  </conditionalFormatting>
  <conditionalFormatting sqref="Y2:Y14">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9D531-DC28-9D45-B085-A262DFED880F}">
  <sheetPr codeName="Sheet11"/>
  <dimension ref="A1:Y20"/>
  <sheetViews>
    <sheetView workbookViewId="0">
      <selection activeCell="A11" sqref="A11"/>
    </sheetView>
  </sheetViews>
  <sheetFormatPr baseColWidth="10" defaultRowHeight="16"/>
  <cols>
    <col min="1" max="1" width="18.83203125" customWidth="1"/>
  </cols>
  <sheetData>
    <row r="1" spans="1:25">
      <c r="A1" s="1" t="s">
        <v>0</v>
      </c>
      <c r="B1" s="2" t="s">
        <v>1</v>
      </c>
      <c r="C1" s="3" t="s">
        <v>2</v>
      </c>
      <c r="D1" s="4" t="s">
        <v>3</v>
      </c>
      <c r="E1" s="4" t="s">
        <v>4</v>
      </c>
      <c r="F1" s="4" t="s">
        <v>5</v>
      </c>
      <c r="G1" s="4" t="s">
        <v>6</v>
      </c>
      <c r="H1" s="4" t="s">
        <v>7</v>
      </c>
      <c r="I1" s="4" t="s">
        <v>8</v>
      </c>
      <c r="J1" s="4" t="s">
        <v>9</v>
      </c>
      <c r="K1" s="4" t="s">
        <v>10</v>
      </c>
      <c r="L1" s="4" t="s">
        <v>11</v>
      </c>
      <c r="M1" s="5" t="s">
        <v>12</v>
      </c>
      <c r="N1" s="5" t="s">
        <v>13</v>
      </c>
      <c r="O1" s="5" t="s">
        <v>126</v>
      </c>
      <c r="P1" s="5" t="s">
        <v>127</v>
      </c>
      <c r="Q1" s="27" t="s">
        <v>144</v>
      </c>
      <c r="R1" s="28" t="s">
        <v>145</v>
      </c>
      <c r="S1" s="29" t="s">
        <v>146</v>
      </c>
      <c r="T1" s="29" t="s">
        <v>147</v>
      </c>
      <c r="U1" s="29" t="s">
        <v>148</v>
      </c>
      <c r="V1" s="29" t="s">
        <v>149</v>
      </c>
      <c r="W1" s="29" t="s">
        <v>150</v>
      </c>
      <c r="X1" s="29" t="s">
        <v>151</v>
      </c>
      <c r="Y1" s="29" t="s">
        <v>152</v>
      </c>
    </row>
    <row r="2" spans="1:25">
      <c r="A2" s="7" t="s">
        <v>27</v>
      </c>
      <c r="B2" s="8">
        <f>IFERROR(VLOOKUP($A2, All!$A$1:$AB$699,2,0),300)</f>
        <v>23</v>
      </c>
      <c r="C2" s="8">
        <f>IFERROR(VLOOKUP($A2, All!$A$1:$AB$699,3,0),70)</f>
        <v>76</v>
      </c>
      <c r="D2" s="8">
        <f>IFERROR(VLOOKUP($A2, All!$A$1:$AB$699,4,0),Math!B$2)</f>
        <v>0.45</v>
      </c>
      <c r="E2" s="8">
        <f>IFERROR(VLOOKUP($A2, All!$A$1:$AB$700,5,0),Math!C$2)</f>
        <v>0.7</v>
      </c>
      <c r="F2" s="8">
        <f>IFERROR(VLOOKUP($A2, All!$A$1:$AB$700,6,0),Math!D$2)</f>
        <v>1.7</v>
      </c>
      <c r="G2" s="8">
        <f>IFERROR(VLOOKUP($A2, All!$A$1:$AB$700,7,0),Math!E$2)</f>
        <v>8.4</v>
      </c>
      <c r="H2" s="8">
        <f>IFERROR(VLOOKUP($A2, All!$A$1:$AB$700,8,0),Math!F$2)</f>
        <v>8.1999999999999993</v>
      </c>
      <c r="I2" s="8">
        <f>IFERROR(VLOOKUP($A2, All!$A$1:$AB$700,9,0),Math!G$2)</f>
        <v>1.9</v>
      </c>
      <c r="J2" s="8">
        <f>IFERROR(VLOOKUP($A2, All!$A$1:$AB$700,10,0),Math!H$2)</f>
        <v>0.5</v>
      </c>
      <c r="K2" s="8">
        <f>IFERROR(VLOOKUP($A2, All!$A$1:$AB$700,11,0),Math!I$2)</f>
        <v>4.0999999999999996</v>
      </c>
      <c r="L2" s="8">
        <f>IFERROR(VLOOKUP($A2, All!$A$1:$AB$700,12,0),Math!J$2)</f>
        <v>21.2</v>
      </c>
      <c r="M2" s="8">
        <f>IFERROR(VLOOKUP($A2, All!$A$1:$AB$700,13,0),Math!K$2)</f>
        <v>8.1</v>
      </c>
      <c r="N2" s="8">
        <f>IFERROR(VLOOKUP($A2, All!$A$1:$AB$700,14,0),Math!L$2)</f>
        <v>18.2</v>
      </c>
      <c r="O2" s="8">
        <f>IFERROR(VLOOKUP($A2, All!$A$1:$AB$700,15,0),Math!M$2)</f>
        <v>3.3</v>
      </c>
      <c r="P2" s="8">
        <f>IFERROR(VLOOKUP($A2, All!$A$1:$AB$700,16,0),Math!N$2)</f>
        <v>4.7</v>
      </c>
      <c r="Q2" s="31">
        <f>IFERROR(VLOOKUP($A2, All!$A$1:$AB$700,17,0),0)</f>
        <v>-0.50556318992096039</v>
      </c>
      <c r="R2" s="31">
        <f>IFERROR(VLOOKUP($A2, All!$A$1:$AB$700,18,0),0)</f>
        <v>-0.97181045931806143</v>
      </c>
      <c r="S2" s="31">
        <f>IFERROR(VLOOKUP($A2, All!$A$1:$AB$700,19,0),0)</f>
        <v>0.26324818727234567</v>
      </c>
      <c r="T2" s="31">
        <f>IFERROR(VLOOKUP($A2, All!$A$1:$AB$700,20,0),0)</f>
        <v>0.96676053431961706</v>
      </c>
      <c r="U2" s="31">
        <f>IFERROR(VLOOKUP($A2, All!$A$1:$AB$700,21,0),0)</f>
        <v>2.4657090342910681</v>
      </c>
      <c r="V2" s="31">
        <f>IFERROR(VLOOKUP($A2, All!$A$1:$AB$700,22,0),0)</f>
        <v>2.4536747076409187</v>
      </c>
      <c r="W2" s="31">
        <f>IFERROR(VLOOKUP($A2, All!$A$1:$AB$700,23,0),0)</f>
        <v>-0.35156560314800916</v>
      </c>
      <c r="X2" s="31">
        <f>IFERROR(VLOOKUP($A2, All!$A$1:$AB$700,24,0),0)</f>
        <v>-3.1505944006651396</v>
      </c>
      <c r="Y2" s="31">
        <f>IFERROR(VLOOKUP($A2, All!$A$1:$AB$700,25,0),0)</f>
        <v>1.1923747884981033</v>
      </c>
    </row>
    <row r="3" spans="1:25">
      <c r="A3" s="7" t="s">
        <v>34</v>
      </c>
      <c r="B3" s="8">
        <f>IFERROR(VLOOKUP($A3, All!$A$1:$AB$699,2,0),300)</f>
        <v>30</v>
      </c>
      <c r="C3" s="8">
        <f>IFERROR(VLOOKUP($A3, All!$A$1:$AB$699,3,0),70)</f>
        <v>78</v>
      </c>
      <c r="D3" s="8">
        <f>IFERROR(VLOOKUP($A3, All!$A$1:$AB$699,4,0),Math!B$2)</f>
        <v>0.52</v>
      </c>
      <c r="E3" s="8">
        <f>IFERROR(VLOOKUP($A3, All!$A$1:$AB$700,5,0),Math!C$2)</f>
        <v>0.79</v>
      </c>
      <c r="F3" s="8">
        <f>IFERROR(VLOOKUP($A3, All!$A$1:$AB$700,6,0),Math!D$2)</f>
        <v>1.1000000000000001</v>
      </c>
      <c r="G3" s="8">
        <f>IFERROR(VLOOKUP($A3, All!$A$1:$AB$700,7,0),Math!E$2)</f>
        <v>7.7</v>
      </c>
      <c r="H3" s="8">
        <f>IFERROR(VLOOKUP($A3, All!$A$1:$AB$700,8,0),Math!F$2)</f>
        <v>3.5</v>
      </c>
      <c r="I3" s="8">
        <f>IFERROR(VLOOKUP($A3, All!$A$1:$AB$700,9,0),Math!G$2)</f>
        <v>1</v>
      </c>
      <c r="J3" s="8">
        <f>IFERROR(VLOOKUP($A3, All!$A$1:$AB$700,10,0),Math!H$2)</f>
        <v>0.7</v>
      </c>
      <c r="K3" s="8">
        <f>IFERROR(VLOOKUP($A3, All!$A$1:$AB$700,11,0),Math!I$2)</f>
        <v>2</v>
      </c>
      <c r="L3" s="8">
        <f>IFERROR(VLOOKUP($A3, All!$A$1:$AB$700,12,0),Math!J$2)</f>
        <v>18.8</v>
      </c>
      <c r="M3" s="8">
        <f>IFERROR(VLOOKUP($A3, All!$A$1:$AB$700,13,0),Math!K$2)</f>
        <v>7.1</v>
      </c>
      <c r="N3" s="8">
        <f>IFERROR(VLOOKUP($A3, All!$A$1:$AB$700,14,0),Math!L$2)</f>
        <v>13.6</v>
      </c>
      <c r="O3" s="8">
        <f>IFERROR(VLOOKUP($A3, All!$A$1:$AB$700,15,0),Math!M$2)</f>
        <v>3.4</v>
      </c>
      <c r="P3" s="8">
        <f>IFERROR(VLOOKUP($A3, All!$A$1:$AB$700,16,0),Math!N$2)</f>
        <v>4.3</v>
      </c>
      <c r="Q3" s="31">
        <f>IFERROR(VLOOKUP($A3, All!$A$1:$AB$700,17,0),0)</f>
        <v>0.78838281718936221</v>
      </c>
      <c r="R3" s="31">
        <f>IFERROR(VLOOKUP($A3, All!$A$1:$AB$700,18,0),0)</f>
        <v>0.11874990650021229</v>
      </c>
      <c r="S3" s="31">
        <f>IFERROR(VLOOKUP($A3, All!$A$1:$AB$700,19,0),0)</f>
        <v>-0.38408342077440522</v>
      </c>
      <c r="T3" s="31">
        <f>IFERROR(VLOOKUP($A3, All!$A$1:$AB$700,20,0),0)</f>
        <v>0.70090613478171393</v>
      </c>
      <c r="U3" s="31">
        <f>IFERROR(VLOOKUP($A3, All!$A$1:$AB$700,21,0),0)</f>
        <v>0.10809893131720544</v>
      </c>
      <c r="V3" s="31">
        <f>IFERROR(VLOOKUP($A3, All!$A$1:$AB$700,22,0),0)</f>
        <v>7.9150797020674304E-2</v>
      </c>
      <c r="W3" s="31">
        <f>IFERROR(VLOOKUP($A3, All!$A$1:$AB$700,23,0),0)</f>
        <v>1.6565918472943714E-2</v>
      </c>
      <c r="X3" s="31">
        <f>IFERROR(VLOOKUP($A3, All!$A$1:$AB$700,24,0),0)</f>
        <v>-0.33337138963818985</v>
      </c>
      <c r="Y3" s="31">
        <f>IFERROR(VLOOKUP($A3, All!$A$1:$AB$700,25,0),0)</f>
        <v>0.71117426850559506</v>
      </c>
    </row>
    <row r="4" spans="1:25">
      <c r="A4" s="7" t="s">
        <v>56</v>
      </c>
      <c r="B4" s="8">
        <f>IFERROR(VLOOKUP($A4, All!$A$1:$AB$699,2,0),300)</f>
        <v>63</v>
      </c>
      <c r="C4" s="8">
        <f>IFERROR(VLOOKUP($A4, All!$A$1:$AB$699,3,0),70)</f>
        <v>70</v>
      </c>
      <c r="D4" s="8">
        <f>IFERROR(VLOOKUP($A4, All!$A$1:$AB$699,4,0),Math!B$2)</f>
        <v>0.45</v>
      </c>
      <c r="E4" s="8">
        <f>IFERROR(VLOOKUP($A4, All!$A$1:$AB$700,5,0),Math!C$2)</f>
        <v>0.76</v>
      </c>
      <c r="F4" s="8">
        <f>IFERROR(VLOOKUP($A4, All!$A$1:$AB$700,6,0),Math!D$2)</f>
        <v>2.4</v>
      </c>
      <c r="G4" s="8">
        <f>IFERROR(VLOOKUP($A4, All!$A$1:$AB$700,7,0),Math!E$2)</f>
        <v>7.7</v>
      </c>
      <c r="H4" s="8">
        <f>IFERROR(VLOOKUP($A4, All!$A$1:$AB$700,8,0),Math!F$2)</f>
        <v>5.5</v>
      </c>
      <c r="I4" s="8">
        <f>IFERROR(VLOOKUP($A4, All!$A$1:$AB$700,9,0),Math!G$2)</f>
        <v>0.7</v>
      </c>
      <c r="J4" s="8">
        <f>IFERROR(VLOOKUP($A4, All!$A$1:$AB$700,10,0),Math!H$2)</f>
        <v>0.4</v>
      </c>
      <c r="K4" s="8">
        <f>IFERROR(VLOOKUP($A4, All!$A$1:$AB$700,11,0),Math!I$2)</f>
        <v>3.3</v>
      </c>
      <c r="L4" s="8">
        <f>IFERROR(VLOOKUP($A4, All!$A$1:$AB$700,12,0),Math!J$2)</f>
        <v>24.4</v>
      </c>
      <c r="M4" s="8">
        <f>IFERROR(VLOOKUP($A4, All!$A$1:$AB$700,13,0),Math!K$2)</f>
        <v>8.1999999999999993</v>
      </c>
      <c r="N4" s="8">
        <f>IFERROR(VLOOKUP($A4, All!$A$1:$AB$700,14,0),Math!L$2)</f>
        <v>18.2</v>
      </c>
      <c r="O4" s="8">
        <f>IFERROR(VLOOKUP($A4, All!$A$1:$AB$700,15,0),Math!M$2)</f>
        <v>5.6</v>
      </c>
      <c r="P4" s="8">
        <f>IFERROR(VLOOKUP($A4, All!$A$1:$AB$700,16,0),Math!N$2)</f>
        <v>7.4</v>
      </c>
      <c r="Q4" s="31">
        <f>IFERROR(VLOOKUP($A4, All!$A$1:$AB$700,17,0),0)</f>
        <v>-0.50556318992096039</v>
      </c>
      <c r="R4" s="31">
        <f>IFERROR(VLOOKUP($A4, All!$A$1:$AB$700,18,0),0)</f>
        <v>-0.24477021543921229</v>
      </c>
      <c r="S4" s="31">
        <f>IFERROR(VLOOKUP($A4, All!$A$1:$AB$700,19,0),0)</f>
        <v>1.0184683966602219</v>
      </c>
      <c r="T4" s="31">
        <f>IFERROR(VLOOKUP($A4, All!$A$1:$AB$700,20,0),0)</f>
        <v>0.70090613478171393</v>
      </c>
      <c r="U4" s="31">
        <f>IFERROR(VLOOKUP($A4, All!$A$1:$AB$700,21,0),0)</f>
        <v>1.1113372730082112</v>
      </c>
      <c r="V4" s="31">
        <f>IFERROR(VLOOKUP($A4, All!$A$1:$AB$700,22,0),0)</f>
        <v>-0.71235717318607394</v>
      </c>
      <c r="W4" s="31">
        <f>IFERROR(VLOOKUP($A4, All!$A$1:$AB$700,23,0),0)</f>
        <v>-0.53563136395848565</v>
      </c>
      <c r="X4" s="31">
        <f>IFERROR(VLOOKUP($A4, All!$A$1:$AB$700,24,0),0)</f>
        <v>-2.0773665869405873</v>
      </c>
      <c r="Y4" s="31">
        <f>IFERROR(VLOOKUP($A4, All!$A$1:$AB$700,25,0),0)</f>
        <v>1.833975481821448</v>
      </c>
    </row>
    <row r="5" spans="1:25">
      <c r="A5" s="7" t="s">
        <v>163</v>
      </c>
      <c r="B5" s="8">
        <f>IFERROR(VLOOKUP($A5, All!$A$1:$AB$699,2,0),300)</f>
        <v>62</v>
      </c>
      <c r="C5" s="8">
        <f>IFERROR(VLOOKUP($A5, All!$A$1:$AB$699,3,0),70)</f>
        <v>76</v>
      </c>
      <c r="D5" s="8">
        <f>IFERROR(VLOOKUP($A5, All!$A$1:$AB$699,4,0),Math!B$2)</f>
        <v>0.47</v>
      </c>
      <c r="E5" s="8">
        <f>IFERROR(VLOOKUP($A5, All!$A$1:$AB$700,5,0),Math!C$2)</f>
        <v>0.86</v>
      </c>
      <c r="F5" s="8">
        <f>IFERROR(VLOOKUP($A5, All!$A$1:$AB$700,6,0),Math!D$2)</f>
        <v>2.5</v>
      </c>
      <c r="G5" s="8">
        <f>IFERROR(VLOOKUP($A5, All!$A$1:$AB$700,7,0),Math!E$2)</f>
        <v>4.3</v>
      </c>
      <c r="H5" s="8">
        <f>IFERROR(VLOOKUP($A5, All!$A$1:$AB$700,8,0),Math!F$2)</f>
        <v>3.2</v>
      </c>
      <c r="I5" s="8">
        <f>IFERROR(VLOOKUP($A5, All!$A$1:$AB$700,9,0),Math!G$2)</f>
        <v>0.8</v>
      </c>
      <c r="J5" s="8">
        <f>IFERROR(VLOOKUP($A5, All!$A$1:$AB$700,10,0),Math!H$2)</f>
        <v>0.4</v>
      </c>
      <c r="K5" s="8">
        <f>IFERROR(VLOOKUP($A5, All!$A$1:$AB$700,11,0),Math!I$2)</f>
        <v>1.5</v>
      </c>
      <c r="L5" s="8">
        <f>IFERROR(VLOOKUP($A5, All!$A$1:$AB$700,12,0),Math!J$2)</f>
        <v>22.3</v>
      </c>
      <c r="M5" s="8">
        <f>IFERROR(VLOOKUP($A5, All!$A$1:$AB$700,13,0),Math!K$2)</f>
        <v>8.6999999999999993</v>
      </c>
      <c r="N5" s="8">
        <f>IFERROR(VLOOKUP($A5, All!$A$1:$AB$700,14,0),Math!L$2)</f>
        <v>18.7</v>
      </c>
      <c r="O5" s="8">
        <f>IFERROR(VLOOKUP($A5, All!$A$1:$AB$700,15,0),Math!M$2)</f>
        <v>2.4</v>
      </c>
      <c r="P5" s="8">
        <f>IFERROR(VLOOKUP($A5, All!$A$1:$AB$700,16,0),Math!N$2)</f>
        <v>2.8</v>
      </c>
      <c r="Q5" s="31">
        <f>IFERROR(VLOOKUP($A5, All!$A$1:$AB$700,17,0),0)</f>
        <v>-0.13586433074658327</v>
      </c>
      <c r="R5" s="31">
        <f>IFERROR(VLOOKUP($A5, All!$A$1:$AB$700,18,0),0)</f>
        <v>0.96696352435886834</v>
      </c>
      <c r="S5" s="31">
        <f>IFERROR(VLOOKUP($A5, All!$A$1:$AB$700,19,0),0)</f>
        <v>1.126356998001347</v>
      </c>
      <c r="T5" s="31">
        <f>IFERROR(VLOOKUP($A5, All!$A$1:$AB$700,20,0),0)</f>
        <v>-0.59038666297381537</v>
      </c>
      <c r="U5" s="31">
        <f>IFERROR(VLOOKUP($A5, All!$A$1:$AB$700,21,0),0)</f>
        <v>-4.2386819936445337E-2</v>
      </c>
      <c r="V5" s="31">
        <f>IFERROR(VLOOKUP($A5, All!$A$1:$AB$700,22,0),0)</f>
        <v>-0.44852118311715766</v>
      </c>
      <c r="W5" s="31">
        <f>IFERROR(VLOOKUP($A5, All!$A$1:$AB$700,23,0),0)</f>
        <v>-0.53563136395848565</v>
      </c>
      <c r="X5" s="31">
        <f>IFERROR(VLOOKUP($A5, All!$A$1:$AB$700,24,0),0)</f>
        <v>0.3373959939396553</v>
      </c>
      <c r="Y5" s="31">
        <f>IFERROR(VLOOKUP($A5, All!$A$1:$AB$700,25,0),0)</f>
        <v>1.4129250268280034</v>
      </c>
    </row>
    <row r="6" spans="1:25">
      <c r="A6" s="7" t="s">
        <v>60</v>
      </c>
      <c r="B6" s="8">
        <f>IFERROR(VLOOKUP($A6, All!$A$1:$AB$699,2,0),300)</f>
        <v>73</v>
      </c>
      <c r="C6" s="8">
        <f>IFERROR(VLOOKUP($A6, All!$A$1:$AB$699,3,0),70)</f>
        <v>76</v>
      </c>
      <c r="D6" s="8">
        <f>IFERROR(VLOOKUP($A6, All!$A$1:$AB$699,4,0),Math!B$2)</f>
        <v>0.44</v>
      </c>
      <c r="E6" s="8">
        <f>IFERROR(VLOOKUP($A6, All!$A$1:$AB$700,5,0),Math!C$2)</f>
        <v>0.84</v>
      </c>
      <c r="F6" s="8">
        <f>IFERROR(VLOOKUP($A6, All!$A$1:$AB$700,6,0),Math!D$2)</f>
        <v>2.1</v>
      </c>
      <c r="G6" s="8">
        <f>IFERROR(VLOOKUP($A6, All!$A$1:$AB$700,7,0),Math!E$2)</f>
        <v>4.5999999999999996</v>
      </c>
      <c r="H6" s="8">
        <f>IFERROR(VLOOKUP($A6, All!$A$1:$AB$700,8,0),Math!F$2)</f>
        <v>5.0999999999999996</v>
      </c>
      <c r="I6" s="8">
        <f>IFERROR(VLOOKUP($A6, All!$A$1:$AB$700,9,0),Math!G$2)</f>
        <v>0.9</v>
      </c>
      <c r="J6" s="8">
        <f>IFERROR(VLOOKUP($A6, All!$A$1:$AB$700,10,0),Math!H$2)</f>
        <v>0.4</v>
      </c>
      <c r="K6" s="8">
        <f>IFERROR(VLOOKUP($A6, All!$A$1:$AB$700,11,0),Math!I$2)</f>
        <v>2.1</v>
      </c>
      <c r="L6" s="8">
        <f>IFERROR(VLOOKUP($A6, All!$A$1:$AB$700,12,0),Math!J$2)</f>
        <v>19.3</v>
      </c>
      <c r="M6" s="8">
        <f>IFERROR(VLOOKUP($A6, All!$A$1:$AB$700,13,0),Math!K$2)</f>
        <v>7.3</v>
      </c>
      <c r="N6" s="8">
        <f>IFERROR(VLOOKUP($A6, All!$A$1:$AB$700,14,0),Math!L$2)</f>
        <v>16.600000000000001</v>
      </c>
      <c r="O6" s="8">
        <f>IFERROR(VLOOKUP($A6, All!$A$1:$AB$700,15,0),Math!M$2)</f>
        <v>2.7</v>
      </c>
      <c r="P6" s="8">
        <f>IFERROR(VLOOKUP($A6, All!$A$1:$AB$700,16,0),Math!N$2)</f>
        <v>3.2</v>
      </c>
      <c r="Q6" s="31">
        <f>IFERROR(VLOOKUP($A6, All!$A$1:$AB$700,17,0),0)</f>
        <v>-0.69041261950814947</v>
      </c>
      <c r="R6" s="31">
        <f>IFERROR(VLOOKUP($A6, All!$A$1:$AB$700,18,0),0)</f>
        <v>0.72461677639925193</v>
      </c>
      <c r="S6" s="31">
        <f>IFERROR(VLOOKUP($A6, All!$A$1:$AB$700,19,0),0)</f>
        <v>0.69480259263684652</v>
      </c>
      <c r="T6" s="31">
        <f>IFERROR(VLOOKUP($A6, All!$A$1:$AB$700,20,0),0)</f>
        <v>-0.47644906317185703</v>
      </c>
      <c r="U6" s="31">
        <f>IFERROR(VLOOKUP($A6, All!$A$1:$AB$700,21,0),0)</f>
        <v>0.91068960467000981</v>
      </c>
      <c r="V6" s="31">
        <f>IFERROR(VLOOKUP($A6, All!$A$1:$AB$700,22,0),0)</f>
        <v>-0.18468519304824169</v>
      </c>
      <c r="W6" s="31">
        <f>IFERROR(VLOOKUP($A6, All!$A$1:$AB$700,23,0),0)</f>
        <v>-0.53563136395848565</v>
      </c>
      <c r="X6" s="31">
        <f>IFERROR(VLOOKUP($A6, All!$A$1:$AB$700,24,0),0)</f>
        <v>-0.46752486635375906</v>
      </c>
      <c r="Y6" s="31">
        <f>IFERROR(VLOOKUP($A6, All!$A$1:$AB$700,25,0),0)</f>
        <v>0.81142437683736768</v>
      </c>
    </row>
    <row r="7" spans="1:25">
      <c r="A7" s="7" t="s">
        <v>66</v>
      </c>
      <c r="B7" s="8">
        <f>IFERROR(VLOOKUP($A7, All!$A$1:$AB$699,2,0),300)</f>
        <v>93</v>
      </c>
      <c r="C7" s="8">
        <f>IFERROR(VLOOKUP($A7, All!$A$1:$AB$699,3,0),70)</f>
        <v>78</v>
      </c>
      <c r="D7" s="8">
        <f>IFERROR(VLOOKUP($A7, All!$A$1:$AB$699,4,0),Math!B$2)</f>
        <v>0.46</v>
      </c>
      <c r="E7" s="8">
        <f>IFERROR(VLOOKUP($A7, All!$A$1:$AB$700,5,0),Math!C$2)</f>
        <v>0.75</v>
      </c>
      <c r="F7" s="8">
        <f>IFERROR(VLOOKUP($A7, All!$A$1:$AB$700,6,0),Math!D$2)</f>
        <v>1.6</v>
      </c>
      <c r="G7" s="8">
        <f>IFERROR(VLOOKUP($A7, All!$A$1:$AB$700,7,0),Math!E$2)</f>
        <v>7.4</v>
      </c>
      <c r="H7" s="8">
        <f>IFERROR(VLOOKUP($A7, All!$A$1:$AB$700,8,0),Math!F$2)</f>
        <v>3.5</v>
      </c>
      <c r="I7" s="8">
        <f>IFERROR(VLOOKUP($A7, All!$A$1:$AB$700,9,0),Math!G$2)</f>
        <v>0.8</v>
      </c>
      <c r="J7" s="8">
        <f>IFERROR(VLOOKUP($A7, All!$A$1:$AB$700,10,0),Math!H$2)</f>
        <v>0.8</v>
      </c>
      <c r="K7" s="8">
        <f>IFERROR(VLOOKUP($A7, All!$A$1:$AB$700,11,0),Math!I$2)</f>
        <v>2</v>
      </c>
      <c r="L7" s="8">
        <f>IFERROR(VLOOKUP($A7, All!$A$1:$AB$700,12,0),Math!J$2)</f>
        <v>16.100000000000001</v>
      </c>
      <c r="M7" s="8">
        <f>IFERROR(VLOOKUP($A7, All!$A$1:$AB$700,13,0),Math!K$2)</f>
        <v>6.1</v>
      </c>
      <c r="N7" s="8">
        <f>IFERROR(VLOOKUP($A7, All!$A$1:$AB$700,14,0),Math!L$2)</f>
        <v>13.3</v>
      </c>
      <c r="O7" s="8">
        <f>IFERROR(VLOOKUP($A7, All!$A$1:$AB$700,15,0),Math!M$2)</f>
        <v>2.4</v>
      </c>
      <c r="P7" s="8">
        <f>IFERROR(VLOOKUP($A7, All!$A$1:$AB$700,16,0),Math!N$2)</f>
        <v>3.2</v>
      </c>
      <c r="Q7" s="31">
        <f>IFERROR(VLOOKUP($A7, All!$A$1:$AB$700,17,0),0)</f>
        <v>-0.3207137603337713</v>
      </c>
      <c r="R7" s="31">
        <f>IFERROR(VLOOKUP($A7, All!$A$1:$AB$700,18,0),0)</f>
        <v>-0.3659435894190205</v>
      </c>
      <c r="S7" s="31">
        <f>IFERROR(VLOOKUP($A7, All!$A$1:$AB$700,19,0),0)</f>
        <v>0.15535958593122062</v>
      </c>
      <c r="T7" s="31">
        <f>IFERROR(VLOOKUP($A7, All!$A$1:$AB$700,20,0),0)</f>
        <v>0.58696853497975554</v>
      </c>
      <c r="U7" s="31">
        <f>IFERROR(VLOOKUP($A7, All!$A$1:$AB$700,21,0),0)</f>
        <v>0.10809893131720544</v>
      </c>
      <c r="V7" s="31">
        <f>IFERROR(VLOOKUP($A7, All!$A$1:$AB$700,22,0),0)</f>
        <v>-0.44852118311715766</v>
      </c>
      <c r="W7" s="31">
        <f>IFERROR(VLOOKUP($A7, All!$A$1:$AB$700,23,0),0)</f>
        <v>0.20063167928342035</v>
      </c>
      <c r="X7" s="31">
        <f>IFERROR(VLOOKUP($A7, All!$A$1:$AB$700,24,0),0)</f>
        <v>-0.33337138963818985</v>
      </c>
      <c r="Y7" s="31">
        <f>IFERROR(VLOOKUP($A7, All!$A$1:$AB$700,25,0),0)</f>
        <v>0.16982368351402308</v>
      </c>
    </row>
    <row r="8" spans="1:25">
      <c r="A8" s="7" t="s">
        <v>79</v>
      </c>
      <c r="B8" s="8">
        <f>IFERROR(VLOOKUP($A8, All!$A$1:$AB$699,2,0),300)</f>
        <v>104</v>
      </c>
      <c r="C8" s="8">
        <f>IFERROR(VLOOKUP($A8, All!$A$1:$AB$699,3,0),70)</f>
        <v>72</v>
      </c>
      <c r="D8" s="8">
        <f>IFERROR(VLOOKUP($A8, All!$A$1:$AB$699,4,0),Math!B$2)</f>
        <v>0.48</v>
      </c>
      <c r="E8" s="8">
        <f>IFERROR(VLOOKUP($A8, All!$A$1:$AB$700,5,0),Math!C$2)</f>
        <v>0.77</v>
      </c>
      <c r="F8" s="8">
        <f>IFERROR(VLOOKUP($A8, All!$A$1:$AB$700,6,0),Math!D$2)</f>
        <v>0.8</v>
      </c>
      <c r="G8" s="8">
        <f>IFERROR(VLOOKUP($A8, All!$A$1:$AB$700,7,0),Math!E$2)</f>
        <v>8.1999999999999993</v>
      </c>
      <c r="H8" s="8">
        <f>IFERROR(VLOOKUP($A8, All!$A$1:$AB$700,8,0),Math!F$2)</f>
        <v>1.1000000000000001</v>
      </c>
      <c r="I8" s="8">
        <f>IFERROR(VLOOKUP($A8, All!$A$1:$AB$700,9,0),Math!G$2)</f>
        <v>0.4</v>
      </c>
      <c r="J8" s="8">
        <f>IFERROR(VLOOKUP($A8, All!$A$1:$AB$700,10,0),Math!H$2)</f>
        <v>1.3</v>
      </c>
      <c r="K8" s="8">
        <f>IFERROR(VLOOKUP($A8, All!$A$1:$AB$700,11,0),Math!I$2)</f>
        <v>1.5</v>
      </c>
      <c r="L8" s="8">
        <f>IFERROR(VLOOKUP($A8, All!$A$1:$AB$700,12,0),Math!J$2)</f>
        <v>15.2</v>
      </c>
      <c r="M8" s="8">
        <f>IFERROR(VLOOKUP($A8, All!$A$1:$AB$700,13,0),Math!K$2)</f>
        <v>6.2</v>
      </c>
      <c r="N8" s="8">
        <f>IFERROR(VLOOKUP($A8, All!$A$1:$AB$700,14,0),Math!L$2)</f>
        <v>12.9</v>
      </c>
      <c r="O8" s="8">
        <f>IFERROR(VLOOKUP($A8, All!$A$1:$AB$700,15,0),Math!M$2)</f>
        <v>2</v>
      </c>
      <c r="P8" s="8">
        <f>IFERROR(VLOOKUP($A8, All!$A$1:$AB$700,16,0),Math!N$2)</f>
        <v>2.6</v>
      </c>
      <c r="Q8" s="31">
        <f>IFERROR(VLOOKUP($A8, All!$A$1:$AB$700,17,0),0)</f>
        <v>4.8985098840605826E-2</v>
      </c>
      <c r="R8" s="31">
        <f>IFERROR(VLOOKUP($A8, All!$A$1:$AB$700,18,0),0)</f>
        <v>-0.12359684145940408</v>
      </c>
      <c r="S8" s="31">
        <f>IFERROR(VLOOKUP($A8, All!$A$1:$AB$700,19,0),0)</f>
        <v>-0.7077492247977808</v>
      </c>
      <c r="T8" s="31">
        <f>IFERROR(VLOOKUP($A8, All!$A$1:$AB$700,20,0),0)</f>
        <v>0.89080213445164436</v>
      </c>
      <c r="U8" s="31">
        <f>IFERROR(VLOOKUP($A8, All!$A$1:$AB$700,21,0),0)</f>
        <v>-1.0957870787120014</v>
      </c>
      <c r="V8" s="31">
        <f>IFERROR(VLOOKUP($A8, All!$A$1:$AB$700,22,0),0)</f>
        <v>-1.5038651433928218</v>
      </c>
      <c r="W8" s="31">
        <f>IFERROR(VLOOKUP($A8, All!$A$1:$AB$700,23,0),0)</f>
        <v>1.1209604833358027</v>
      </c>
      <c r="X8" s="31">
        <f>IFERROR(VLOOKUP($A8, All!$A$1:$AB$700,24,0),0)</f>
        <v>0.3373959939396553</v>
      </c>
      <c r="Y8" s="31">
        <f>IFERROR(VLOOKUP($A8, All!$A$1:$AB$700,25,0),0)</f>
        <v>-1.0626511483168063E-2</v>
      </c>
    </row>
    <row r="9" spans="1:25">
      <c r="A9" s="7" t="s">
        <v>85</v>
      </c>
      <c r="B9" s="8">
        <f>IFERROR(VLOOKUP($A9, All!$A$1:$AB$699,2,0),300)</f>
        <v>109</v>
      </c>
      <c r="C9" s="8">
        <f>IFERROR(VLOOKUP($A9, All!$A$1:$AB$699,3,0),70)</f>
        <v>76</v>
      </c>
      <c r="D9" s="8">
        <f>IFERROR(VLOOKUP($A9, All!$A$1:$AB$699,4,0),Math!B$2)</f>
        <v>0.63</v>
      </c>
      <c r="E9" s="8">
        <f>IFERROR(VLOOKUP($A9, All!$A$1:$AB$700,5,0),Math!C$2)</f>
        <v>0.71</v>
      </c>
      <c r="F9" s="8">
        <f>IFERROR(VLOOKUP($A9, All!$A$1:$AB$700,6,0),Math!D$2)</f>
        <v>0</v>
      </c>
      <c r="G9" s="8">
        <f>IFERROR(VLOOKUP($A9, All!$A$1:$AB$700,7,0),Math!E$2)</f>
        <v>10.5</v>
      </c>
      <c r="H9" s="8">
        <f>IFERROR(VLOOKUP($A9, All!$A$1:$AB$700,8,0),Math!F$2)</f>
        <v>2</v>
      </c>
      <c r="I9" s="8">
        <f>IFERROR(VLOOKUP($A9, All!$A$1:$AB$700,9,0),Math!G$2)</f>
        <v>0.5</v>
      </c>
      <c r="J9" s="8">
        <f>IFERROR(VLOOKUP($A9, All!$A$1:$AB$700,10,0),Math!H$2)</f>
        <v>1</v>
      </c>
      <c r="K9" s="8">
        <f>IFERROR(VLOOKUP($A9, All!$A$1:$AB$700,11,0),Math!I$2)</f>
        <v>1.9</v>
      </c>
      <c r="L9" s="8">
        <f>IFERROR(VLOOKUP($A9, All!$A$1:$AB$700,12,0),Math!J$2)</f>
        <v>9.6999999999999993</v>
      </c>
      <c r="M9" s="8">
        <f>IFERROR(VLOOKUP($A9, All!$A$1:$AB$700,13,0),Math!K$2)</f>
        <v>3.6</v>
      </c>
      <c r="N9" s="8">
        <f>IFERROR(VLOOKUP($A9, All!$A$1:$AB$700,14,0),Math!L$2)</f>
        <v>5.7</v>
      </c>
      <c r="O9" s="8">
        <f>IFERROR(VLOOKUP($A9, All!$A$1:$AB$700,15,0),Math!M$2)</f>
        <v>2.4</v>
      </c>
      <c r="P9" s="8">
        <f>IFERROR(VLOOKUP($A9, All!$A$1:$AB$700,16,0),Math!N$2)</f>
        <v>3.4</v>
      </c>
      <c r="Q9" s="31">
        <f>IFERROR(VLOOKUP($A9, All!$A$1:$AB$700,17,0),0)</f>
        <v>2.8217265426484399</v>
      </c>
      <c r="R9" s="31">
        <f>IFERROR(VLOOKUP($A9, All!$A$1:$AB$700,18,0),0)</f>
        <v>-0.85063708533825322</v>
      </c>
      <c r="S9" s="31">
        <f>IFERROR(VLOOKUP($A9, All!$A$1:$AB$700,19,0),0)</f>
        <v>-1.5708580355267823</v>
      </c>
      <c r="T9" s="31">
        <f>IFERROR(VLOOKUP($A9, All!$A$1:$AB$700,20,0),0)</f>
        <v>1.7643237329333261</v>
      </c>
      <c r="U9" s="31">
        <f>IFERROR(VLOOKUP($A9, All!$A$1:$AB$700,21,0),0)</f>
        <v>-0.64432982495104885</v>
      </c>
      <c r="V9" s="31">
        <f>IFERROR(VLOOKUP($A9, All!$A$1:$AB$700,22,0),0)</f>
        <v>-1.2400291533239061</v>
      </c>
      <c r="W9" s="31">
        <f>IFERROR(VLOOKUP($A9, All!$A$1:$AB$700,23,0),0)</f>
        <v>0.56876320090437327</v>
      </c>
      <c r="X9" s="31">
        <f>IFERROR(VLOOKUP($A9, All!$A$1:$AB$700,24,0),0)</f>
        <v>-0.19921791292262073</v>
      </c>
      <c r="Y9" s="31">
        <f>IFERROR(VLOOKUP($A9, All!$A$1:$AB$700,25,0),0)</f>
        <v>-1.1133777031326668</v>
      </c>
    </row>
    <row r="10" spans="1:25">
      <c r="A10" s="7" t="s">
        <v>92</v>
      </c>
      <c r="B10" s="8">
        <f>IFERROR(VLOOKUP($A10, All!$A$1:$AB$699,2,0),300)</f>
        <v>153</v>
      </c>
      <c r="C10" s="8">
        <f>IFERROR(VLOOKUP($A10, All!$A$1:$AB$699,3,0),70)</f>
        <v>76</v>
      </c>
      <c r="D10" s="8">
        <f>IFERROR(VLOOKUP($A10, All!$A$1:$AB$699,4,0),Math!B$2)</f>
        <v>0.46</v>
      </c>
      <c r="E10" s="8">
        <f>IFERROR(VLOOKUP($A10, All!$A$1:$AB$700,5,0),Math!C$2)</f>
        <v>0.76</v>
      </c>
      <c r="F10" s="8">
        <f>IFERROR(VLOOKUP($A10, All!$A$1:$AB$700,6,0),Math!D$2)</f>
        <v>1.7</v>
      </c>
      <c r="G10" s="8">
        <f>IFERROR(VLOOKUP($A10, All!$A$1:$AB$700,7,0),Math!E$2)</f>
        <v>5.0999999999999996</v>
      </c>
      <c r="H10" s="8">
        <f>IFERROR(VLOOKUP($A10, All!$A$1:$AB$700,8,0),Math!F$2)</f>
        <v>2.2999999999999998</v>
      </c>
      <c r="I10" s="8">
        <f>IFERROR(VLOOKUP($A10, All!$A$1:$AB$700,9,0),Math!G$2)</f>
        <v>0.5</v>
      </c>
      <c r="J10" s="8">
        <f>IFERROR(VLOOKUP($A10, All!$A$1:$AB$700,10,0),Math!H$2)</f>
        <v>0.4</v>
      </c>
      <c r="K10" s="8">
        <f>IFERROR(VLOOKUP($A10, All!$A$1:$AB$700,11,0),Math!I$2)</f>
        <v>1.7</v>
      </c>
      <c r="L10" s="8">
        <f>IFERROR(VLOOKUP($A10, All!$A$1:$AB$700,12,0),Math!J$2)</f>
        <v>17.3</v>
      </c>
      <c r="M10" s="8">
        <f>IFERROR(VLOOKUP($A10, All!$A$1:$AB$700,13,0),Math!K$2)</f>
        <v>6.6</v>
      </c>
      <c r="N10" s="8">
        <f>IFERROR(VLOOKUP($A10, All!$A$1:$AB$700,14,0),Math!L$2)</f>
        <v>14.3</v>
      </c>
      <c r="O10" s="8">
        <f>IFERROR(VLOOKUP($A10, All!$A$1:$AB$700,15,0),Math!M$2)</f>
        <v>2.5</v>
      </c>
      <c r="P10" s="8">
        <f>IFERROR(VLOOKUP($A10, All!$A$1:$AB$700,16,0),Math!N$2)</f>
        <v>3.3</v>
      </c>
      <c r="Q10" s="31">
        <f>IFERROR(VLOOKUP($A10, All!$A$1:$AB$700,17,0),0)</f>
        <v>-0.3207137603337713</v>
      </c>
      <c r="R10" s="31">
        <f>IFERROR(VLOOKUP($A10, All!$A$1:$AB$700,18,0),0)</f>
        <v>-0.24477021543921229</v>
      </c>
      <c r="S10" s="31">
        <f>IFERROR(VLOOKUP($A10, All!$A$1:$AB$700,19,0),0)</f>
        <v>0.26324818727234567</v>
      </c>
      <c r="T10" s="31">
        <f>IFERROR(VLOOKUP($A10, All!$A$1:$AB$700,20,0),0)</f>
        <v>-0.28655306350192628</v>
      </c>
      <c r="U10" s="31">
        <f>IFERROR(VLOOKUP($A10, All!$A$1:$AB$700,21,0),0)</f>
        <v>-0.49384407369739808</v>
      </c>
      <c r="V10" s="31">
        <f>IFERROR(VLOOKUP($A10, All!$A$1:$AB$700,22,0),0)</f>
        <v>-1.2400291533239061</v>
      </c>
      <c r="W10" s="31">
        <f>IFERROR(VLOOKUP($A10, All!$A$1:$AB$700,23,0),0)</f>
        <v>-0.53563136395848565</v>
      </c>
      <c r="X10" s="31">
        <f>IFERROR(VLOOKUP($A10, All!$A$1:$AB$700,24,0),0)</f>
        <v>6.9089040508517302E-2</v>
      </c>
      <c r="Y10" s="31">
        <f>IFERROR(VLOOKUP($A10, All!$A$1:$AB$700,25,0),0)</f>
        <v>0.41042394351027722</v>
      </c>
    </row>
    <row r="11" spans="1:25">
      <c r="A11" s="7" t="s">
        <v>94</v>
      </c>
      <c r="B11" s="8">
        <f>IFERROR(VLOOKUP($A11, All!$A$1:$AB$699,2,0),300)</f>
        <v>138</v>
      </c>
      <c r="C11" s="8">
        <f>IFERROR(VLOOKUP($A11, All!$A$1:$AB$699,3,0),70)</f>
        <v>70</v>
      </c>
      <c r="D11" s="8">
        <f>IFERROR(VLOOKUP($A11, All!$A$1:$AB$699,4,0),Math!B$2)</f>
        <v>0.45</v>
      </c>
      <c r="E11" s="8">
        <f>IFERROR(VLOOKUP($A11, All!$A$1:$AB$700,5,0),Math!C$2)</f>
        <v>0.71</v>
      </c>
      <c r="F11" s="8">
        <f>IFERROR(VLOOKUP($A11, All!$A$1:$AB$700,6,0),Math!D$2)</f>
        <v>1.5</v>
      </c>
      <c r="G11" s="8">
        <f>IFERROR(VLOOKUP($A11, All!$A$1:$AB$700,7,0),Math!E$2)</f>
        <v>4.5999999999999996</v>
      </c>
      <c r="H11" s="8">
        <f>IFERROR(VLOOKUP($A11, All!$A$1:$AB$700,8,0),Math!F$2)</f>
        <v>2.4</v>
      </c>
      <c r="I11" s="8">
        <f>IFERROR(VLOOKUP($A11, All!$A$1:$AB$700,9,0),Math!G$2)</f>
        <v>0.9</v>
      </c>
      <c r="J11" s="8">
        <f>IFERROR(VLOOKUP($A11, All!$A$1:$AB$700,10,0),Math!H$2)</f>
        <v>0.7</v>
      </c>
      <c r="K11" s="8">
        <f>IFERROR(VLOOKUP($A11, All!$A$1:$AB$700,11,0),Math!I$2)</f>
        <v>1.7</v>
      </c>
      <c r="L11" s="8">
        <f>IFERROR(VLOOKUP($A11, All!$A$1:$AB$700,12,0),Math!J$2)</f>
        <v>17.5</v>
      </c>
      <c r="M11" s="8">
        <f>IFERROR(VLOOKUP($A11, All!$A$1:$AB$700,13,0),Math!K$2)</f>
        <v>6.6</v>
      </c>
      <c r="N11" s="8">
        <f>IFERROR(VLOOKUP($A11, All!$A$1:$AB$700,14,0),Math!L$2)</f>
        <v>14.8</v>
      </c>
      <c r="O11" s="8">
        <f>IFERROR(VLOOKUP($A11, All!$A$1:$AB$700,15,0),Math!M$2)</f>
        <v>2.7</v>
      </c>
      <c r="P11" s="8">
        <f>IFERROR(VLOOKUP($A11, All!$A$1:$AB$700,16,0),Math!N$2)</f>
        <v>3.8</v>
      </c>
      <c r="Q11" s="31">
        <f>IFERROR(VLOOKUP($A11, All!$A$1:$AB$700,17,0),0)</f>
        <v>-0.50556318992096039</v>
      </c>
      <c r="R11" s="31">
        <f>IFERROR(VLOOKUP($A11, All!$A$1:$AB$700,18,0),0)</f>
        <v>-0.85063708533825322</v>
      </c>
      <c r="S11" s="31">
        <f>IFERROR(VLOOKUP($A11, All!$A$1:$AB$700,19,0),0)</f>
        <v>4.7470984590095355E-2</v>
      </c>
      <c r="T11" s="31">
        <f>IFERROR(VLOOKUP($A11, All!$A$1:$AB$700,20,0),0)</f>
        <v>-0.47644906317185703</v>
      </c>
      <c r="U11" s="31">
        <f>IFERROR(VLOOKUP($A11, All!$A$1:$AB$700,21,0),0)</f>
        <v>-0.44368215661284777</v>
      </c>
      <c r="V11" s="31">
        <f>IFERROR(VLOOKUP($A11, All!$A$1:$AB$700,22,0),0)</f>
        <v>-0.18468519304824169</v>
      </c>
      <c r="W11" s="31">
        <f>IFERROR(VLOOKUP($A11, All!$A$1:$AB$700,23,0),0)</f>
        <v>1.6565918472943714E-2</v>
      </c>
      <c r="X11" s="31">
        <f>IFERROR(VLOOKUP($A11, All!$A$1:$AB$700,24,0),0)</f>
        <v>6.9089040508517302E-2</v>
      </c>
      <c r="Y11" s="31">
        <f>IFERROR(VLOOKUP($A11, All!$A$1:$AB$700,25,0),0)</f>
        <v>0.45052398684298611</v>
      </c>
    </row>
    <row r="12" spans="1:25">
      <c r="A12" s="7" t="s">
        <v>95</v>
      </c>
      <c r="B12" s="8">
        <f>IFERROR(VLOOKUP($A12, All!$A$1:$AB$699,2,0),300)</f>
        <v>137</v>
      </c>
      <c r="C12" s="8">
        <f>IFERROR(VLOOKUP($A12, All!$A$1:$AB$699,3,0),70)</f>
        <v>72</v>
      </c>
      <c r="D12" s="8">
        <f>IFERROR(VLOOKUP($A12, All!$A$1:$AB$699,4,0),Math!B$2)</f>
        <v>0.44</v>
      </c>
      <c r="E12" s="8">
        <f>IFERROR(VLOOKUP($A12, All!$A$1:$AB$700,5,0),Math!C$2)</f>
        <v>0.8</v>
      </c>
      <c r="F12" s="8">
        <f>IFERROR(VLOOKUP($A12, All!$A$1:$AB$700,6,0),Math!D$2)</f>
        <v>1.8</v>
      </c>
      <c r="G12" s="8">
        <f>IFERROR(VLOOKUP($A12, All!$A$1:$AB$700,7,0),Math!E$2)</f>
        <v>2.4</v>
      </c>
      <c r="H12" s="8">
        <f>IFERROR(VLOOKUP($A12, All!$A$1:$AB$700,8,0),Math!F$2)</f>
        <v>4.5</v>
      </c>
      <c r="I12" s="8">
        <f>IFERROR(VLOOKUP($A12, All!$A$1:$AB$700,9,0),Math!G$2)</f>
        <v>0.6</v>
      </c>
      <c r="J12" s="8">
        <f>IFERROR(VLOOKUP($A12, All!$A$1:$AB$700,10,0),Math!H$2)</f>
        <v>0.3</v>
      </c>
      <c r="K12" s="8">
        <f>IFERROR(VLOOKUP($A12, All!$A$1:$AB$700,11,0),Math!I$2)</f>
        <v>2</v>
      </c>
      <c r="L12" s="8">
        <f>IFERROR(VLOOKUP($A12, All!$A$1:$AB$700,12,0),Math!J$2)</f>
        <v>15.5</v>
      </c>
      <c r="M12" s="8">
        <f>IFERROR(VLOOKUP($A12, All!$A$1:$AB$700,13,0),Math!K$2)</f>
        <v>4.8</v>
      </c>
      <c r="N12" s="8">
        <f>IFERROR(VLOOKUP($A12, All!$A$1:$AB$700,14,0),Math!L$2)</f>
        <v>10.8</v>
      </c>
      <c r="O12" s="8">
        <f>IFERROR(VLOOKUP($A12, All!$A$1:$AB$700,15,0),Math!M$2)</f>
        <v>4.0999999999999996</v>
      </c>
      <c r="P12" s="8">
        <f>IFERROR(VLOOKUP($A12, All!$A$1:$AB$700,16,0),Math!N$2)</f>
        <v>5.0999999999999996</v>
      </c>
      <c r="Q12" s="31">
        <f>IFERROR(VLOOKUP($A12, All!$A$1:$AB$700,17,0),0)</f>
        <v>-0.69041261950814947</v>
      </c>
      <c r="R12" s="31">
        <f>IFERROR(VLOOKUP($A12, All!$A$1:$AB$700,18,0),0)</f>
        <v>0.23992328048002048</v>
      </c>
      <c r="S12" s="31">
        <f>IFERROR(VLOOKUP($A12, All!$A$1:$AB$700,19,0),0)</f>
        <v>0.37113678861347094</v>
      </c>
      <c r="T12" s="31">
        <f>IFERROR(VLOOKUP($A12, All!$A$1:$AB$700,20,0),0)</f>
        <v>-1.3119914617195523</v>
      </c>
      <c r="U12" s="31">
        <f>IFERROR(VLOOKUP($A12, All!$A$1:$AB$700,21,0),0)</f>
        <v>0.60971810216270828</v>
      </c>
      <c r="V12" s="31">
        <f>IFERROR(VLOOKUP($A12, All!$A$1:$AB$700,22,0),0)</f>
        <v>-0.97619316325498995</v>
      </c>
      <c r="W12" s="31">
        <f>IFERROR(VLOOKUP($A12, All!$A$1:$AB$700,23,0),0)</f>
        <v>-0.71969712476896219</v>
      </c>
      <c r="X12" s="31">
        <f>IFERROR(VLOOKUP($A12, All!$A$1:$AB$700,24,0),0)</f>
        <v>-0.33337138963818985</v>
      </c>
      <c r="Y12" s="31">
        <f>IFERROR(VLOOKUP($A12, All!$A$1:$AB$700,25,0),0)</f>
        <v>4.9523553515895651E-2</v>
      </c>
    </row>
    <row r="13" spans="1:25">
      <c r="A13" s="7" t="s">
        <v>647</v>
      </c>
      <c r="B13" s="8">
        <f>IFERROR(VLOOKUP($A13, All!$A$1:$AB$699,2,0),300)</f>
        <v>155</v>
      </c>
      <c r="C13" s="8">
        <f>IFERROR(VLOOKUP($A13, All!$A$1:$AB$699,3,0),70)</f>
        <v>74</v>
      </c>
      <c r="D13" s="8">
        <f>IFERROR(VLOOKUP($A13, All!$A$1:$AB$699,4,0),Math!B$2)</f>
        <v>0.45</v>
      </c>
      <c r="E13" s="8">
        <f>IFERROR(VLOOKUP($A13, All!$A$1:$AB$700,5,0),Math!C$2)</f>
        <v>0.83</v>
      </c>
      <c r="F13" s="8">
        <f>IFERROR(VLOOKUP($A13, All!$A$1:$AB$700,6,0),Math!D$2)</f>
        <v>1.9</v>
      </c>
      <c r="G13" s="8">
        <f>IFERROR(VLOOKUP($A13, All!$A$1:$AB$700,7,0),Math!E$2)</f>
        <v>3.5</v>
      </c>
      <c r="H13" s="8">
        <f>IFERROR(VLOOKUP($A13, All!$A$1:$AB$700,8,0),Math!F$2)</f>
        <v>2</v>
      </c>
      <c r="I13" s="8">
        <f>IFERROR(VLOOKUP($A13, All!$A$1:$AB$700,9,0),Math!G$2)</f>
        <v>0.8</v>
      </c>
      <c r="J13" s="8">
        <f>IFERROR(VLOOKUP($A13, All!$A$1:$AB$700,10,0),Math!H$2)</f>
        <v>0.3</v>
      </c>
      <c r="K13" s="8">
        <f>IFERROR(VLOOKUP($A13, All!$A$1:$AB$700,11,0),Math!I$2)</f>
        <v>1.2</v>
      </c>
      <c r="L13" s="8">
        <f>IFERROR(VLOOKUP($A13, All!$A$1:$AB$700,12,0),Math!J$2)</f>
        <v>12.9</v>
      </c>
      <c r="M13" s="8">
        <f>IFERROR(VLOOKUP($A13, All!$A$1:$AB$700,13,0),Math!K$2)</f>
        <v>4.5999999999999996</v>
      </c>
      <c r="N13" s="8">
        <f>IFERROR(VLOOKUP($A13, All!$A$1:$AB$700,14,0),Math!L$2)</f>
        <v>10.3</v>
      </c>
      <c r="O13" s="8">
        <f>IFERROR(VLOOKUP($A13, All!$A$1:$AB$700,15,0),Math!M$2)</f>
        <v>1.9</v>
      </c>
      <c r="P13" s="8">
        <f>IFERROR(VLOOKUP($A13, All!$A$1:$AB$700,16,0),Math!N$2)</f>
        <v>2.2999999999999998</v>
      </c>
      <c r="Q13" s="31">
        <f>IFERROR(VLOOKUP($A13, All!$A$1:$AB$700,17,0),0)</f>
        <v>-0.50556318992096039</v>
      </c>
      <c r="R13" s="31">
        <f>IFERROR(VLOOKUP($A13, All!$A$1:$AB$700,18,0),0)</f>
        <v>0.60344340241944372</v>
      </c>
      <c r="S13" s="31">
        <f>IFERROR(VLOOKUP($A13, All!$A$1:$AB$700,19,0),0)</f>
        <v>0.47902538995459598</v>
      </c>
      <c r="T13" s="31">
        <f>IFERROR(VLOOKUP($A13, All!$A$1:$AB$700,20,0),0)</f>
        <v>-0.89422026244570452</v>
      </c>
      <c r="U13" s="31">
        <f>IFERROR(VLOOKUP($A13, All!$A$1:$AB$700,21,0),0)</f>
        <v>-0.64432982495104885</v>
      </c>
      <c r="V13" s="31">
        <f>IFERROR(VLOOKUP($A13, All!$A$1:$AB$700,22,0),0)</f>
        <v>-0.44852118311715766</v>
      </c>
      <c r="W13" s="31">
        <f>IFERROR(VLOOKUP($A13, All!$A$1:$AB$700,23,0),0)</f>
        <v>-0.71969712476896219</v>
      </c>
      <c r="X13" s="31">
        <f>IFERROR(VLOOKUP($A13, All!$A$1:$AB$700,24,0),0)</f>
        <v>0.73985642408636254</v>
      </c>
      <c r="Y13" s="31">
        <f>IFERROR(VLOOKUP($A13, All!$A$1:$AB$700,25,0),0)</f>
        <v>-0.47177700980932186</v>
      </c>
    </row>
    <row r="14" spans="1:25">
      <c r="A14" s="7" t="s">
        <v>110</v>
      </c>
      <c r="B14" s="8">
        <f>IFERROR(VLOOKUP($A14, All!$A$1:$AB$699,2,0),300)</f>
        <v>187</v>
      </c>
      <c r="C14" s="8">
        <f>IFERROR(VLOOKUP($A14, All!$A$1:$AB$699,3,0),70)</f>
        <v>76</v>
      </c>
      <c r="D14" s="8">
        <f>IFERROR(VLOOKUP($A14, All!$A$1:$AB$699,4,0),Math!B$2)</f>
        <v>0.45</v>
      </c>
      <c r="E14" s="8">
        <f>IFERROR(VLOOKUP($A14, All!$A$1:$AB$700,5,0),Math!C$2)</f>
        <v>0.86</v>
      </c>
      <c r="F14" s="8">
        <f>IFERROR(VLOOKUP($A14, All!$A$1:$AB$700,6,0),Math!D$2)</f>
        <v>1.6</v>
      </c>
      <c r="G14" s="8">
        <f>IFERROR(VLOOKUP($A14, All!$A$1:$AB$700,7,0),Math!E$2)</f>
        <v>2.9</v>
      </c>
      <c r="H14" s="8">
        <f>IFERROR(VLOOKUP($A14, All!$A$1:$AB$700,8,0),Math!F$2)</f>
        <v>2.1</v>
      </c>
      <c r="I14" s="8">
        <f>IFERROR(VLOOKUP($A14, All!$A$1:$AB$700,9,0),Math!G$2)</f>
        <v>0.6</v>
      </c>
      <c r="J14" s="8">
        <f>IFERROR(VLOOKUP($A14, All!$A$1:$AB$700,10,0),Math!H$2)</f>
        <v>0.2</v>
      </c>
      <c r="K14" s="8">
        <f>IFERROR(VLOOKUP($A14, All!$A$1:$AB$700,11,0),Math!I$2)</f>
        <v>1.4</v>
      </c>
      <c r="L14" s="8">
        <f>IFERROR(VLOOKUP($A14, All!$A$1:$AB$700,12,0),Math!J$2)</f>
        <v>14.9</v>
      </c>
      <c r="M14" s="8">
        <f>IFERROR(VLOOKUP($A14, All!$A$1:$AB$700,13,0),Math!K$2)</f>
        <v>5.8</v>
      </c>
      <c r="N14" s="8">
        <f>IFERROR(VLOOKUP($A14, All!$A$1:$AB$700,14,0),Math!L$2)</f>
        <v>12.9</v>
      </c>
      <c r="O14" s="8">
        <f>IFERROR(VLOOKUP($A14, All!$A$1:$AB$700,15,0),Math!M$2)</f>
        <v>1.8</v>
      </c>
      <c r="P14" s="8">
        <f>IFERROR(VLOOKUP($A14, All!$A$1:$AB$700,16,0),Math!N$2)</f>
        <v>2.1</v>
      </c>
      <c r="Q14" s="31">
        <f>IFERROR(VLOOKUP($A14, All!$A$1:$AB$700,17,0),0)</f>
        <v>-0.50556318992096039</v>
      </c>
      <c r="R14" s="31">
        <f>IFERROR(VLOOKUP($A14, All!$A$1:$AB$700,18,0),0)</f>
        <v>0.96696352435886834</v>
      </c>
      <c r="S14" s="31">
        <f>IFERROR(VLOOKUP($A14, All!$A$1:$AB$700,19,0),0)</f>
        <v>0.15535958593122062</v>
      </c>
      <c r="T14" s="31">
        <f>IFERROR(VLOOKUP($A14, All!$A$1:$AB$700,20,0),0)</f>
        <v>-1.1220954620496215</v>
      </c>
      <c r="U14" s="31">
        <f>IFERROR(VLOOKUP($A14, All!$A$1:$AB$700,21,0),0)</f>
        <v>-0.59416790786649853</v>
      </c>
      <c r="V14" s="31">
        <f>IFERROR(VLOOKUP($A14, All!$A$1:$AB$700,22,0),0)</f>
        <v>-0.97619316325498995</v>
      </c>
      <c r="W14" s="31">
        <f>IFERROR(VLOOKUP($A14, All!$A$1:$AB$700,23,0),0)</f>
        <v>-0.90376288557943862</v>
      </c>
      <c r="X14" s="31">
        <f>IFERROR(VLOOKUP($A14, All!$A$1:$AB$700,24,0),0)</f>
        <v>0.47154947065522446</v>
      </c>
      <c r="Y14" s="31">
        <f>IFERROR(VLOOKUP($A14, All!$A$1:$AB$700,25,0),0)</f>
        <v>-7.0776576482231415E-2</v>
      </c>
    </row>
    <row r="16" spans="1:25">
      <c r="A16" s="9" t="s">
        <v>123</v>
      </c>
      <c r="B16" s="2" t="s">
        <v>121</v>
      </c>
      <c r="C16" s="10" t="s">
        <v>122</v>
      </c>
      <c r="D16" s="12" t="s">
        <v>129</v>
      </c>
      <c r="E16" s="12" t="s">
        <v>130</v>
      </c>
      <c r="F16" s="11" t="s">
        <v>5</v>
      </c>
      <c r="G16" s="11" t="s">
        <v>6</v>
      </c>
      <c r="H16" s="11" t="s">
        <v>7</v>
      </c>
      <c r="I16" s="11" t="s">
        <v>8</v>
      </c>
      <c r="J16" s="11" t="s">
        <v>9</v>
      </c>
      <c r="K16" s="11" t="s">
        <v>10</v>
      </c>
      <c r="L16" s="11" t="s">
        <v>11</v>
      </c>
      <c r="M16" s="12" t="s">
        <v>12</v>
      </c>
      <c r="N16" s="12" t="s">
        <v>13</v>
      </c>
      <c r="O16" s="4" t="s">
        <v>125</v>
      </c>
      <c r="P16" s="17" t="s">
        <v>126</v>
      </c>
      <c r="Q16" s="17" t="s">
        <v>127</v>
      </c>
      <c r="R16" s="18" t="s">
        <v>128</v>
      </c>
    </row>
    <row r="17" spans="1:18">
      <c r="A17" s="6"/>
      <c r="B17" s="15">
        <f t="shared" ref="B17:N17" si="0">AVERAGE(B2:B14)</f>
        <v>102.07692307692308</v>
      </c>
      <c r="C17" s="15">
        <f t="shared" si="0"/>
        <v>74.615384615384613</v>
      </c>
      <c r="D17" s="15">
        <f t="shared" si="0"/>
        <v>0.47307692307692317</v>
      </c>
      <c r="E17" s="15">
        <f t="shared" si="0"/>
        <v>0.77999999999999992</v>
      </c>
      <c r="F17" s="15">
        <f t="shared" si="0"/>
        <v>1.5923076923076922</v>
      </c>
      <c r="G17" s="15">
        <f t="shared" si="0"/>
        <v>5.9461538461538472</v>
      </c>
      <c r="H17" s="15">
        <f t="shared" si="0"/>
        <v>3.4923076923076923</v>
      </c>
      <c r="I17" s="15">
        <f t="shared" si="0"/>
        <v>0.8</v>
      </c>
      <c r="J17" s="15">
        <f t="shared" si="0"/>
        <v>0.56923076923076921</v>
      </c>
      <c r="K17" s="15">
        <f t="shared" si="0"/>
        <v>2.0307692307692302</v>
      </c>
      <c r="L17" s="15">
        <f t="shared" si="0"/>
        <v>17.315384615384616</v>
      </c>
      <c r="M17" s="15">
        <f t="shared" si="0"/>
        <v>6.4384615384615378</v>
      </c>
      <c r="N17" s="15">
        <f t="shared" si="0"/>
        <v>13.869230769230775</v>
      </c>
      <c r="O17" s="16">
        <f>M17/N17</f>
        <v>0.46422628951747064</v>
      </c>
      <c r="P17" s="16">
        <f>AVERAGE(O2:O14)</f>
        <v>2.8615384615384607</v>
      </c>
      <c r="Q17" s="16">
        <f>AVERAGE(P2:P14)</f>
        <v>3.7076923076923074</v>
      </c>
      <c r="R17" s="15">
        <f>P17/Q17</f>
        <v>0.77178423236514504</v>
      </c>
    </row>
    <row r="19" spans="1:18">
      <c r="A19" s="13" t="s">
        <v>124</v>
      </c>
      <c r="B19" s="11" t="s">
        <v>3</v>
      </c>
      <c r="C19" s="11" t="s">
        <v>4</v>
      </c>
      <c r="D19" s="11" t="s">
        <v>5</v>
      </c>
      <c r="E19" s="11" t="s">
        <v>6</v>
      </c>
      <c r="F19" s="11" t="s">
        <v>7</v>
      </c>
      <c r="G19" s="11" t="s">
        <v>8</v>
      </c>
      <c r="H19" s="11" t="s">
        <v>9</v>
      </c>
      <c r="I19" s="11" t="s">
        <v>10</v>
      </c>
      <c r="J19" s="11" t="s">
        <v>11</v>
      </c>
      <c r="K19" s="12" t="s">
        <v>12</v>
      </c>
      <c r="L19" s="12" t="s">
        <v>13</v>
      </c>
      <c r="M19" s="12" t="s">
        <v>126</v>
      </c>
      <c r="N19" s="12" t="s">
        <v>127</v>
      </c>
    </row>
    <row r="20" spans="1:18">
      <c r="A20" s="6"/>
      <c r="B20" s="16">
        <f>K20/L20</f>
        <v>0.46422628951747064</v>
      </c>
      <c r="C20" s="15">
        <f>M20/N20</f>
        <v>0.77178423236514504</v>
      </c>
      <c r="D20" s="15">
        <f t="shared" ref="D20:N20" si="1">SUM(F2:F14)</f>
        <v>20.7</v>
      </c>
      <c r="E20" s="15">
        <f t="shared" si="1"/>
        <v>77.300000000000011</v>
      </c>
      <c r="F20" s="15">
        <f t="shared" si="1"/>
        <v>45.4</v>
      </c>
      <c r="G20" s="15">
        <f t="shared" si="1"/>
        <v>10.4</v>
      </c>
      <c r="H20" s="15">
        <f t="shared" si="1"/>
        <v>7.4</v>
      </c>
      <c r="I20" s="15">
        <f t="shared" si="1"/>
        <v>26.399999999999995</v>
      </c>
      <c r="J20" s="15">
        <f t="shared" si="1"/>
        <v>225.1</v>
      </c>
      <c r="K20" s="15">
        <f t="shared" si="1"/>
        <v>83.699999999999989</v>
      </c>
      <c r="L20" s="15">
        <f t="shared" si="1"/>
        <v>180.30000000000007</v>
      </c>
      <c r="M20" s="15">
        <f t="shared" si="1"/>
        <v>37.199999999999989</v>
      </c>
      <c r="N20" s="15">
        <f t="shared" si="1"/>
        <v>48.199999999999996</v>
      </c>
    </row>
  </sheetData>
  <sortState xmlns:xlrd2="http://schemas.microsoft.com/office/spreadsheetml/2017/richdata2" ref="A2:P14">
    <sortCondition ref="B2"/>
  </sortState>
  <conditionalFormatting sqref="D2:D14">
    <cfRule type="colorScale" priority="18">
      <colorScale>
        <cfvo type="min"/>
        <cfvo type="percentile" val="50"/>
        <cfvo type="max"/>
        <color rgb="FFF8696B"/>
        <color rgb="FFFFEB84"/>
        <color rgb="FF63BE7B"/>
      </colorScale>
    </cfRule>
  </conditionalFormatting>
  <conditionalFormatting sqref="E2:E14">
    <cfRule type="colorScale" priority="17">
      <colorScale>
        <cfvo type="min"/>
        <cfvo type="percentile" val="50"/>
        <cfvo type="max"/>
        <color rgb="FFF8696B"/>
        <color rgb="FFFFEB84"/>
        <color rgb="FF63BE7B"/>
      </colorScale>
    </cfRule>
  </conditionalFormatting>
  <conditionalFormatting sqref="F2:F14">
    <cfRule type="colorScale" priority="16">
      <colorScale>
        <cfvo type="min"/>
        <cfvo type="percentile" val="50"/>
        <cfvo type="max"/>
        <color rgb="FFF8696B"/>
        <color rgb="FFFFEB84"/>
        <color rgb="FF63BE7B"/>
      </colorScale>
    </cfRule>
  </conditionalFormatting>
  <conditionalFormatting sqref="G2:G14">
    <cfRule type="colorScale" priority="15">
      <colorScale>
        <cfvo type="min"/>
        <cfvo type="percentile" val="50"/>
        <cfvo type="max"/>
        <color rgb="FFF8696B"/>
        <color rgb="FFFFEB84"/>
        <color rgb="FF63BE7B"/>
      </colorScale>
    </cfRule>
  </conditionalFormatting>
  <conditionalFormatting sqref="H2:H14">
    <cfRule type="colorScale" priority="14">
      <colorScale>
        <cfvo type="min"/>
        <cfvo type="percentile" val="50"/>
        <cfvo type="max"/>
        <color rgb="FFF8696B"/>
        <color rgb="FFFFEB84"/>
        <color rgb="FF63BE7B"/>
      </colorScale>
    </cfRule>
  </conditionalFormatting>
  <conditionalFormatting sqref="I2:I14">
    <cfRule type="colorScale" priority="13">
      <colorScale>
        <cfvo type="min"/>
        <cfvo type="percentile" val="50"/>
        <cfvo type="max"/>
        <color rgb="FFF8696B"/>
        <color rgb="FFFFEB84"/>
        <color rgb="FF63BE7B"/>
      </colorScale>
    </cfRule>
  </conditionalFormatting>
  <conditionalFormatting sqref="J2:J14">
    <cfRule type="colorScale" priority="12">
      <colorScale>
        <cfvo type="min"/>
        <cfvo type="percentile" val="50"/>
        <cfvo type="max"/>
        <color rgb="FFF8696B"/>
        <color rgb="FFFFEB84"/>
        <color rgb="FF63BE7B"/>
      </colorScale>
    </cfRule>
  </conditionalFormatting>
  <conditionalFormatting sqref="K2:K14">
    <cfRule type="colorScale" priority="11">
      <colorScale>
        <cfvo type="min"/>
        <cfvo type="percentile" val="50"/>
        <cfvo type="max"/>
        <color rgb="FF63BE7B"/>
        <color rgb="FFFFEB84"/>
        <color rgb="FFF8696B"/>
      </colorScale>
    </cfRule>
  </conditionalFormatting>
  <conditionalFormatting sqref="L2:L14">
    <cfRule type="colorScale" priority="10">
      <colorScale>
        <cfvo type="min"/>
        <cfvo type="percentile" val="50"/>
        <cfvo type="max"/>
        <color rgb="FFF8696B"/>
        <color rgb="FFFFEB84"/>
        <color rgb="FF63BE7B"/>
      </colorScale>
    </cfRule>
  </conditionalFormatting>
  <conditionalFormatting sqref="Q2:Q14">
    <cfRule type="colorScale" priority="9">
      <colorScale>
        <cfvo type="min"/>
        <cfvo type="percentile" val="50"/>
        <cfvo type="max"/>
        <color rgb="FFF8696B"/>
        <color rgb="FFFFEB84"/>
        <color rgb="FF63BE7B"/>
      </colorScale>
    </cfRule>
  </conditionalFormatting>
  <conditionalFormatting sqref="R2:R14">
    <cfRule type="colorScale" priority="8">
      <colorScale>
        <cfvo type="min"/>
        <cfvo type="percentile" val="50"/>
        <cfvo type="max"/>
        <color rgb="FFF8696B"/>
        <color rgb="FFFFEB84"/>
        <color rgb="FF63BE7B"/>
      </colorScale>
    </cfRule>
  </conditionalFormatting>
  <conditionalFormatting sqref="S2:S14">
    <cfRule type="colorScale" priority="7">
      <colorScale>
        <cfvo type="min"/>
        <cfvo type="percentile" val="50"/>
        <cfvo type="max"/>
        <color rgb="FFF8696B"/>
        <color rgb="FFFFEB84"/>
        <color rgb="FF63BE7B"/>
      </colorScale>
    </cfRule>
  </conditionalFormatting>
  <conditionalFormatting sqref="T2:T14">
    <cfRule type="colorScale" priority="6">
      <colorScale>
        <cfvo type="min"/>
        <cfvo type="percentile" val="50"/>
        <cfvo type="max"/>
        <color rgb="FFF8696B"/>
        <color rgb="FFFFEB84"/>
        <color rgb="FF63BE7B"/>
      </colorScale>
    </cfRule>
  </conditionalFormatting>
  <conditionalFormatting sqref="U2:U14">
    <cfRule type="colorScale" priority="5">
      <colorScale>
        <cfvo type="min"/>
        <cfvo type="percentile" val="50"/>
        <cfvo type="max"/>
        <color rgb="FFF8696B"/>
        <color rgb="FFFFEB84"/>
        <color rgb="FF63BE7B"/>
      </colorScale>
    </cfRule>
  </conditionalFormatting>
  <conditionalFormatting sqref="V2:V14">
    <cfRule type="colorScale" priority="4">
      <colorScale>
        <cfvo type="min"/>
        <cfvo type="percentile" val="50"/>
        <cfvo type="max"/>
        <color rgb="FFF8696B"/>
        <color rgb="FFFFEB84"/>
        <color rgb="FF63BE7B"/>
      </colorScale>
    </cfRule>
  </conditionalFormatting>
  <conditionalFormatting sqref="W2:W14">
    <cfRule type="colorScale" priority="3">
      <colorScale>
        <cfvo type="min"/>
        <cfvo type="percentile" val="50"/>
        <cfvo type="max"/>
        <color rgb="FFF8696B"/>
        <color rgb="FFFFEB84"/>
        <color rgb="FF63BE7B"/>
      </colorScale>
    </cfRule>
  </conditionalFormatting>
  <conditionalFormatting sqref="X2:X14">
    <cfRule type="colorScale" priority="2">
      <colorScale>
        <cfvo type="min"/>
        <cfvo type="percentile" val="50"/>
        <cfvo type="max"/>
        <color rgb="FFF8696B"/>
        <color rgb="FFFFEB84"/>
        <color rgb="FF63BE7B"/>
      </colorScale>
    </cfRule>
  </conditionalFormatting>
  <conditionalFormatting sqref="Y2:Y14">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4699A1-AD0C-C445-8AA3-F7D2DBFEBCE2}">
  <sheetPr codeName="Sheet12"/>
  <dimension ref="A1:Y20"/>
  <sheetViews>
    <sheetView workbookViewId="0">
      <selection activeCell="C28" sqref="C28"/>
    </sheetView>
  </sheetViews>
  <sheetFormatPr baseColWidth="10" defaultRowHeight="16"/>
  <cols>
    <col min="1" max="1" width="21" customWidth="1"/>
  </cols>
  <sheetData>
    <row r="1" spans="1:25">
      <c r="A1" s="1" t="s">
        <v>0</v>
      </c>
      <c r="B1" s="2" t="s">
        <v>1</v>
      </c>
      <c r="C1" s="3" t="s">
        <v>2</v>
      </c>
      <c r="D1" s="4" t="s">
        <v>3</v>
      </c>
      <c r="E1" s="4" t="s">
        <v>4</v>
      </c>
      <c r="F1" s="4" t="s">
        <v>5</v>
      </c>
      <c r="G1" s="4" t="s">
        <v>6</v>
      </c>
      <c r="H1" s="4" t="s">
        <v>7</v>
      </c>
      <c r="I1" s="4" t="s">
        <v>8</v>
      </c>
      <c r="J1" s="4" t="s">
        <v>9</v>
      </c>
      <c r="K1" s="4" t="s">
        <v>10</v>
      </c>
      <c r="L1" s="4" t="s">
        <v>11</v>
      </c>
      <c r="M1" s="5" t="s">
        <v>12</v>
      </c>
      <c r="N1" s="5" t="s">
        <v>13</v>
      </c>
      <c r="O1" s="5" t="s">
        <v>126</v>
      </c>
      <c r="P1" s="5" t="s">
        <v>127</v>
      </c>
      <c r="Q1" s="27" t="s">
        <v>144</v>
      </c>
      <c r="R1" s="28" t="s">
        <v>145</v>
      </c>
      <c r="S1" s="29" t="s">
        <v>146</v>
      </c>
      <c r="T1" s="29" t="s">
        <v>147</v>
      </c>
      <c r="U1" s="29" t="s">
        <v>148</v>
      </c>
      <c r="V1" s="29" t="s">
        <v>149</v>
      </c>
      <c r="W1" s="29" t="s">
        <v>150</v>
      </c>
      <c r="X1" s="29" t="s">
        <v>151</v>
      </c>
      <c r="Y1" s="29" t="s">
        <v>152</v>
      </c>
    </row>
    <row r="2" spans="1:25">
      <c r="A2" s="7" t="s">
        <v>16</v>
      </c>
      <c r="B2" s="8">
        <f>IFERROR(VLOOKUP($A2, All!$A$1:$AB$699,2,0),300)</f>
        <v>4</v>
      </c>
      <c r="C2" s="8">
        <f>IFERROR(VLOOKUP($A2, All!$A$1:$AB$699,3,0),70)</f>
        <v>72</v>
      </c>
      <c r="D2" s="8">
        <f>IFERROR(VLOOKUP($A2, All!$A$1:$AB$699,4,0),Math!B$2)</f>
        <v>0.56000000000000005</v>
      </c>
      <c r="E2" s="8">
        <f>IFERROR(VLOOKUP($A2, All!$A$1:$AB$700,5,0),Math!C$2)</f>
        <v>0.74</v>
      </c>
      <c r="F2" s="8">
        <f>IFERROR(VLOOKUP($A2, All!$A$1:$AB$700,6,0),Math!D$2)</f>
        <v>0.9</v>
      </c>
      <c r="G2" s="8">
        <f>IFERROR(VLOOKUP($A2, All!$A$1:$AB$700,7,0),Math!E$2)</f>
        <v>13.2</v>
      </c>
      <c r="H2" s="8">
        <f>IFERROR(VLOOKUP($A2, All!$A$1:$AB$700,8,0),Math!F$2)</f>
        <v>6.2</v>
      </c>
      <c r="I2" s="8">
        <f>IFERROR(VLOOKUP($A2, All!$A$1:$AB$700,9,0),Math!G$2)</f>
        <v>1.3</v>
      </c>
      <c r="J2" s="8">
        <f>IFERROR(VLOOKUP($A2, All!$A$1:$AB$700,10,0),Math!H$2)</f>
        <v>1.6</v>
      </c>
      <c r="K2" s="8">
        <f>IFERROR(VLOOKUP($A2, All!$A$1:$AB$700,11,0),Math!I$2)</f>
        <v>3.4</v>
      </c>
      <c r="L2" s="8">
        <f>IFERROR(VLOOKUP($A2, All!$A$1:$AB$700,12,0),Math!J$2)</f>
        <v>28.7</v>
      </c>
      <c r="M2" s="8">
        <f>IFERROR(VLOOKUP($A2, All!$A$1:$AB$700,13,0),Math!K$2)</f>
        <v>10.199999999999999</v>
      </c>
      <c r="N2" s="8">
        <f>IFERROR(VLOOKUP($A2, All!$A$1:$AB$700,14,0),Math!L$2)</f>
        <v>18.100000000000001</v>
      </c>
      <c r="O2" s="8">
        <f>IFERROR(VLOOKUP($A2, All!$A$1:$AB$700,15,0),Math!M$2)</f>
        <v>7.3</v>
      </c>
      <c r="P2" s="8">
        <f>IFERROR(VLOOKUP($A2, All!$A$1:$AB$700,16,0),Math!N$2)</f>
        <v>9.8000000000000007</v>
      </c>
      <c r="Q2" s="31">
        <f>IFERROR(VLOOKUP($A2, All!$A$1:$AB$700,17,0),0)</f>
        <v>1.5277805355381187</v>
      </c>
      <c r="R2" s="31">
        <f>IFERROR(VLOOKUP($A2, All!$A$1:$AB$700,18,0),0)</f>
        <v>-0.48711696339882865</v>
      </c>
      <c r="S2" s="31">
        <f>IFERROR(VLOOKUP($A2, All!$A$1:$AB$700,19,0),0)</f>
        <v>-0.59986062345665569</v>
      </c>
      <c r="T2" s="31">
        <f>IFERROR(VLOOKUP($A2, All!$A$1:$AB$700,20,0),0)</f>
        <v>2.789762131150952</v>
      </c>
      <c r="U2" s="31">
        <f>IFERROR(VLOOKUP($A2, All!$A$1:$AB$700,21,0),0)</f>
        <v>1.4624706926000632</v>
      </c>
      <c r="V2" s="31">
        <f>IFERROR(VLOOKUP($A2, All!$A$1:$AB$700,22,0),0)</f>
        <v>0.87065876722742253</v>
      </c>
      <c r="W2" s="31">
        <f>IFERROR(VLOOKUP($A2, All!$A$1:$AB$700,23,0),0)</f>
        <v>1.6731577657672323</v>
      </c>
      <c r="X2" s="31">
        <f>IFERROR(VLOOKUP($A2, All!$A$1:$AB$700,24,0),0)</f>
        <v>-2.2115200636561565</v>
      </c>
      <c r="Y2" s="31">
        <f>IFERROR(VLOOKUP($A2, All!$A$1:$AB$700,25,0),0)</f>
        <v>2.6961264134746923</v>
      </c>
    </row>
    <row r="3" spans="1:25">
      <c r="A3" s="7" t="s">
        <v>18</v>
      </c>
      <c r="B3" s="8">
        <f>IFERROR(VLOOKUP($A3, All!$A$1:$AB$699,2,0),300)</f>
        <v>10</v>
      </c>
      <c r="C3" s="8">
        <f>IFERROR(VLOOKUP($A3, All!$A$1:$AB$699,3,0),70)</f>
        <v>60</v>
      </c>
      <c r="D3" s="8">
        <f>IFERROR(VLOOKUP($A3, All!$A$1:$AB$699,4,0),Math!B$2)</f>
        <v>0.45</v>
      </c>
      <c r="E3" s="8">
        <f>IFERROR(VLOOKUP($A3, All!$A$1:$AB$700,5,0),Math!C$2)</f>
        <v>0.85</v>
      </c>
      <c r="F3" s="8">
        <f>IFERROR(VLOOKUP($A3, All!$A$1:$AB$700,6,0),Math!D$2)</f>
        <v>3.7</v>
      </c>
      <c r="G3" s="8">
        <f>IFERROR(VLOOKUP($A3, All!$A$1:$AB$700,7,0),Math!E$2)</f>
        <v>7.9</v>
      </c>
      <c r="H3" s="8">
        <f>IFERROR(VLOOKUP($A3, All!$A$1:$AB$700,8,0),Math!F$2)</f>
        <v>4</v>
      </c>
      <c r="I3" s="8">
        <f>IFERROR(VLOOKUP($A3, All!$A$1:$AB$700,9,0),Math!G$2)</f>
        <v>1.9</v>
      </c>
      <c r="J3" s="8">
        <f>IFERROR(VLOOKUP($A3, All!$A$1:$AB$700,10,0),Math!H$2)</f>
        <v>0.4</v>
      </c>
      <c r="K3" s="8">
        <f>IFERROR(VLOOKUP($A3, All!$A$1:$AB$700,11,0),Math!I$2)</f>
        <v>2.5</v>
      </c>
      <c r="L3" s="8">
        <f>IFERROR(VLOOKUP($A3, All!$A$1:$AB$700,12,0),Math!J$2)</f>
        <v>23.5</v>
      </c>
      <c r="M3" s="8">
        <f>IFERROR(VLOOKUP($A3, All!$A$1:$AB$700,13,0),Math!K$2)</f>
        <v>7.4</v>
      </c>
      <c r="N3" s="8">
        <f>IFERROR(VLOOKUP($A3, All!$A$1:$AB$700,14,0),Math!L$2)</f>
        <v>16.5</v>
      </c>
      <c r="O3" s="8">
        <f>IFERROR(VLOOKUP($A3, All!$A$1:$AB$700,15,0),Math!M$2)</f>
        <v>5</v>
      </c>
      <c r="P3" s="8">
        <f>IFERROR(VLOOKUP($A3, All!$A$1:$AB$700,16,0),Math!N$2)</f>
        <v>5.9</v>
      </c>
      <c r="Q3" s="31">
        <f>IFERROR(VLOOKUP($A3, All!$A$1:$AB$700,17,0),0)</f>
        <v>-0.50556318992096039</v>
      </c>
      <c r="R3" s="31">
        <f>IFERROR(VLOOKUP($A3, All!$A$1:$AB$700,18,0),0)</f>
        <v>0.84579015037906013</v>
      </c>
      <c r="S3" s="31">
        <f>IFERROR(VLOOKUP($A3, All!$A$1:$AB$700,19,0),0)</f>
        <v>2.4210202140948498</v>
      </c>
      <c r="T3" s="31">
        <f>IFERROR(VLOOKUP($A3, All!$A$1:$AB$700,20,0),0)</f>
        <v>0.7768645346496863</v>
      </c>
      <c r="U3" s="31">
        <f>IFERROR(VLOOKUP($A3, All!$A$1:$AB$700,21,0),0)</f>
        <v>0.35890851673995683</v>
      </c>
      <c r="V3" s="31">
        <f>IFERROR(VLOOKUP($A3, All!$A$1:$AB$700,22,0),0)</f>
        <v>2.4536747076409187</v>
      </c>
      <c r="W3" s="31">
        <f>IFERROR(VLOOKUP($A3, All!$A$1:$AB$700,23,0),0)</f>
        <v>-0.53563136395848565</v>
      </c>
      <c r="X3" s="31">
        <f>IFERROR(VLOOKUP($A3, All!$A$1:$AB$700,24,0),0)</f>
        <v>-1.0041387732160352</v>
      </c>
      <c r="Y3" s="31">
        <f>IFERROR(VLOOKUP($A3, All!$A$1:$AB$700,25,0),0)</f>
        <v>1.6535252868242574</v>
      </c>
    </row>
    <row r="4" spans="1:25">
      <c r="A4" s="7" t="s">
        <v>20</v>
      </c>
      <c r="B4" s="8">
        <f>IFERROR(VLOOKUP($A4, All!$A$1:$AB$699,2,0),300)</f>
        <v>11</v>
      </c>
      <c r="C4" s="8">
        <f>IFERROR(VLOOKUP($A4, All!$A$1:$AB$699,3,0),70)</f>
        <v>72</v>
      </c>
      <c r="D4" s="8">
        <f>IFERROR(VLOOKUP($A4, All!$A$1:$AB$699,4,0),Math!B$2)</f>
        <v>0.46</v>
      </c>
      <c r="E4" s="8">
        <f>IFERROR(VLOOKUP($A4, All!$A$1:$AB$700,5,0),Math!C$2)</f>
        <v>0.86</v>
      </c>
      <c r="F4" s="8">
        <f>IFERROR(VLOOKUP($A4, All!$A$1:$AB$700,6,0),Math!D$2)</f>
        <v>1.6</v>
      </c>
      <c r="G4" s="8">
        <f>IFERROR(VLOOKUP($A4, All!$A$1:$AB$700,7,0),Math!E$2)</f>
        <v>6.1</v>
      </c>
      <c r="H4" s="8">
        <f>IFERROR(VLOOKUP($A4, All!$A$1:$AB$700,8,0),Math!F$2)</f>
        <v>5.0999999999999996</v>
      </c>
      <c r="I4" s="8">
        <f>IFERROR(VLOOKUP($A4, All!$A$1:$AB$700,9,0),Math!G$2)</f>
        <v>1.9</v>
      </c>
      <c r="J4" s="8">
        <f>IFERROR(VLOOKUP($A4, All!$A$1:$AB$700,10,0),Math!H$2)</f>
        <v>0.7</v>
      </c>
      <c r="K4" s="8">
        <f>IFERROR(VLOOKUP($A4, All!$A$1:$AB$700,11,0),Math!I$2)</f>
        <v>1.4</v>
      </c>
      <c r="L4" s="8">
        <f>IFERROR(VLOOKUP($A4, All!$A$1:$AB$700,12,0),Math!J$2)</f>
        <v>22.2</v>
      </c>
      <c r="M4" s="8">
        <f>IFERROR(VLOOKUP($A4, All!$A$1:$AB$700,13,0),Math!K$2)</f>
        <v>7.6</v>
      </c>
      <c r="N4" s="8">
        <f>IFERROR(VLOOKUP($A4, All!$A$1:$AB$700,14,0),Math!L$2)</f>
        <v>16.399999999999999</v>
      </c>
      <c r="O4" s="8">
        <f>IFERROR(VLOOKUP($A4, All!$A$1:$AB$700,15,0),Math!M$2)</f>
        <v>5.4</v>
      </c>
      <c r="P4" s="8">
        <f>IFERROR(VLOOKUP($A4, All!$A$1:$AB$700,16,0),Math!N$2)</f>
        <v>6.3</v>
      </c>
      <c r="Q4" s="31">
        <f>IFERROR(VLOOKUP($A4, All!$A$1:$AB$700,17,0),0)</f>
        <v>-0.3207137603337713</v>
      </c>
      <c r="R4" s="31">
        <f>IFERROR(VLOOKUP($A4, All!$A$1:$AB$700,18,0),0)</f>
        <v>0.96696352435886834</v>
      </c>
      <c r="S4" s="31">
        <f>IFERROR(VLOOKUP($A4, All!$A$1:$AB$700,19,0),0)</f>
        <v>0.15535958593122062</v>
      </c>
      <c r="T4" s="31">
        <f>IFERROR(VLOOKUP($A4, All!$A$1:$AB$700,20,0),0)</f>
        <v>9.3238935837935272E-2</v>
      </c>
      <c r="U4" s="31">
        <f>IFERROR(VLOOKUP($A4, All!$A$1:$AB$700,21,0),0)</f>
        <v>0.91068960467000981</v>
      </c>
      <c r="V4" s="31">
        <f>IFERROR(VLOOKUP($A4, All!$A$1:$AB$700,22,0),0)</f>
        <v>2.4536747076409187</v>
      </c>
      <c r="W4" s="31">
        <f>IFERROR(VLOOKUP($A4, All!$A$1:$AB$700,23,0),0)</f>
        <v>1.6565918472943714E-2</v>
      </c>
      <c r="X4" s="31">
        <f>IFERROR(VLOOKUP($A4, All!$A$1:$AB$700,24,0),0)</f>
        <v>0.47154947065522446</v>
      </c>
      <c r="Y4" s="31">
        <f>IFERROR(VLOOKUP($A4, All!$A$1:$AB$700,25,0),0)</f>
        <v>1.3928750051616485</v>
      </c>
    </row>
    <row r="5" spans="1:25">
      <c r="A5" s="7" t="s">
        <v>39</v>
      </c>
      <c r="B5" s="8">
        <f>IFERROR(VLOOKUP($A5, All!$A$1:$AB$699,2,0),300)</f>
        <v>36</v>
      </c>
      <c r="C5" s="8">
        <f>IFERROR(VLOOKUP($A5, All!$A$1:$AB$699,3,0),70)</f>
        <v>80</v>
      </c>
      <c r="D5" s="8">
        <f>IFERROR(VLOOKUP($A5, All!$A$1:$AB$699,4,0),Math!B$2)</f>
        <v>0.46</v>
      </c>
      <c r="E5" s="8">
        <f>IFERROR(VLOOKUP($A5, All!$A$1:$AB$700,5,0),Math!C$2)</f>
        <v>0.88</v>
      </c>
      <c r="F5" s="8">
        <f>IFERROR(VLOOKUP($A5, All!$A$1:$AB$700,6,0),Math!D$2)</f>
        <v>3.5</v>
      </c>
      <c r="G5" s="8">
        <f>IFERROR(VLOOKUP($A5, All!$A$1:$AB$700,7,0),Math!E$2)</f>
        <v>5.3</v>
      </c>
      <c r="H5" s="8">
        <f>IFERROR(VLOOKUP($A5, All!$A$1:$AB$700,8,0),Math!F$2)</f>
        <v>2.6</v>
      </c>
      <c r="I5" s="8">
        <f>IFERROR(VLOOKUP($A5, All!$A$1:$AB$700,9,0),Math!G$2)</f>
        <v>0.8</v>
      </c>
      <c r="J5" s="8">
        <f>IFERROR(VLOOKUP($A5, All!$A$1:$AB$700,10,0),Math!H$2)</f>
        <v>0.4</v>
      </c>
      <c r="K5" s="8">
        <f>IFERROR(VLOOKUP($A5, All!$A$1:$AB$700,11,0),Math!I$2)</f>
        <v>1.8</v>
      </c>
      <c r="L5" s="8">
        <f>IFERROR(VLOOKUP($A5, All!$A$1:$AB$700,12,0),Math!J$2)</f>
        <v>21.8</v>
      </c>
      <c r="M5" s="8">
        <f>IFERROR(VLOOKUP($A5, All!$A$1:$AB$700,13,0),Math!K$2)</f>
        <v>8</v>
      </c>
      <c r="N5" s="8">
        <f>IFERROR(VLOOKUP($A5, All!$A$1:$AB$700,14,0),Math!L$2)</f>
        <v>17.5</v>
      </c>
      <c r="O5" s="8">
        <f>IFERROR(VLOOKUP($A5, All!$A$1:$AB$700,15,0),Math!M$2)</f>
        <v>2.2000000000000002</v>
      </c>
      <c r="P5" s="8">
        <f>IFERROR(VLOOKUP($A5, All!$A$1:$AB$700,16,0),Math!N$2)</f>
        <v>2.5</v>
      </c>
      <c r="Q5" s="31">
        <f>IFERROR(VLOOKUP($A5, All!$A$1:$AB$700,17,0),0)</f>
        <v>-0.3207137603337713</v>
      </c>
      <c r="R5" s="31">
        <f>IFERROR(VLOOKUP($A5, All!$A$1:$AB$700,18,0),0)</f>
        <v>1.2093102723184848</v>
      </c>
      <c r="S5" s="31">
        <f>IFERROR(VLOOKUP($A5, All!$A$1:$AB$700,19,0),0)</f>
        <v>2.2052430114125992</v>
      </c>
      <c r="T5" s="31">
        <f>IFERROR(VLOOKUP($A5, All!$A$1:$AB$700,20,0),0)</f>
        <v>-0.21059466363395388</v>
      </c>
      <c r="U5" s="31">
        <f>IFERROR(VLOOKUP($A5, All!$A$1:$AB$700,21,0),0)</f>
        <v>-0.34335832244374709</v>
      </c>
      <c r="V5" s="31">
        <f>IFERROR(VLOOKUP($A5, All!$A$1:$AB$700,22,0),0)</f>
        <v>-0.44852118311715766</v>
      </c>
      <c r="W5" s="31">
        <f>IFERROR(VLOOKUP($A5, All!$A$1:$AB$700,23,0),0)</f>
        <v>-0.53563136395848565</v>
      </c>
      <c r="X5" s="31">
        <f>IFERROR(VLOOKUP($A5, All!$A$1:$AB$700,24,0),0)</f>
        <v>-6.5064436207051865E-2</v>
      </c>
      <c r="Y5" s="31">
        <f>IFERROR(VLOOKUP($A5, All!$A$1:$AB$700,25,0),0)</f>
        <v>1.3126749184962307</v>
      </c>
    </row>
    <row r="6" spans="1:25">
      <c r="A6" s="7" t="s">
        <v>51</v>
      </c>
      <c r="B6" s="8">
        <f>IFERROR(VLOOKUP($A6, All!$A$1:$AB$699,2,0),300)</f>
        <v>42</v>
      </c>
      <c r="C6" s="8">
        <f>IFERROR(VLOOKUP($A6, All!$A$1:$AB$699,3,0),70)</f>
        <v>68</v>
      </c>
      <c r="D6" s="8">
        <f>IFERROR(VLOOKUP($A6, All!$A$1:$AB$699,4,0),Math!B$2)</f>
        <v>0.46</v>
      </c>
      <c r="E6" s="8">
        <f>IFERROR(VLOOKUP($A6, All!$A$1:$AB$700,5,0),Math!C$2)</f>
        <v>0.84</v>
      </c>
      <c r="F6" s="8">
        <f>IFERROR(VLOOKUP($A6, All!$A$1:$AB$700,6,0),Math!D$2)</f>
        <v>2</v>
      </c>
      <c r="G6" s="8">
        <f>IFERROR(VLOOKUP($A6, All!$A$1:$AB$700,7,0),Math!E$2)</f>
        <v>4.8</v>
      </c>
      <c r="H6" s="8">
        <f>IFERROR(VLOOKUP($A6, All!$A$1:$AB$700,8,0),Math!F$2)</f>
        <v>4.7</v>
      </c>
      <c r="I6" s="8">
        <f>IFERROR(VLOOKUP($A6, All!$A$1:$AB$700,9,0),Math!G$2)</f>
        <v>1</v>
      </c>
      <c r="J6" s="8">
        <f>IFERROR(VLOOKUP($A6, All!$A$1:$AB$700,10,0),Math!H$2)</f>
        <v>0.4</v>
      </c>
      <c r="K6" s="8">
        <f>IFERROR(VLOOKUP($A6, All!$A$1:$AB$700,11,0),Math!I$2)</f>
        <v>3.4</v>
      </c>
      <c r="L6" s="8">
        <f>IFERROR(VLOOKUP($A6, All!$A$1:$AB$700,12,0),Math!J$2)</f>
        <v>23.6</v>
      </c>
      <c r="M6" s="8">
        <f>IFERROR(VLOOKUP($A6, All!$A$1:$AB$700,13,0),Math!K$2)</f>
        <v>8.1999999999999993</v>
      </c>
      <c r="N6" s="8">
        <f>IFERROR(VLOOKUP($A6, All!$A$1:$AB$700,14,0),Math!L$2)</f>
        <v>17.8</v>
      </c>
      <c r="O6" s="8">
        <f>IFERROR(VLOOKUP($A6, All!$A$1:$AB$700,15,0),Math!M$2)</f>
        <v>5.2</v>
      </c>
      <c r="P6" s="8">
        <f>IFERROR(VLOOKUP($A6, All!$A$1:$AB$700,16,0),Math!N$2)</f>
        <v>6.2</v>
      </c>
      <c r="Q6" s="31">
        <f>IFERROR(VLOOKUP($A6, All!$A$1:$AB$700,17,0),0)</f>
        <v>-0.3207137603337713</v>
      </c>
      <c r="R6" s="31">
        <f>IFERROR(VLOOKUP($A6, All!$A$1:$AB$700,18,0),0)</f>
        <v>0.72461677639925193</v>
      </c>
      <c r="S6" s="31">
        <f>IFERROR(VLOOKUP($A6, All!$A$1:$AB$700,19,0),0)</f>
        <v>0.58691399129572119</v>
      </c>
      <c r="T6" s="31">
        <f>IFERROR(VLOOKUP($A6, All!$A$1:$AB$700,20,0),0)</f>
        <v>-0.40049066330388466</v>
      </c>
      <c r="U6" s="31">
        <f>IFERROR(VLOOKUP($A6, All!$A$1:$AB$700,21,0),0)</f>
        <v>0.7100419363318089</v>
      </c>
      <c r="V6" s="31">
        <f>IFERROR(VLOOKUP($A6, All!$A$1:$AB$700,22,0),0)</f>
        <v>7.9150797020674304E-2</v>
      </c>
      <c r="W6" s="31">
        <f>IFERROR(VLOOKUP($A6, All!$A$1:$AB$700,23,0),0)</f>
        <v>-0.53563136395848565</v>
      </c>
      <c r="X6" s="31">
        <f>IFERROR(VLOOKUP($A6, All!$A$1:$AB$700,24,0),0)</f>
        <v>-2.2115200636561565</v>
      </c>
      <c r="Y6" s="31">
        <f>IFERROR(VLOOKUP($A6, All!$A$1:$AB$700,25,0),0)</f>
        <v>1.6735753084906122</v>
      </c>
    </row>
    <row r="7" spans="1:25">
      <c r="A7" s="7" t="s">
        <v>53</v>
      </c>
      <c r="B7" s="8">
        <f>IFERROR(VLOOKUP($A7, All!$A$1:$AB$699,2,0),300)</f>
        <v>37</v>
      </c>
      <c r="C7" s="8">
        <f>IFERROR(VLOOKUP($A7, All!$A$1:$AB$699,3,0),70)</f>
        <v>78</v>
      </c>
      <c r="D7" s="8">
        <f>IFERROR(VLOOKUP($A7, All!$A$1:$AB$699,4,0),Math!B$2)</f>
        <v>0.45</v>
      </c>
      <c r="E7" s="8">
        <f>IFERROR(VLOOKUP($A7, All!$A$1:$AB$700,5,0),Math!C$2)</f>
        <v>0.79</v>
      </c>
      <c r="F7" s="8">
        <f>IFERROR(VLOOKUP($A7, All!$A$1:$AB$700,6,0),Math!D$2)</f>
        <v>3.3</v>
      </c>
      <c r="G7" s="8">
        <f>IFERROR(VLOOKUP($A7, All!$A$1:$AB$700,7,0),Math!E$2)</f>
        <v>4.2</v>
      </c>
      <c r="H7" s="8">
        <f>IFERROR(VLOOKUP($A7, All!$A$1:$AB$700,8,0),Math!F$2)</f>
        <v>5.2</v>
      </c>
      <c r="I7" s="8">
        <f>IFERROR(VLOOKUP($A7, All!$A$1:$AB$700,9,0),Math!G$2)</f>
        <v>1.3</v>
      </c>
      <c r="J7" s="8">
        <f>IFERROR(VLOOKUP($A7, All!$A$1:$AB$700,10,0),Math!H$2)</f>
        <v>0.2</v>
      </c>
      <c r="K7" s="8">
        <f>IFERROR(VLOOKUP($A7, All!$A$1:$AB$700,11,0),Math!I$2)</f>
        <v>2.8</v>
      </c>
      <c r="L7" s="8">
        <f>IFERROR(VLOOKUP($A7, All!$A$1:$AB$700,12,0),Math!J$2)</f>
        <v>21.6</v>
      </c>
      <c r="M7" s="8">
        <f>IFERROR(VLOOKUP($A7, All!$A$1:$AB$700,13,0),Math!K$2)</f>
        <v>8</v>
      </c>
      <c r="N7" s="8">
        <f>IFERROR(VLOOKUP($A7, All!$A$1:$AB$700,14,0),Math!L$2)</f>
        <v>17.899999999999999</v>
      </c>
      <c r="O7" s="8">
        <f>IFERROR(VLOOKUP($A7, All!$A$1:$AB$700,15,0),Math!M$2)</f>
        <v>2.2999999999999998</v>
      </c>
      <c r="P7" s="8">
        <f>IFERROR(VLOOKUP($A7, All!$A$1:$AB$700,16,0),Math!N$2)</f>
        <v>2.9</v>
      </c>
      <c r="Q7" s="31">
        <f>IFERROR(VLOOKUP($A7, All!$A$1:$AB$700,17,0),0)</f>
        <v>-0.50556318992096039</v>
      </c>
      <c r="R7" s="31">
        <f>IFERROR(VLOOKUP($A7, All!$A$1:$AB$700,18,0),0)</f>
        <v>0.11874990650021229</v>
      </c>
      <c r="S7" s="31">
        <f>IFERROR(VLOOKUP($A7, All!$A$1:$AB$700,19,0),0)</f>
        <v>1.9894658087303483</v>
      </c>
      <c r="T7" s="31">
        <f>IFERROR(VLOOKUP($A7, All!$A$1:$AB$700,20,0),0)</f>
        <v>-0.62836586290780139</v>
      </c>
      <c r="U7" s="31">
        <f>IFERROR(VLOOKUP($A7, All!$A$1:$AB$700,21,0),0)</f>
        <v>0.96085152175456034</v>
      </c>
      <c r="V7" s="31">
        <f>IFERROR(VLOOKUP($A7, All!$A$1:$AB$700,22,0),0)</f>
        <v>0.87065876722742253</v>
      </c>
      <c r="W7" s="31">
        <f>IFERROR(VLOOKUP($A7, All!$A$1:$AB$700,23,0),0)</f>
        <v>-0.90376288557943862</v>
      </c>
      <c r="X7" s="31">
        <f>IFERROR(VLOOKUP($A7, All!$A$1:$AB$700,24,0),0)</f>
        <v>-1.4065992033627419</v>
      </c>
      <c r="Y7" s="31">
        <f>IFERROR(VLOOKUP($A7, All!$A$1:$AB$700,25,0),0)</f>
        <v>1.2725748751635217</v>
      </c>
    </row>
    <row r="8" spans="1:25">
      <c r="A8" s="7" t="s">
        <v>55</v>
      </c>
      <c r="B8" s="8">
        <f>IFERROR(VLOOKUP($A8, All!$A$1:$AB$699,2,0),300)</f>
        <v>65</v>
      </c>
      <c r="C8" s="8">
        <f>IFERROR(VLOOKUP($A8, All!$A$1:$AB$699,3,0),70)</f>
        <v>78</v>
      </c>
      <c r="D8" s="8">
        <f>IFERROR(VLOOKUP($A8, All!$A$1:$AB$699,4,0),Math!B$2)</f>
        <v>0.46</v>
      </c>
      <c r="E8" s="8">
        <f>IFERROR(VLOOKUP($A8, All!$A$1:$AB$700,5,0),Math!C$2)</f>
        <v>0.84</v>
      </c>
      <c r="F8" s="8">
        <f>IFERROR(VLOOKUP($A8, All!$A$1:$AB$700,6,0),Math!D$2)</f>
        <v>1.6</v>
      </c>
      <c r="G8" s="8">
        <f>IFERROR(VLOOKUP($A8, All!$A$1:$AB$700,7,0),Math!E$2)</f>
        <v>6.5</v>
      </c>
      <c r="H8" s="8">
        <f>IFERROR(VLOOKUP($A8, All!$A$1:$AB$700,8,0),Math!F$2)</f>
        <v>2.2999999999999998</v>
      </c>
      <c r="I8" s="8">
        <f>IFERROR(VLOOKUP($A8, All!$A$1:$AB$700,9,0),Math!G$2)</f>
        <v>1.1000000000000001</v>
      </c>
      <c r="J8" s="8">
        <f>IFERROR(VLOOKUP($A8, All!$A$1:$AB$700,10,0),Math!H$2)</f>
        <v>0.8</v>
      </c>
      <c r="K8" s="8">
        <f>IFERROR(VLOOKUP($A8, All!$A$1:$AB$700,11,0),Math!I$2)</f>
        <v>1.5</v>
      </c>
      <c r="L8" s="8">
        <f>IFERROR(VLOOKUP($A8, All!$A$1:$AB$700,12,0),Math!J$2)</f>
        <v>17</v>
      </c>
      <c r="M8" s="8">
        <f>IFERROR(VLOOKUP($A8, All!$A$1:$AB$700,13,0),Math!K$2)</f>
        <v>6.4</v>
      </c>
      <c r="N8" s="8">
        <f>IFERROR(VLOOKUP($A8, All!$A$1:$AB$700,14,0),Math!L$2)</f>
        <v>13.8</v>
      </c>
      <c r="O8" s="8">
        <f>IFERROR(VLOOKUP($A8, All!$A$1:$AB$700,15,0),Math!M$2)</f>
        <v>2.6</v>
      </c>
      <c r="P8" s="8">
        <f>IFERROR(VLOOKUP($A8, All!$A$1:$AB$700,16,0),Math!N$2)</f>
        <v>3.1</v>
      </c>
      <c r="Q8" s="31">
        <f>IFERROR(VLOOKUP($A8, All!$A$1:$AB$700,17,0),0)</f>
        <v>-0.3207137603337713</v>
      </c>
      <c r="R8" s="31">
        <f>IFERROR(VLOOKUP($A8, All!$A$1:$AB$700,18,0),0)</f>
        <v>0.72461677639925193</v>
      </c>
      <c r="S8" s="31">
        <f>IFERROR(VLOOKUP($A8, All!$A$1:$AB$700,19,0),0)</f>
        <v>0.15535958593122062</v>
      </c>
      <c r="T8" s="31">
        <f>IFERROR(VLOOKUP($A8, All!$A$1:$AB$700,20,0),0)</f>
        <v>0.24515573557388001</v>
      </c>
      <c r="U8" s="31">
        <f>IFERROR(VLOOKUP($A8, All!$A$1:$AB$700,21,0),0)</f>
        <v>-0.49384407369739808</v>
      </c>
      <c r="V8" s="31">
        <f>IFERROR(VLOOKUP($A8, All!$A$1:$AB$700,22,0),0)</f>
        <v>0.34298678708959057</v>
      </c>
      <c r="W8" s="31">
        <f>IFERROR(VLOOKUP($A8, All!$A$1:$AB$700,23,0),0)</f>
        <v>0.20063167928342035</v>
      </c>
      <c r="X8" s="31">
        <f>IFERROR(VLOOKUP($A8, All!$A$1:$AB$700,24,0),0)</f>
        <v>0.3373959939396553</v>
      </c>
      <c r="Y8" s="31">
        <f>IFERROR(VLOOKUP($A8, All!$A$1:$AB$700,25,0),0)</f>
        <v>0.3502738785112135</v>
      </c>
    </row>
    <row r="9" spans="1:25">
      <c r="A9" s="7" t="s">
        <v>61</v>
      </c>
      <c r="B9" s="8">
        <f>IFERROR(VLOOKUP($A9, All!$A$1:$AB$699,2,0),300)</f>
        <v>52</v>
      </c>
      <c r="C9" s="8">
        <f>IFERROR(VLOOKUP($A9, All!$A$1:$AB$699,3,0),70)</f>
        <v>76</v>
      </c>
      <c r="D9" s="8">
        <f>IFERROR(VLOOKUP($A9, All!$A$1:$AB$699,4,0),Math!B$2)</f>
        <v>0.56000000000000005</v>
      </c>
      <c r="E9" s="8">
        <f>IFERROR(VLOOKUP($A9, All!$A$1:$AB$700,5,0),Math!C$2)</f>
        <v>0.79</v>
      </c>
      <c r="F9" s="8">
        <f>IFERROR(VLOOKUP($A9, All!$A$1:$AB$700,6,0),Math!D$2)</f>
        <v>0.8</v>
      </c>
      <c r="G9" s="8">
        <f>IFERROR(VLOOKUP($A9, All!$A$1:$AB$700,7,0),Math!E$2)</f>
        <v>9.5</v>
      </c>
      <c r="H9" s="8">
        <f>IFERROR(VLOOKUP($A9, All!$A$1:$AB$700,8,0),Math!F$2)</f>
        <v>2</v>
      </c>
      <c r="I9" s="8">
        <f>IFERROR(VLOOKUP($A9, All!$A$1:$AB$700,9,0),Math!G$2)</f>
        <v>0.4</v>
      </c>
      <c r="J9" s="8">
        <f>IFERROR(VLOOKUP($A9, All!$A$1:$AB$700,10,0),Math!H$2)</f>
        <v>1.4</v>
      </c>
      <c r="K9" s="8">
        <f>IFERROR(VLOOKUP($A9, All!$A$1:$AB$700,11,0),Math!I$2)</f>
        <v>1.2</v>
      </c>
      <c r="L9" s="8">
        <f>IFERROR(VLOOKUP($A9, All!$A$1:$AB$700,12,0),Math!J$2)</f>
        <v>15.1</v>
      </c>
      <c r="M9" s="8">
        <f>IFERROR(VLOOKUP($A9, All!$A$1:$AB$700,13,0),Math!K$2)</f>
        <v>6</v>
      </c>
      <c r="N9" s="8">
        <f>IFERROR(VLOOKUP($A9, All!$A$1:$AB$700,14,0),Math!L$2)</f>
        <v>10.7</v>
      </c>
      <c r="O9" s="8">
        <f>IFERROR(VLOOKUP($A9, All!$A$1:$AB$700,15,0),Math!M$2)</f>
        <v>2.2999999999999998</v>
      </c>
      <c r="P9" s="8">
        <f>IFERROR(VLOOKUP($A9, All!$A$1:$AB$700,16,0),Math!N$2)</f>
        <v>2.9</v>
      </c>
      <c r="Q9" s="31">
        <f>IFERROR(VLOOKUP($A9, All!$A$1:$AB$700,17,0),0)</f>
        <v>1.5277805355381187</v>
      </c>
      <c r="R9" s="31">
        <f>IFERROR(VLOOKUP($A9, All!$A$1:$AB$700,18,0),0)</f>
        <v>0.11874990650021229</v>
      </c>
      <c r="S9" s="31">
        <f>IFERROR(VLOOKUP($A9, All!$A$1:$AB$700,19,0),0)</f>
        <v>-0.7077492247977808</v>
      </c>
      <c r="T9" s="31">
        <f>IFERROR(VLOOKUP($A9, All!$A$1:$AB$700,20,0),0)</f>
        <v>1.3845317335934646</v>
      </c>
      <c r="U9" s="31">
        <f>IFERROR(VLOOKUP($A9, All!$A$1:$AB$700,21,0),0)</f>
        <v>-0.64432982495104885</v>
      </c>
      <c r="V9" s="31">
        <f>IFERROR(VLOOKUP($A9, All!$A$1:$AB$700,22,0),0)</f>
        <v>-1.5038651433928218</v>
      </c>
      <c r="W9" s="31">
        <f>IFERROR(VLOOKUP($A9, All!$A$1:$AB$700,23,0),0)</f>
        <v>1.305026244146279</v>
      </c>
      <c r="X9" s="31">
        <f>IFERROR(VLOOKUP($A9, All!$A$1:$AB$700,24,0),0)</f>
        <v>0.73985642408636254</v>
      </c>
      <c r="Y9" s="31">
        <f>IFERROR(VLOOKUP($A9, All!$A$1:$AB$700,25,0),0)</f>
        <v>-3.0676533149522515E-2</v>
      </c>
    </row>
    <row r="10" spans="1:25">
      <c r="A10" s="7" t="s">
        <v>72</v>
      </c>
      <c r="B10" s="8">
        <f>IFERROR(VLOOKUP($A10, All!$A$1:$AB$699,2,0),300)</f>
        <v>78</v>
      </c>
      <c r="C10" s="8">
        <f>IFERROR(VLOOKUP($A10, All!$A$1:$AB$699,3,0),70)</f>
        <v>76</v>
      </c>
      <c r="D10" s="8">
        <f>IFERROR(VLOOKUP($A10, All!$A$1:$AB$699,4,0),Math!B$2)</f>
        <v>0.55000000000000004</v>
      </c>
      <c r="E10" s="8">
        <f>IFERROR(VLOOKUP($A10, All!$A$1:$AB$700,5,0),Math!C$2)</f>
        <v>0.72</v>
      </c>
      <c r="F10" s="8">
        <f>IFERROR(VLOOKUP($A10, All!$A$1:$AB$700,6,0),Math!D$2)</f>
        <v>0.1</v>
      </c>
      <c r="G10" s="8">
        <f>IFERROR(VLOOKUP($A10, All!$A$1:$AB$700,7,0),Math!E$2)</f>
        <v>10.8</v>
      </c>
      <c r="H10" s="8">
        <f>IFERROR(VLOOKUP($A10, All!$A$1:$AB$700,8,0),Math!F$2)</f>
        <v>3.7</v>
      </c>
      <c r="I10" s="8">
        <f>IFERROR(VLOOKUP($A10, All!$A$1:$AB$700,9,0),Math!G$2)</f>
        <v>0.8</v>
      </c>
      <c r="J10" s="8">
        <f>IFERROR(VLOOKUP($A10, All!$A$1:$AB$700,10,0),Math!H$2)</f>
        <v>0.5</v>
      </c>
      <c r="K10" s="8">
        <f>IFERROR(VLOOKUP($A10, All!$A$1:$AB$700,11,0),Math!I$2)</f>
        <v>2.7</v>
      </c>
      <c r="L10" s="8">
        <f>IFERROR(VLOOKUP($A10, All!$A$1:$AB$700,12,0),Math!J$2)</f>
        <v>16</v>
      </c>
      <c r="M10" s="8">
        <f>IFERROR(VLOOKUP($A10, All!$A$1:$AB$700,13,0),Math!K$2)</f>
        <v>6.1</v>
      </c>
      <c r="N10" s="8">
        <f>IFERROR(VLOOKUP($A10, All!$A$1:$AB$700,14,0),Math!L$2)</f>
        <v>11.1</v>
      </c>
      <c r="O10" s="8">
        <f>IFERROR(VLOOKUP($A10, All!$A$1:$AB$700,15,0),Math!M$2)</f>
        <v>3.6</v>
      </c>
      <c r="P10" s="8">
        <f>IFERROR(VLOOKUP($A10, All!$A$1:$AB$700,16,0),Math!N$2)</f>
        <v>5</v>
      </c>
      <c r="Q10" s="31">
        <f>IFERROR(VLOOKUP($A10, All!$A$1:$AB$700,17,0),0)</f>
        <v>1.3429311059509295</v>
      </c>
      <c r="R10" s="31">
        <f>IFERROR(VLOOKUP($A10, All!$A$1:$AB$700,18,0),0)</f>
        <v>-0.72946371135844501</v>
      </c>
      <c r="S10" s="31">
        <f>IFERROR(VLOOKUP($A10, All!$A$1:$AB$700,19,0),0)</f>
        <v>-1.4629694341856569</v>
      </c>
      <c r="T10" s="31">
        <f>IFERROR(VLOOKUP($A10, All!$A$1:$AB$700,20,0),0)</f>
        <v>1.8782613327352848</v>
      </c>
      <c r="U10" s="31">
        <f>IFERROR(VLOOKUP($A10, All!$A$1:$AB$700,21,0),0)</f>
        <v>0.20842276548630609</v>
      </c>
      <c r="V10" s="31">
        <f>IFERROR(VLOOKUP($A10, All!$A$1:$AB$700,22,0),0)</f>
        <v>-0.44852118311715766</v>
      </c>
      <c r="W10" s="31">
        <f>IFERROR(VLOOKUP($A10, All!$A$1:$AB$700,23,0),0)</f>
        <v>-0.35156560314800916</v>
      </c>
      <c r="X10" s="31">
        <f>IFERROR(VLOOKUP($A10, All!$A$1:$AB$700,24,0),0)</f>
        <v>-1.2724457266471734</v>
      </c>
      <c r="Y10" s="31">
        <f>IFERROR(VLOOKUP($A10, All!$A$1:$AB$700,25,0),0)</f>
        <v>0.14977366184766827</v>
      </c>
    </row>
    <row r="11" spans="1:25">
      <c r="A11" s="7" t="s">
        <v>90</v>
      </c>
      <c r="B11" s="8">
        <f>IFERROR(VLOOKUP($A11, All!$A$1:$AB$699,2,0),300)</f>
        <v>85</v>
      </c>
      <c r="C11" s="8">
        <f>IFERROR(VLOOKUP($A11, All!$A$1:$AB$699,3,0),70)</f>
        <v>76</v>
      </c>
      <c r="D11" s="8">
        <f>IFERROR(VLOOKUP($A11, All!$A$1:$AB$699,4,0),Math!B$2)</f>
        <v>0.6</v>
      </c>
      <c r="E11" s="8">
        <f>IFERROR(VLOOKUP($A11, All!$A$1:$AB$700,5,0),Math!C$2)</f>
        <v>0.76</v>
      </c>
      <c r="F11" s="8">
        <f>IFERROR(VLOOKUP($A11, All!$A$1:$AB$700,6,0),Math!D$2)</f>
        <v>0.6</v>
      </c>
      <c r="G11" s="8">
        <f>IFERROR(VLOOKUP($A11, All!$A$1:$AB$700,7,0),Math!E$2)</f>
        <v>6.7</v>
      </c>
      <c r="H11" s="8">
        <f>IFERROR(VLOOKUP($A11, All!$A$1:$AB$700,8,0),Math!F$2)</f>
        <v>1.9</v>
      </c>
      <c r="I11" s="8">
        <f>IFERROR(VLOOKUP($A11, All!$A$1:$AB$700,9,0),Math!G$2)</f>
        <v>0.7</v>
      </c>
      <c r="J11" s="8">
        <f>IFERROR(VLOOKUP($A11, All!$A$1:$AB$700,10,0),Math!H$2)</f>
        <v>0.9</v>
      </c>
      <c r="K11" s="8">
        <f>IFERROR(VLOOKUP($A11, All!$A$1:$AB$700,11,0),Math!I$2)</f>
        <v>1.1000000000000001</v>
      </c>
      <c r="L11" s="8">
        <f>IFERROR(VLOOKUP($A11, All!$A$1:$AB$700,12,0),Math!J$2)</f>
        <v>13.5</v>
      </c>
      <c r="M11" s="8">
        <f>IFERROR(VLOOKUP($A11, All!$A$1:$AB$700,13,0),Math!K$2)</f>
        <v>4.8</v>
      </c>
      <c r="N11" s="8">
        <f>IFERROR(VLOOKUP($A11, All!$A$1:$AB$700,14,0),Math!L$2)</f>
        <v>8</v>
      </c>
      <c r="O11" s="8">
        <f>IFERROR(VLOOKUP($A11, All!$A$1:$AB$700,15,0),Math!M$2)</f>
        <v>3.2</v>
      </c>
      <c r="P11" s="8">
        <f>IFERROR(VLOOKUP($A11, All!$A$1:$AB$700,16,0),Math!N$2)</f>
        <v>4.2</v>
      </c>
      <c r="Q11" s="31">
        <f>IFERROR(VLOOKUP($A11, All!$A$1:$AB$700,17,0),0)</f>
        <v>2.2671782538868728</v>
      </c>
      <c r="R11" s="31">
        <f>IFERROR(VLOOKUP($A11, All!$A$1:$AB$700,18,0),0)</f>
        <v>-0.24477021543921229</v>
      </c>
      <c r="S11" s="31">
        <f>IFERROR(VLOOKUP($A11, All!$A$1:$AB$700,19,0),0)</f>
        <v>-0.92352642748003122</v>
      </c>
      <c r="T11" s="31">
        <f>IFERROR(VLOOKUP($A11, All!$A$1:$AB$700,20,0),0)</f>
        <v>0.32111413544185241</v>
      </c>
      <c r="U11" s="31">
        <f>IFERROR(VLOOKUP($A11, All!$A$1:$AB$700,21,0),0)</f>
        <v>-0.69449174203559916</v>
      </c>
      <c r="V11" s="31">
        <f>IFERROR(VLOOKUP($A11, All!$A$1:$AB$700,22,0),0)</f>
        <v>-0.71235717318607394</v>
      </c>
      <c r="W11" s="31">
        <f>IFERROR(VLOOKUP($A11, All!$A$1:$AB$700,23,0),0)</f>
        <v>0.38469744009389678</v>
      </c>
      <c r="X11" s="31">
        <f>IFERROR(VLOOKUP($A11, All!$A$1:$AB$700,24,0),0)</f>
        <v>0.87400990080193131</v>
      </c>
      <c r="Y11" s="31">
        <f>IFERROR(VLOOKUP($A11, All!$A$1:$AB$700,25,0),0)</f>
        <v>-0.3514768798111948</v>
      </c>
    </row>
    <row r="12" spans="1:25">
      <c r="A12" s="7" t="s">
        <v>100</v>
      </c>
      <c r="B12" s="8">
        <f>IFERROR(VLOOKUP($A12, All!$A$1:$AB$699,2,0),300)</f>
        <v>163</v>
      </c>
      <c r="C12" s="8">
        <f>IFERROR(VLOOKUP($A12, All!$A$1:$AB$699,3,0),70)</f>
        <v>72</v>
      </c>
      <c r="D12" s="8">
        <f>IFERROR(VLOOKUP($A12, All!$A$1:$AB$699,4,0),Math!B$2)</f>
        <v>0.47</v>
      </c>
      <c r="E12" s="8">
        <f>IFERROR(VLOOKUP($A12, All!$A$1:$AB$700,5,0),Math!C$2)</f>
        <v>0.66</v>
      </c>
      <c r="F12" s="8">
        <f>IFERROR(VLOOKUP($A12, All!$A$1:$AB$700,6,0),Math!D$2)</f>
        <v>1.5</v>
      </c>
      <c r="G12" s="8">
        <f>IFERROR(VLOOKUP($A12, All!$A$1:$AB$700,7,0),Math!E$2)</f>
        <v>4.9000000000000004</v>
      </c>
      <c r="H12" s="8">
        <f>IFERROR(VLOOKUP($A12, All!$A$1:$AB$700,8,0),Math!F$2)</f>
        <v>1.6</v>
      </c>
      <c r="I12" s="8">
        <f>IFERROR(VLOOKUP($A12, All!$A$1:$AB$700,9,0),Math!G$2)</f>
        <v>1</v>
      </c>
      <c r="J12" s="8">
        <f>IFERROR(VLOOKUP($A12, All!$A$1:$AB$700,10,0),Math!H$2)</f>
        <v>0.5</v>
      </c>
      <c r="K12" s="8">
        <f>IFERROR(VLOOKUP($A12, All!$A$1:$AB$700,11,0),Math!I$2)</f>
        <v>1.5</v>
      </c>
      <c r="L12" s="8">
        <f>IFERROR(VLOOKUP($A12, All!$A$1:$AB$700,12,0),Math!J$2)</f>
        <v>15.5</v>
      </c>
      <c r="M12" s="8">
        <f>IFERROR(VLOOKUP($A12, All!$A$1:$AB$700,13,0),Math!K$2)</f>
        <v>5.9</v>
      </c>
      <c r="N12" s="8">
        <f>IFERROR(VLOOKUP($A12, All!$A$1:$AB$700,14,0),Math!L$2)</f>
        <v>12.6</v>
      </c>
      <c r="O12" s="8">
        <f>IFERROR(VLOOKUP($A12, All!$A$1:$AB$700,15,0),Math!M$2)</f>
        <v>2.1</v>
      </c>
      <c r="P12" s="8">
        <f>IFERROR(VLOOKUP($A12, All!$A$1:$AB$700,16,0),Math!N$2)</f>
        <v>3.2</v>
      </c>
      <c r="Q12" s="31">
        <f>IFERROR(VLOOKUP($A12, All!$A$1:$AB$700,17,0),0)</f>
        <v>-0.13586433074658327</v>
      </c>
      <c r="R12" s="31">
        <f>IFERROR(VLOOKUP($A12, All!$A$1:$AB$700,18,0),0)</f>
        <v>-1.4565039552372929</v>
      </c>
      <c r="S12" s="31">
        <f>IFERROR(VLOOKUP($A12, All!$A$1:$AB$700,19,0),0)</f>
        <v>4.7470984590095355E-2</v>
      </c>
      <c r="T12" s="31">
        <f>IFERROR(VLOOKUP($A12, All!$A$1:$AB$700,20,0),0)</f>
        <v>-0.36251146336989831</v>
      </c>
      <c r="U12" s="31">
        <f>IFERROR(VLOOKUP($A12, All!$A$1:$AB$700,21,0),0)</f>
        <v>-0.84497749328924998</v>
      </c>
      <c r="V12" s="31">
        <f>IFERROR(VLOOKUP($A12, All!$A$1:$AB$700,22,0),0)</f>
        <v>7.9150797020674304E-2</v>
      </c>
      <c r="W12" s="31">
        <f>IFERROR(VLOOKUP($A12, All!$A$1:$AB$700,23,0),0)</f>
        <v>-0.35156560314800916</v>
      </c>
      <c r="X12" s="31">
        <f>IFERROR(VLOOKUP($A12, All!$A$1:$AB$700,24,0),0)</f>
        <v>0.3373959939396553</v>
      </c>
      <c r="Y12" s="31">
        <f>IFERROR(VLOOKUP($A12, All!$A$1:$AB$700,25,0),0)</f>
        <v>4.9523553515895651E-2</v>
      </c>
    </row>
    <row r="13" spans="1:25">
      <c r="A13" s="7" t="s">
        <v>102</v>
      </c>
      <c r="B13" s="8">
        <f>IFERROR(VLOOKUP($A13, All!$A$1:$AB$699,2,0),300)</f>
        <v>143</v>
      </c>
      <c r="C13" s="8">
        <f>IFERROR(VLOOKUP($A13, All!$A$1:$AB$699,3,0),70)</f>
        <v>72</v>
      </c>
      <c r="D13" s="8">
        <f>IFERROR(VLOOKUP($A13, All!$A$1:$AB$699,4,0),Math!B$2)</f>
        <v>0.45</v>
      </c>
      <c r="E13" s="8">
        <f>IFERROR(VLOOKUP($A13, All!$A$1:$AB$700,5,0),Math!C$2)</f>
        <v>0.86</v>
      </c>
      <c r="F13" s="8">
        <f>IFERROR(VLOOKUP($A13, All!$A$1:$AB$700,6,0),Math!D$2)</f>
        <v>1.8</v>
      </c>
      <c r="G13" s="8">
        <f>IFERROR(VLOOKUP($A13, All!$A$1:$AB$700,7,0),Math!E$2)</f>
        <v>6.6</v>
      </c>
      <c r="H13" s="8">
        <f>IFERROR(VLOOKUP($A13, All!$A$1:$AB$700,8,0),Math!F$2)</f>
        <v>1.9</v>
      </c>
      <c r="I13" s="8">
        <f>IFERROR(VLOOKUP($A13, All!$A$1:$AB$700,9,0),Math!G$2)</f>
        <v>0.7</v>
      </c>
      <c r="J13" s="8">
        <f>IFERROR(VLOOKUP($A13, All!$A$1:$AB$700,10,0),Math!H$2)</f>
        <v>0.1</v>
      </c>
      <c r="K13" s="8">
        <f>IFERROR(VLOOKUP($A13, All!$A$1:$AB$700,11,0),Math!I$2)</f>
        <v>1.3</v>
      </c>
      <c r="L13" s="8">
        <f>IFERROR(VLOOKUP($A13, All!$A$1:$AB$700,12,0),Math!J$2)</f>
        <v>12.6</v>
      </c>
      <c r="M13" s="8">
        <f>IFERROR(VLOOKUP($A13, All!$A$1:$AB$700,13,0),Math!K$2)</f>
        <v>4.5</v>
      </c>
      <c r="N13" s="8">
        <f>IFERROR(VLOOKUP($A13, All!$A$1:$AB$700,14,0),Math!L$2)</f>
        <v>10.1</v>
      </c>
      <c r="O13" s="8">
        <f>IFERROR(VLOOKUP($A13, All!$A$1:$AB$700,15,0),Math!M$2)</f>
        <v>1.9</v>
      </c>
      <c r="P13" s="8">
        <f>IFERROR(VLOOKUP($A13, All!$A$1:$AB$700,16,0),Math!N$2)</f>
        <v>2.2000000000000002</v>
      </c>
      <c r="Q13" s="31">
        <f>IFERROR(VLOOKUP($A13, All!$A$1:$AB$700,17,0),0)</f>
        <v>-0.50556318992096039</v>
      </c>
      <c r="R13" s="31">
        <f>IFERROR(VLOOKUP($A13, All!$A$1:$AB$700,18,0),0)</f>
        <v>0.96696352435886834</v>
      </c>
      <c r="S13" s="31">
        <f>IFERROR(VLOOKUP($A13, All!$A$1:$AB$700,19,0),0)</f>
        <v>0.37113678861347094</v>
      </c>
      <c r="T13" s="31">
        <f>IFERROR(VLOOKUP($A13, All!$A$1:$AB$700,20,0),0)</f>
        <v>0.283134935507866</v>
      </c>
      <c r="U13" s="31">
        <f>IFERROR(VLOOKUP($A13, All!$A$1:$AB$700,21,0),0)</f>
        <v>-0.69449174203559916</v>
      </c>
      <c r="V13" s="31">
        <f>IFERROR(VLOOKUP($A13, All!$A$1:$AB$700,22,0),0)</f>
        <v>-0.71235717318607394</v>
      </c>
      <c r="W13" s="31">
        <f>IFERROR(VLOOKUP($A13, All!$A$1:$AB$700,23,0),0)</f>
        <v>-1.0878286463899152</v>
      </c>
      <c r="X13" s="31">
        <f>IFERROR(VLOOKUP($A13, All!$A$1:$AB$700,24,0),0)</f>
        <v>0.60570294737079333</v>
      </c>
      <c r="Y13" s="31">
        <f>IFERROR(VLOOKUP($A13, All!$A$1:$AB$700,25,0),0)</f>
        <v>-0.53192707480838564</v>
      </c>
    </row>
    <row r="14" spans="1:25">
      <c r="A14" s="7" t="s">
        <v>104</v>
      </c>
      <c r="B14" s="8">
        <f>IFERROR(VLOOKUP($A14, All!$A$1:$AB$699,2,0),300)</f>
        <v>177</v>
      </c>
      <c r="C14" s="8">
        <f>IFERROR(VLOOKUP($A14, All!$A$1:$AB$699,3,0),70)</f>
        <v>76</v>
      </c>
      <c r="D14" s="8">
        <f>IFERROR(VLOOKUP($A14, All!$A$1:$AB$699,4,0),Math!B$2)</f>
        <v>0.42</v>
      </c>
      <c r="E14" s="8">
        <f>IFERROR(VLOOKUP($A14, All!$A$1:$AB$700,5,0),Math!C$2)</f>
        <v>0.81</v>
      </c>
      <c r="F14" s="8">
        <f>IFERROR(VLOOKUP($A14, All!$A$1:$AB$700,6,0),Math!D$2)</f>
        <v>1.5</v>
      </c>
      <c r="G14" s="8">
        <f>IFERROR(VLOOKUP($A14, All!$A$1:$AB$700,7,0),Math!E$2)</f>
        <v>3.4</v>
      </c>
      <c r="H14" s="8">
        <f>IFERROR(VLOOKUP($A14, All!$A$1:$AB$700,8,0),Math!F$2)</f>
        <v>3.8</v>
      </c>
      <c r="I14" s="8">
        <f>IFERROR(VLOOKUP($A14, All!$A$1:$AB$700,9,0),Math!G$2)</f>
        <v>0.7</v>
      </c>
      <c r="J14" s="8">
        <f>IFERROR(VLOOKUP($A14, All!$A$1:$AB$700,10,0),Math!H$2)</f>
        <v>0.2</v>
      </c>
      <c r="K14" s="8">
        <f>IFERROR(VLOOKUP($A14, All!$A$1:$AB$700,11,0),Math!I$2)</f>
        <v>2</v>
      </c>
      <c r="L14" s="8">
        <f>IFERROR(VLOOKUP($A14, All!$A$1:$AB$700,12,0),Math!J$2)</f>
        <v>14.6</v>
      </c>
      <c r="M14" s="8">
        <f>IFERROR(VLOOKUP($A14, All!$A$1:$AB$700,13,0),Math!K$2)</f>
        <v>5.4</v>
      </c>
      <c r="N14" s="8">
        <f>IFERROR(VLOOKUP($A14, All!$A$1:$AB$700,14,0),Math!L$2)</f>
        <v>13</v>
      </c>
      <c r="O14" s="8">
        <f>IFERROR(VLOOKUP($A14, All!$A$1:$AB$700,15,0),Math!M$2)</f>
        <v>2.2000000000000002</v>
      </c>
      <c r="P14" s="8">
        <f>IFERROR(VLOOKUP($A14, All!$A$1:$AB$700,16,0),Math!N$2)</f>
        <v>2.7</v>
      </c>
      <c r="Q14" s="31">
        <f>IFERROR(VLOOKUP($A14, All!$A$1:$AB$700,17,0),0)</f>
        <v>-1.0601114786825276</v>
      </c>
      <c r="R14" s="31">
        <f>IFERROR(VLOOKUP($A14, All!$A$1:$AB$700,18,0),0)</f>
        <v>0.36109665445982869</v>
      </c>
      <c r="S14" s="31">
        <f>IFERROR(VLOOKUP($A14, All!$A$1:$AB$700,19,0),0)</f>
        <v>4.7470984590095355E-2</v>
      </c>
      <c r="T14" s="31">
        <f>IFERROR(VLOOKUP($A14, All!$A$1:$AB$700,20,0),0)</f>
        <v>-0.93219946237969076</v>
      </c>
      <c r="U14" s="31">
        <f>IFERROR(VLOOKUP($A14, All!$A$1:$AB$700,21,0),0)</f>
        <v>0.25858468257085621</v>
      </c>
      <c r="V14" s="31">
        <f>IFERROR(VLOOKUP($A14, All!$A$1:$AB$700,22,0),0)</f>
        <v>-0.71235717318607394</v>
      </c>
      <c r="W14" s="31">
        <f>IFERROR(VLOOKUP($A14, All!$A$1:$AB$700,23,0),0)</f>
        <v>-0.90376288557943862</v>
      </c>
      <c r="X14" s="31">
        <f>IFERROR(VLOOKUP($A14, All!$A$1:$AB$700,24,0),0)</f>
        <v>-0.33337138963818985</v>
      </c>
      <c r="Y14" s="31">
        <f>IFERROR(VLOOKUP($A14, All!$A$1:$AB$700,25,0),0)</f>
        <v>-0.13092664148129513</v>
      </c>
    </row>
    <row r="16" spans="1:25">
      <c r="A16" s="9" t="s">
        <v>123</v>
      </c>
      <c r="B16" s="2" t="s">
        <v>121</v>
      </c>
      <c r="C16" s="10" t="s">
        <v>122</v>
      </c>
      <c r="D16" s="12" t="s">
        <v>129</v>
      </c>
      <c r="E16" s="12" t="s">
        <v>130</v>
      </c>
      <c r="F16" s="11" t="s">
        <v>5</v>
      </c>
      <c r="G16" s="11" t="s">
        <v>6</v>
      </c>
      <c r="H16" s="11" t="s">
        <v>7</v>
      </c>
      <c r="I16" s="11" t="s">
        <v>8</v>
      </c>
      <c r="J16" s="11" t="s">
        <v>9</v>
      </c>
      <c r="K16" s="11" t="s">
        <v>10</v>
      </c>
      <c r="L16" s="11" t="s">
        <v>11</v>
      </c>
      <c r="M16" s="12" t="s">
        <v>12</v>
      </c>
      <c r="N16" s="12" t="s">
        <v>13</v>
      </c>
      <c r="O16" s="4" t="s">
        <v>125</v>
      </c>
      <c r="P16" s="17" t="s">
        <v>126</v>
      </c>
      <c r="Q16" s="17" t="s">
        <v>127</v>
      </c>
      <c r="R16" s="18" t="s">
        <v>128</v>
      </c>
    </row>
    <row r="17" spans="1:18">
      <c r="A17" s="6"/>
      <c r="B17" s="15">
        <f t="shared" ref="B17:N17" si="0">AVERAGE(B2:B14)</f>
        <v>69.461538461538467</v>
      </c>
      <c r="C17" s="15">
        <f t="shared" si="0"/>
        <v>73.538461538461533</v>
      </c>
      <c r="D17" s="15">
        <f t="shared" si="0"/>
        <v>0.48846153846153845</v>
      </c>
      <c r="E17" s="15">
        <f t="shared" si="0"/>
        <v>0.8</v>
      </c>
      <c r="F17" s="15">
        <f t="shared" si="0"/>
        <v>1.7615384615384619</v>
      </c>
      <c r="G17" s="15">
        <f t="shared" si="0"/>
        <v>6.9153846153846157</v>
      </c>
      <c r="H17" s="15">
        <f t="shared" si="0"/>
        <v>3.4615384615384608</v>
      </c>
      <c r="I17" s="15">
        <f t="shared" si="0"/>
        <v>1.046153846153846</v>
      </c>
      <c r="J17" s="15">
        <f t="shared" si="0"/>
        <v>0.62307692307692308</v>
      </c>
      <c r="K17" s="15">
        <f t="shared" si="0"/>
        <v>2.0461538461538464</v>
      </c>
      <c r="L17" s="15">
        <f t="shared" si="0"/>
        <v>18.899999999999999</v>
      </c>
      <c r="M17" s="15">
        <f t="shared" si="0"/>
        <v>6.8076923076923084</v>
      </c>
      <c r="N17" s="15">
        <f t="shared" si="0"/>
        <v>14.115384615384613</v>
      </c>
      <c r="O17" s="16">
        <f>M17/N17</f>
        <v>0.48228882833787479</v>
      </c>
      <c r="P17" s="16">
        <f>AVERAGE(O2:O14)</f>
        <v>3.4846153846153856</v>
      </c>
      <c r="Q17" s="16">
        <f>AVERAGE(P2:P14)</f>
        <v>4.3769230769230782</v>
      </c>
      <c r="R17" s="15">
        <f>P17/Q17</f>
        <v>0.79613356766256593</v>
      </c>
    </row>
    <row r="19" spans="1:18">
      <c r="A19" s="13" t="s">
        <v>124</v>
      </c>
      <c r="B19" s="11" t="s">
        <v>3</v>
      </c>
      <c r="C19" s="11" t="s">
        <v>4</v>
      </c>
      <c r="D19" s="11" t="s">
        <v>5</v>
      </c>
      <c r="E19" s="11" t="s">
        <v>6</v>
      </c>
      <c r="F19" s="11" t="s">
        <v>7</v>
      </c>
      <c r="G19" s="11" t="s">
        <v>8</v>
      </c>
      <c r="H19" s="11" t="s">
        <v>9</v>
      </c>
      <c r="I19" s="11" t="s">
        <v>10</v>
      </c>
      <c r="J19" s="11" t="s">
        <v>11</v>
      </c>
      <c r="K19" s="12" t="s">
        <v>12</v>
      </c>
      <c r="L19" s="12" t="s">
        <v>13</v>
      </c>
      <c r="M19" s="12" t="s">
        <v>126</v>
      </c>
      <c r="N19" s="12" t="s">
        <v>127</v>
      </c>
    </row>
    <row r="20" spans="1:18">
      <c r="A20" s="6"/>
      <c r="B20" s="16">
        <f>K20/L20</f>
        <v>0.48228882833787479</v>
      </c>
      <c r="C20" s="15">
        <f>M20/N20</f>
        <v>0.79613356766256593</v>
      </c>
      <c r="D20" s="15">
        <f t="shared" ref="D20:N20" si="1">SUM(F2:F14)</f>
        <v>22.900000000000006</v>
      </c>
      <c r="E20" s="15">
        <f t="shared" si="1"/>
        <v>89.9</v>
      </c>
      <c r="F20" s="15">
        <f t="shared" si="1"/>
        <v>44.999999999999993</v>
      </c>
      <c r="G20" s="15">
        <f t="shared" si="1"/>
        <v>13.599999999999998</v>
      </c>
      <c r="H20" s="15">
        <f t="shared" si="1"/>
        <v>8.1</v>
      </c>
      <c r="I20" s="15">
        <f t="shared" si="1"/>
        <v>26.6</v>
      </c>
      <c r="J20" s="15">
        <f t="shared" si="1"/>
        <v>245.7</v>
      </c>
      <c r="K20" s="15">
        <f t="shared" si="1"/>
        <v>88.500000000000014</v>
      </c>
      <c r="L20" s="15">
        <f t="shared" si="1"/>
        <v>183.49999999999997</v>
      </c>
      <c r="M20" s="15">
        <f t="shared" si="1"/>
        <v>45.300000000000011</v>
      </c>
      <c r="N20" s="15">
        <f t="shared" si="1"/>
        <v>56.900000000000013</v>
      </c>
    </row>
  </sheetData>
  <sortState xmlns:xlrd2="http://schemas.microsoft.com/office/spreadsheetml/2017/richdata2" ref="A2:P14">
    <sortCondition ref="B2"/>
  </sortState>
  <conditionalFormatting sqref="D2:D14">
    <cfRule type="colorScale" priority="18">
      <colorScale>
        <cfvo type="min"/>
        <cfvo type="percentile" val="50"/>
        <cfvo type="max"/>
        <color rgb="FFF8696B"/>
        <color rgb="FFFFEB84"/>
        <color rgb="FF63BE7B"/>
      </colorScale>
    </cfRule>
  </conditionalFormatting>
  <conditionalFormatting sqref="E2:E14">
    <cfRule type="colorScale" priority="17">
      <colorScale>
        <cfvo type="min"/>
        <cfvo type="percentile" val="50"/>
        <cfvo type="max"/>
        <color rgb="FFF8696B"/>
        <color rgb="FFFFEB84"/>
        <color rgb="FF63BE7B"/>
      </colorScale>
    </cfRule>
  </conditionalFormatting>
  <conditionalFormatting sqref="F2:F14">
    <cfRule type="colorScale" priority="16">
      <colorScale>
        <cfvo type="min"/>
        <cfvo type="percentile" val="50"/>
        <cfvo type="max"/>
        <color rgb="FFF8696B"/>
        <color rgb="FFFFEB84"/>
        <color rgb="FF63BE7B"/>
      </colorScale>
    </cfRule>
  </conditionalFormatting>
  <conditionalFormatting sqref="G2:G14">
    <cfRule type="colorScale" priority="15">
      <colorScale>
        <cfvo type="min"/>
        <cfvo type="percentile" val="50"/>
        <cfvo type="max"/>
        <color rgb="FFF8696B"/>
        <color rgb="FFFFEB84"/>
        <color rgb="FF63BE7B"/>
      </colorScale>
    </cfRule>
  </conditionalFormatting>
  <conditionalFormatting sqref="H2:H14">
    <cfRule type="colorScale" priority="14">
      <colorScale>
        <cfvo type="min"/>
        <cfvo type="percentile" val="50"/>
        <cfvo type="max"/>
        <color rgb="FFF8696B"/>
        <color rgb="FFFFEB84"/>
        <color rgb="FF63BE7B"/>
      </colorScale>
    </cfRule>
  </conditionalFormatting>
  <conditionalFormatting sqref="I2:I14">
    <cfRule type="colorScale" priority="13">
      <colorScale>
        <cfvo type="min"/>
        <cfvo type="percentile" val="50"/>
        <cfvo type="max"/>
        <color rgb="FFF8696B"/>
        <color rgb="FFFFEB84"/>
        <color rgb="FF63BE7B"/>
      </colorScale>
    </cfRule>
  </conditionalFormatting>
  <conditionalFormatting sqref="J2:J14">
    <cfRule type="colorScale" priority="12">
      <colorScale>
        <cfvo type="min"/>
        <cfvo type="percentile" val="50"/>
        <cfvo type="max"/>
        <color rgb="FFF8696B"/>
        <color rgb="FFFFEB84"/>
        <color rgb="FF63BE7B"/>
      </colorScale>
    </cfRule>
  </conditionalFormatting>
  <conditionalFormatting sqref="K2:K14">
    <cfRule type="colorScale" priority="11">
      <colorScale>
        <cfvo type="min"/>
        <cfvo type="percentile" val="50"/>
        <cfvo type="max"/>
        <color rgb="FF63BE7B"/>
        <color rgb="FFFFEB84"/>
        <color rgb="FFF8696B"/>
      </colorScale>
    </cfRule>
  </conditionalFormatting>
  <conditionalFormatting sqref="L2:L14">
    <cfRule type="colorScale" priority="10">
      <colorScale>
        <cfvo type="min"/>
        <cfvo type="percentile" val="50"/>
        <cfvo type="max"/>
        <color rgb="FFF8696B"/>
        <color rgb="FFFFEB84"/>
        <color rgb="FF63BE7B"/>
      </colorScale>
    </cfRule>
  </conditionalFormatting>
  <conditionalFormatting sqref="Q2:Q14">
    <cfRule type="colorScale" priority="9">
      <colorScale>
        <cfvo type="min"/>
        <cfvo type="percentile" val="50"/>
        <cfvo type="max"/>
        <color rgb="FFF8696B"/>
        <color rgb="FFFFEB84"/>
        <color rgb="FF63BE7B"/>
      </colorScale>
    </cfRule>
  </conditionalFormatting>
  <conditionalFormatting sqref="R2:R14">
    <cfRule type="colorScale" priority="8">
      <colorScale>
        <cfvo type="min"/>
        <cfvo type="percentile" val="50"/>
        <cfvo type="max"/>
        <color rgb="FFF8696B"/>
        <color rgb="FFFFEB84"/>
        <color rgb="FF63BE7B"/>
      </colorScale>
    </cfRule>
  </conditionalFormatting>
  <conditionalFormatting sqref="S2:S14">
    <cfRule type="colorScale" priority="7">
      <colorScale>
        <cfvo type="min"/>
        <cfvo type="percentile" val="50"/>
        <cfvo type="max"/>
        <color rgb="FFF8696B"/>
        <color rgb="FFFFEB84"/>
        <color rgb="FF63BE7B"/>
      </colorScale>
    </cfRule>
  </conditionalFormatting>
  <conditionalFormatting sqref="T2:T14">
    <cfRule type="colorScale" priority="6">
      <colorScale>
        <cfvo type="min"/>
        <cfvo type="percentile" val="50"/>
        <cfvo type="max"/>
        <color rgb="FFF8696B"/>
        <color rgb="FFFFEB84"/>
        <color rgb="FF63BE7B"/>
      </colorScale>
    </cfRule>
  </conditionalFormatting>
  <conditionalFormatting sqref="U2:U14">
    <cfRule type="colorScale" priority="5">
      <colorScale>
        <cfvo type="min"/>
        <cfvo type="percentile" val="50"/>
        <cfvo type="max"/>
        <color rgb="FFF8696B"/>
        <color rgb="FFFFEB84"/>
        <color rgb="FF63BE7B"/>
      </colorScale>
    </cfRule>
  </conditionalFormatting>
  <conditionalFormatting sqref="V2:V14">
    <cfRule type="colorScale" priority="4">
      <colorScale>
        <cfvo type="min"/>
        <cfvo type="percentile" val="50"/>
        <cfvo type="max"/>
        <color rgb="FFF8696B"/>
        <color rgb="FFFFEB84"/>
        <color rgb="FF63BE7B"/>
      </colorScale>
    </cfRule>
  </conditionalFormatting>
  <conditionalFormatting sqref="W2:W14">
    <cfRule type="colorScale" priority="3">
      <colorScale>
        <cfvo type="min"/>
        <cfvo type="percentile" val="50"/>
        <cfvo type="max"/>
        <color rgb="FFF8696B"/>
        <color rgb="FFFFEB84"/>
        <color rgb="FF63BE7B"/>
      </colorScale>
    </cfRule>
  </conditionalFormatting>
  <conditionalFormatting sqref="X2:X14">
    <cfRule type="colorScale" priority="2">
      <colorScale>
        <cfvo type="min"/>
        <cfvo type="percentile" val="50"/>
        <cfvo type="max"/>
        <color rgb="FFF8696B"/>
        <color rgb="FFFFEB84"/>
        <color rgb="FF63BE7B"/>
      </colorScale>
    </cfRule>
  </conditionalFormatting>
  <conditionalFormatting sqref="Y2:Y14">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A5EC9E-42A1-EB4B-AB7A-B93563654726}">
  <sheetPr codeName="Sheet13"/>
  <dimension ref="A1:R47"/>
  <sheetViews>
    <sheetView tabSelected="1" workbookViewId="0">
      <selection activeCell="T8" sqref="T8"/>
    </sheetView>
  </sheetViews>
  <sheetFormatPr baseColWidth="10" defaultRowHeight="16"/>
  <cols>
    <col min="1" max="1" width="13" customWidth="1"/>
  </cols>
  <sheetData>
    <row r="1" spans="1:18">
      <c r="A1" s="1" t="s">
        <v>124</v>
      </c>
      <c r="B1" s="24" t="s">
        <v>3</v>
      </c>
      <c r="C1" s="24" t="s">
        <v>4</v>
      </c>
      <c r="D1" s="24" t="s">
        <v>5</v>
      </c>
      <c r="E1" s="24" t="s">
        <v>6</v>
      </c>
      <c r="F1" s="24" t="s">
        <v>7</v>
      </c>
      <c r="G1" s="24" t="s">
        <v>8</v>
      </c>
      <c r="H1" s="24" t="s">
        <v>9</v>
      </c>
      <c r="I1" s="24" t="s">
        <v>10</v>
      </c>
      <c r="J1" s="24" t="s">
        <v>11</v>
      </c>
      <c r="K1" s="12" t="s">
        <v>12</v>
      </c>
      <c r="L1" s="12" t="s">
        <v>13</v>
      </c>
      <c r="M1" s="12" t="s">
        <v>126</v>
      </c>
      <c r="N1" s="12" t="s">
        <v>127</v>
      </c>
    </row>
    <row r="2" spans="1:18">
      <c r="A2" s="6" t="s">
        <v>132</v>
      </c>
      <c r="B2" s="16">
        <f>Justin!B$20</f>
        <v>0.48228882833787479</v>
      </c>
      <c r="C2" s="15">
        <f>Justin!C20</f>
        <v>0.79613356766256593</v>
      </c>
      <c r="D2" s="15">
        <f>Justin!D20</f>
        <v>22.900000000000006</v>
      </c>
      <c r="E2" s="15">
        <f>Justin!E20</f>
        <v>89.9</v>
      </c>
      <c r="F2" s="15">
        <f>Justin!F20</f>
        <v>44.999999999999993</v>
      </c>
      <c r="G2" s="15">
        <f>Justin!G20</f>
        <v>13.599999999999998</v>
      </c>
      <c r="H2" s="15">
        <f>Justin!H20</f>
        <v>8.1</v>
      </c>
      <c r="I2" s="15">
        <f>Justin!I20</f>
        <v>26.6</v>
      </c>
      <c r="J2" s="15">
        <f>Justin!J20</f>
        <v>245.7</v>
      </c>
      <c r="K2" s="15">
        <f>Justin!K20</f>
        <v>88.500000000000014</v>
      </c>
      <c r="L2" s="15">
        <f>Justin!L20</f>
        <v>183.49999999999997</v>
      </c>
      <c r="M2" s="15">
        <f>Justin!M20</f>
        <v>45.300000000000011</v>
      </c>
      <c r="N2" s="15">
        <f>Justin!N20</f>
        <v>56.900000000000013</v>
      </c>
    </row>
    <row r="3" spans="1:18">
      <c r="A3" s="6" t="s">
        <v>133</v>
      </c>
      <c r="B3" s="16">
        <f>Harman!B20</f>
        <v>0.46422628951747064</v>
      </c>
      <c r="C3" s="15">
        <f>Harman!C20</f>
        <v>0.77178423236514504</v>
      </c>
      <c r="D3" s="15">
        <f>Harman!D20</f>
        <v>20.7</v>
      </c>
      <c r="E3" s="15">
        <f>Harman!E20</f>
        <v>77.300000000000011</v>
      </c>
      <c r="F3" s="15">
        <f>Harman!F20</f>
        <v>45.4</v>
      </c>
      <c r="G3" s="15">
        <f>Harman!G20</f>
        <v>10.4</v>
      </c>
      <c r="H3" s="15">
        <f>Harman!H20</f>
        <v>7.4</v>
      </c>
      <c r="I3" s="15">
        <f>Harman!I20</f>
        <v>26.399999999999995</v>
      </c>
      <c r="J3" s="15">
        <f>Harman!J20</f>
        <v>225.1</v>
      </c>
      <c r="K3" s="15">
        <f>Harman!K20</f>
        <v>83.699999999999989</v>
      </c>
      <c r="L3" s="15">
        <f>Harman!L20</f>
        <v>180.30000000000007</v>
      </c>
      <c r="M3" s="15">
        <f>Harman!M20</f>
        <v>37.199999999999989</v>
      </c>
      <c r="N3" s="15">
        <f>Harman!N20</f>
        <v>48.199999999999996</v>
      </c>
    </row>
    <row r="4" spans="1:18">
      <c r="A4" s="6" t="s">
        <v>134</v>
      </c>
      <c r="B4" s="16">
        <f>Karnvir!B20</f>
        <v>0.46214689265536713</v>
      </c>
      <c r="C4" s="15">
        <f>Karnvir!C20</f>
        <v>0.81541582150101399</v>
      </c>
      <c r="D4" s="15">
        <f>Karnvir!D20</f>
        <v>27.200000000000003</v>
      </c>
      <c r="E4" s="15">
        <f>Karnvir!E20</f>
        <v>66.100000000000009</v>
      </c>
      <c r="F4" s="15">
        <f>Karnvir!F20</f>
        <v>52.499999999999993</v>
      </c>
      <c r="G4" s="15">
        <f>Karnvir!G20</f>
        <v>13.499999999999998</v>
      </c>
      <c r="H4" s="15">
        <f>Karnvir!H20</f>
        <v>10.600000000000001</v>
      </c>
      <c r="I4" s="15">
        <f>Karnvir!I20</f>
        <v>26.800000000000004</v>
      </c>
      <c r="J4" s="15">
        <f>Karnvir!J20</f>
        <v>230.9</v>
      </c>
      <c r="K4" s="15">
        <f>Karnvir!K20</f>
        <v>81.8</v>
      </c>
      <c r="L4" s="15">
        <f>Karnvir!L20</f>
        <v>177.00000000000003</v>
      </c>
      <c r="M4" s="15">
        <f>Karnvir!M20</f>
        <v>40.199999999999996</v>
      </c>
      <c r="N4" s="15">
        <f>Karnvir!N20</f>
        <v>49.300000000000004</v>
      </c>
    </row>
    <row r="5" spans="1:18">
      <c r="A5" s="6" t="s">
        <v>135</v>
      </c>
      <c r="B5" s="16">
        <f>Jatin!B20</f>
        <v>0.47065399664617114</v>
      </c>
      <c r="C5" s="15">
        <f>Jatin!C20</f>
        <v>0.80186480186480191</v>
      </c>
      <c r="D5" s="15">
        <f>Jatin!D20</f>
        <v>19.599999999999998</v>
      </c>
      <c r="E5" s="15">
        <f>Jatin!E20</f>
        <v>87.1</v>
      </c>
      <c r="F5" s="15">
        <f>Jatin!F20</f>
        <v>49</v>
      </c>
      <c r="G5" s="15">
        <f>Jatin!G20</f>
        <v>14.599999999999998</v>
      </c>
      <c r="H5" s="15">
        <f>Jatin!H20</f>
        <v>10.199999999999999</v>
      </c>
      <c r="I5" s="15">
        <f>Jatin!I20</f>
        <v>23.6</v>
      </c>
      <c r="J5" s="15">
        <f>Jatin!J20</f>
        <v>222.6</v>
      </c>
      <c r="K5" s="15">
        <f>Jatin!K20</f>
        <v>84.2</v>
      </c>
      <c r="L5" s="15">
        <f>Jatin!L20</f>
        <v>178.89999999999998</v>
      </c>
      <c r="M5" s="15">
        <f>Jatin!M20</f>
        <v>34.4</v>
      </c>
      <c r="N5" s="15">
        <f>Jatin!N20</f>
        <v>42.9</v>
      </c>
    </row>
    <row r="6" spans="1:18">
      <c r="A6" s="6" t="s">
        <v>136</v>
      </c>
      <c r="B6" s="16">
        <f>Harvir!B20</f>
        <v>0.45121263395375077</v>
      </c>
      <c r="C6" s="15">
        <f>Harvir!C20</f>
        <v>0.83686440677966112</v>
      </c>
      <c r="D6" s="15">
        <f>Harvir!D20</f>
        <v>25.800000000000004</v>
      </c>
      <c r="E6" s="15">
        <f>Harvir!E20</f>
        <v>63.4</v>
      </c>
      <c r="F6" s="15">
        <f>Harvir!F20</f>
        <v>64.100000000000009</v>
      </c>
      <c r="G6" s="15">
        <f>Harvir!G20</f>
        <v>13.8</v>
      </c>
      <c r="H6" s="15">
        <f>Harvir!H20</f>
        <v>5.1999999999999993</v>
      </c>
      <c r="I6" s="15">
        <f>Harvir!I20</f>
        <v>26.400000000000002</v>
      </c>
      <c r="J6" s="15">
        <f>Harvir!J20</f>
        <v>225.3</v>
      </c>
      <c r="K6" s="15">
        <f>Harvir!K20</f>
        <v>80</v>
      </c>
      <c r="L6" s="15">
        <f>Harvir!L20</f>
        <v>177.29999999999998</v>
      </c>
      <c r="M6" s="15">
        <f>Harvir!M20</f>
        <v>39.500000000000007</v>
      </c>
      <c r="N6" s="15">
        <f>Harvir!N20</f>
        <v>47.2</v>
      </c>
    </row>
    <row r="7" spans="1:18">
      <c r="A7" s="6" t="s">
        <v>137</v>
      </c>
      <c r="B7" s="16">
        <f>Sartaj!B20</f>
        <v>0.49313976621531708</v>
      </c>
      <c r="C7" s="15">
        <f>Sartaj!C20</f>
        <v>0.81295655872616635</v>
      </c>
      <c r="D7" s="15">
        <f>Sartaj!D20</f>
        <v>18.456000000000003</v>
      </c>
      <c r="E7" s="15">
        <f>Sartaj!E20</f>
        <v>85.554500000000004</v>
      </c>
      <c r="F7" s="15">
        <f>Sartaj!F20</f>
        <v>41.084499999999998</v>
      </c>
      <c r="G7" s="15">
        <f>Sartaj!G20</f>
        <v>14.370000000000001</v>
      </c>
      <c r="H7" s="15">
        <f>Sartaj!H20</f>
        <v>11.690999999999997</v>
      </c>
      <c r="I7" s="15">
        <f>Sartaj!I20</f>
        <v>24.051499999999997</v>
      </c>
      <c r="J7" s="15">
        <f>Sartaj!J20</f>
        <v>215.553</v>
      </c>
      <c r="K7" s="15">
        <f>Sartaj!K20</f>
        <v>76.717999999999989</v>
      </c>
      <c r="L7" s="15">
        <f>Sartaj!L20</f>
        <v>155.57050000000001</v>
      </c>
      <c r="M7" s="15">
        <f>Sartaj!M20</f>
        <v>43.958999999999996</v>
      </c>
      <c r="N7" s="15">
        <f>Sartaj!N20</f>
        <v>54.073</v>
      </c>
    </row>
    <row r="8" spans="1:18">
      <c r="A8" s="6" t="s">
        <v>138</v>
      </c>
      <c r="B8" s="16">
        <f>Ajay!B20</f>
        <v>0.48511831148487089</v>
      </c>
      <c r="C8" s="15">
        <f>Ajay!C20</f>
        <v>0.73714373334866679</v>
      </c>
      <c r="D8" s="15">
        <f>Ajay!D20</f>
        <v>18.155999999999999</v>
      </c>
      <c r="E8" s="15">
        <f>Ajay!E20</f>
        <v>96.854499999999987</v>
      </c>
      <c r="F8" s="15">
        <f>Ajay!F20</f>
        <v>54.484499999999997</v>
      </c>
      <c r="G8" s="15">
        <f>Ajay!G20</f>
        <v>13.17</v>
      </c>
      <c r="H8" s="15">
        <f>Ajay!H20</f>
        <v>9.2909999999999968</v>
      </c>
      <c r="I8" s="15">
        <f>Ajay!I20</f>
        <v>29.451500000000006</v>
      </c>
      <c r="J8" s="15">
        <f>Ajay!J20</f>
        <v>227.55299999999994</v>
      </c>
      <c r="K8" s="15">
        <f>Ajay!K20</f>
        <v>85.317999999999984</v>
      </c>
      <c r="L8" s="15">
        <f>Ajay!L20</f>
        <v>175.87049999999999</v>
      </c>
      <c r="M8" s="15">
        <f>Ajay!M20</f>
        <v>38.458999999999989</v>
      </c>
      <c r="N8" s="15">
        <f>Ajay!N20</f>
        <v>52.172999999999995</v>
      </c>
    </row>
    <row r="9" spans="1:18">
      <c r="A9" s="6" t="s">
        <v>139</v>
      </c>
      <c r="B9" s="16">
        <f>Angad!B20</f>
        <v>0.50776880049720319</v>
      </c>
      <c r="C9" s="15">
        <f>Angad!C20</f>
        <v>0.71004942339373966</v>
      </c>
      <c r="D9" s="15">
        <f>Angad!D20</f>
        <v>9.5</v>
      </c>
      <c r="E9" s="15">
        <f>Angad!E20</f>
        <v>112.99999999999999</v>
      </c>
      <c r="F9" s="15">
        <f>Angad!F20</f>
        <v>38.199999999999996</v>
      </c>
      <c r="G9" s="15">
        <f>Angad!G20</f>
        <v>13.6</v>
      </c>
      <c r="H9" s="15">
        <f>Angad!H20</f>
        <v>14.800000000000002</v>
      </c>
      <c r="I9" s="15">
        <f>Angad!I20</f>
        <v>25.599999999999998</v>
      </c>
      <c r="J9" s="15">
        <f>Angad!J20</f>
        <v>215.9</v>
      </c>
      <c r="K9" s="15">
        <f>Angad!K20</f>
        <v>81.7</v>
      </c>
      <c r="L9" s="15">
        <f>Angad!L20</f>
        <v>160.9</v>
      </c>
      <c r="M9" s="15">
        <f>Angad!M20</f>
        <v>43.099999999999994</v>
      </c>
      <c r="N9" s="15">
        <f>Angad!N20</f>
        <v>60.699999999999996</v>
      </c>
    </row>
    <row r="10" spans="1:18">
      <c r="A10" s="6" t="s">
        <v>140</v>
      </c>
      <c r="B10" s="16">
        <f>Arsh!B20</f>
        <v>0.48123324396782846</v>
      </c>
      <c r="C10" s="15">
        <f>Arsh!C20</f>
        <v>0.79342723004694826</v>
      </c>
      <c r="D10" s="15">
        <f>Arsh!D20</f>
        <v>16.600000000000001</v>
      </c>
      <c r="E10" s="15">
        <f>Arsh!E20</f>
        <v>73.200000000000017</v>
      </c>
      <c r="F10" s="15">
        <f>Arsh!F20</f>
        <v>57.79999999999999</v>
      </c>
      <c r="G10" s="15">
        <f>Arsh!G20</f>
        <v>15.1</v>
      </c>
      <c r="H10" s="15">
        <f>Arsh!H20</f>
        <v>10.399999999999999</v>
      </c>
      <c r="I10" s="15">
        <f>Arsh!I20</f>
        <v>23.9</v>
      </c>
      <c r="J10" s="15">
        <f>Arsh!J20</f>
        <v>193.8</v>
      </c>
      <c r="K10" s="15">
        <f>Arsh!K20</f>
        <v>71.800000000000011</v>
      </c>
      <c r="L10" s="15">
        <f>Arsh!L20</f>
        <v>149.20000000000002</v>
      </c>
      <c r="M10" s="15">
        <f>Arsh!M20</f>
        <v>33.799999999999997</v>
      </c>
      <c r="N10" s="15">
        <f>Arsh!N20</f>
        <v>42.6</v>
      </c>
    </row>
    <row r="11" spans="1:18">
      <c r="A11" s="6" t="s">
        <v>141</v>
      </c>
      <c r="B11" s="16">
        <f>Joban!B20</f>
        <v>0.4825014343086631</v>
      </c>
      <c r="C11" s="15">
        <f>Joban!C20</f>
        <v>0.80260707635009298</v>
      </c>
      <c r="D11" s="15">
        <f>Joban!D20</f>
        <v>19.200000000000003</v>
      </c>
      <c r="E11" s="15">
        <f>Joban!E20</f>
        <v>94.399999999999991</v>
      </c>
      <c r="F11" s="15">
        <f>Joban!F20</f>
        <v>41</v>
      </c>
      <c r="G11" s="15">
        <f>Joban!G20</f>
        <v>16.7</v>
      </c>
      <c r="H11" s="15">
        <f>Joban!H20</f>
        <v>14.700000000000001</v>
      </c>
      <c r="I11" s="15">
        <f>Joban!I20</f>
        <v>26.4</v>
      </c>
      <c r="J11" s="15">
        <f>Joban!J20</f>
        <v>230.70000000000005</v>
      </c>
      <c r="K11" s="15">
        <f>Joban!K20</f>
        <v>84.1</v>
      </c>
      <c r="L11" s="15">
        <f>Joban!L20</f>
        <v>174.30000000000004</v>
      </c>
      <c r="M11" s="15">
        <f>Joban!M20</f>
        <v>43.1</v>
      </c>
      <c r="N11" s="15">
        <f>Joban!N20</f>
        <v>53.70000000000001</v>
      </c>
    </row>
    <row r="13" spans="1:18">
      <c r="A13" s="1" t="s">
        <v>123</v>
      </c>
      <c r="B13" s="21" t="s">
        <v>121</v>
      </c>
      <c r="C13" s="22" t="s">
        <v>122</v>
      </c>
      <c r="D13" s="23" t="s">
        <v>129</v>
      </c>
      <c r="E13" s="23" t="s">
        <v>130</v>
      </c>
      <c r="F13" s="25" t="s">
        <v>5</v>
      </c>
      <c r="G13" s="25" t="s">
        <v>6</v>
      </c>
      <c r="H13" s="25" t="s">
        <v>7</v>
      </c>
      <c r="I13" s="25" t="s">
        <v>8</v>
      </c>
      <c r="J13" s="25" t="s">
        <v>9</v>
      </c>
      <c r="K13" s="25" t="s">
        <v>10</v>
      </c>
      <c r="L13" s="25" t="s">
        <v>11</v>
      </c>
      <c r="M13" s="23" t="s">
        <v>12</v>
      </c>
      <c r="N13" s="23" t="s">
        <v>13</v>
      </c>
      <c r="O13" s="26" t="s">
        <v>125</v>
      </c>
      <c r="P13" s="17" t="s">
        <v>126</v>
      </c>
      <c r="Q13" s="17" t="s">
        <v>127</v>
      </c>
      <c r="R13" s="26" t="s">
        <v>128</v>
      </c>
    </row>
    <row r="14" spans="1:18">
      <c r="A14" s="6" t="s">
        <v>132</v>
      </c>
      <c r="B14" s="15">
        <f>Justin!B17</f>
        <v>69.461538461538467</v>
      </c>
      <c r="C14" s="15">
        <f>Justin!C17</f>
        <v>73.538461538461533</v>
      </c>
      <c r="D14" s="15">
        <f>Justin!D17</f>
        <v>0.48846153846153845</v>
      </c>
      <c r="E14" s="15">
        <f>Justin!E17</f>
        <v>0.8</v>
      </c>
      <c r="F14" s="15">
        <f>Justin!F17</f>
        <v>1.7615384615384619</v>
      </c>
      <c r="G14" s="15">
        <f>Justin!G17</f>
        <v>6.9153846153846157</v>
      </c>
      <c r="H14" s="15">
        <f>Justin!H17</f>
        <v>3.4615384615384608</v>
      </c>
      <c r="I14" s="15">
        <f>Justin!I17</f>
        <v>1.046153846153846</v>
      </c>
      <c r="J14" s="15">
        <f>Justin!J17</f>
        <v>0.62307692307692308</v>
      </c>
      <c r="K14" s="15">
        <f>Justin!K17</f>
        <v>2.0461538461538464</v>
      </c>
      <c r="L14" s="15">
        <f>Justin!L17</f>
        <v>18.899999999999999</v>
      </c>
      <c r="M14" s="15">
        <f>Justin!M17</f>
        <v>6.8076923076923084</v>
      </c>
      <c r="N14" s="15">
        <f>Justin!N17</f>
        <v>14.115384615384613</v>
      </c>
      <c r="O14" s="15">
        <f>Justin!O17</f>
        <v>0.48228882833787479</v>
      </c>
      <c r="P14" s="15">
        <f>Justin!P17</f>
        <v>3.4846153846153856</v>
      </c>
      <c r="Q14" s="15">
        <f>Justin!Q17</f>
        <v>4.3769230769230782</v>
      </c>
      <c r="R14" s="15">
        <f>Justin!R17</f>
        <v>0.79613356766256593</v>
      </c>
    </row>
    <row r="15" spans="1:18">
      <c r="A15" s="6" t="s">
        <v>133</v>
      </c>
      <c r="B15" s="15">
        <f>Harman!B17</f>
        <v>102.07692307692308</v>
      </c>
      <c r="C15" s="15">
        <f>Harman!C17</f>
        <v>74.615384615384613</v>
      </c>
      <c r="D15" s="15">
        <f>Harman!D17</f>
        <v>0.47307692307692317</v>
      </c>
      <c r="E15" s="15">
        <f>Harman!E17</f>
        <v>0.77999999999999992</v>
      </c>
      <c r="F15" s="15">
        <f>Harman!F17</f>
        <v>1.5923076923076922</v>
      </c>
      <c r="G15" s="15">
        <f>Harman!G17</f>
        <v>5.9461538461538472</v>
      </c>
      <c r="H15" s="15">
        <f>Harman!H17</f>
        <v>3.4923076923076923</v>
      </c>
      <c r="I15" s="15">
        <f>Harman!I17</f>
        <v>0.8</v>
      </c>
      <c r="J15" s="15">
        <f>Harman!J17</f>
        <v>0.56923076923076921</v>
      </c>
      <c r="K15" s="15">
        <f>Harman!K17</f>
        <v>2.0307692307692302</v>
      </c>
      <c r="L15" s="15">
        <f>Harman!L17</f>
        <v>17.315384615384616</v>
      </c>
      <c r="M15" s="15">
        <f>Harman!M17</f>
        <v>6.4384615384615378</v>
      </c>
      <c r="N15" s="15">
        <f>Harman!N17</f>
        <v>13.869230769230775</v>
      </c>
      <c r="O15" s="15">
        <f>Harman!O17</f>
        <v>0.46422628951747064</v>
      </c>
      <c r="P15" s="15">
        <f>Harman!P17</f>
        <v>2.8615384615384607</v>
      </c>
      <c r="Q15" s="15">
        <f>Harman!Q17</f>
        <v>3.7076923076923074</v>
      </c>
      <c r="R15" s="15">
        <f>Harman!R17</f>
        <v>0.77178423236514504</v>
      </c>
    </row>
    <row r="16" spans="1:18">
      <c r="A16" s="6" t="s">
        <v>134</v>
      </c>
      <c r="B16" s="15">
        <f>Karnvir!B17</f>
        <v>65.615384615384613</v>
      </c>
      <c r="C16" s="15">
        <f>Karnvir!C17</f>
        <v>71.615384615384613</v>
      </c>
      <c r="D16" s="15">
        <f>Karnvir!D17</f>
        <v>0.46230769230769231</v>
      </c>
      <c r="E16" s="15">
        <f>Karnvir!E17</f>
        <v>0.81</v>
      </c>
      <c r="F16" s="15">
        <f>Karnvir!F17</f>
        <v>2.0923076923076924</v>
      </c>
      <c r="G16" s="15">
        <f>Karnvir!G17</f>
        <v>5.0846153846153852</v>
      </c>
      <c r="H16" s="15">
        <f>Karnvir!H17</f>
        <v>4.0384615384615383</v>
      </c>
      <c r="I16" s="15">
        <f>Karnvir!I17</f>
        <v>1.0384615384615383</v>
      </c>
      <c r="J16" s="15">
        <f>Karnvir!J17</f>
        <v>0.81538461538461549</v>
      </c>
      <c r="K16" s="15">
        <f>Karnvir!K17</f>
        <v>2.0615384615384618</v>
      </c>
      <c r="L16" s="15">
        <f>Karnvir!L17</f>
        <v>17.761538461538461</v>
      </c>
      <c r="M16" s="15">
        <f>Karnvir!M17</f>
        <v>6.2923076923076922</v>
      </c>
      <c r="N16" s="15">
        <f>Karnvir!N17</f>
        <v>13.615384615384617</v>
      </c>
      <c r="O16" s="15">
        <f>Karnvir!O17</f>
        <v>0.46214689265536718</v>
      </c>
      <c r="P16" s="15">
        <f>Karnvir!P17</f>
        <v>3.092307692307692</v>
      </c>
      <c r="Q16" s="15">
        <f>Karnvir!Q17</f>
        <v>3.7923076923076926</v>
      </c>
      <c r="R16" s="15">
        <f>Karnvir!R17</f>
        <v>0.8154158215010141</v>
      </c>
    </row>
    <row r="17" spans="1:18">
      <c r="A17" s="6" t="s">
        <v>135</v>
      </c>
      <c r="B17" s="15">
        <f>Jatin!B17</f>
        <v>67.92307692307692</v>
      </c>
      <c r="C17" s="15">
        <f>Jatin!C17</f>
        <v>73.84615384615384</v>
      </c>
      <c r="D17" s="15">
        <f>Jatin!D17</f>
        <v>0.47000000000000003</v>
      </c>
      <c r="E17" s="15">
        <f>Jatin!E17</f>
        <v>0.78384615384615397</v>
      </c>
      <c r="F17" s="15">
        <f>Jatin!F17</f>
        <v>1.5076923076923074</v>
      </c>
      <c r="G17" s="15">
        <f>Jatin!G17</f>
        <v>6.6999999999999993</v>
      </c>
      <c r="H17" s="15">
        <f>Jatin!H17</f>
        <v>3.7692307692307692</v>
      </c>
      <c r="I17" s="15">
        <f>Jatin!I17</f>
        <v>1.1230769230769229</v>
      </c>
      <c r="J17" s="15">
        <f>Jatin!J17</f>
        <v>0.7846153846153846</v>
      </c>
      <c r="K17" s="15">
        <f>Jatin!K17</f>
        <v>1.8153846153846156</v>
      </c>
      <c r="L17" s="15">
        <f>Jatin!L17</f>
        <v>17.123076923076923</v>
      </c>
      <c r="M17" s="15">
        <f>Jatin!M17</f>
        <v>6.476923076923077</v>
      </c>
      <c r="N17" s="15">
        <f>Jatin!N17</f>
        <v>13.761538461538461</v>
      </c>
      <c r="O17" s="15">
        <f>Jatin!O17</f>
        <v>0.47065399664617108</v>
      </c>
      <c r="P17" s="15">
        <f>Jatin!P17</f>
        <v>2.6461538461538461</v>
      </c>
      <c r="Q17" s="15">
        <f>Jatin!Q17</f>
        <v>3.3</v>
      </c>
      <c r="R17" s="15">
        <f>Jatin!R17</f>
        <v>0.80186480186480191</v>
      </c>
    </row>
    <row r="18" spans="1:18">
      <c r="A18" s="6" t="s">
        <v>136</v>
      </c>
      <c r="B18" s="15">
        <f>Harvir!B17</f>
        <v>71.615384615384613</v>
      </c>
      <c r="C18" s="15">
        <f>Harvir!C17</f>
        <v>71.769230769230774</v>
      </c>
      <c r="D18" s="15">
        <f>Harvir!D17</f>
        <v>0.44769230769230767</v>
      </c>
      <c r="E18" s="15">
        <f>Harvir!E17</f>
        <v>0.83769230769230763</v>
      </c>
      <c r="F18" s="15">
        <f>Harvir!F17</f>
        <v>1.9846153846153849</v>
      </c>
      <c r="G18" s="15">
        <f>Harvir!G17</f>
        <v>4.8769230769230765</v>
      </c>
      <c r="H18" s="15">
        <f>Harvir!H17</f>
        <v>4.930769230769231</v>
      </c>
      <c r="I18" s="15">
        <f>Harvir!I17</f>
        <v>1.0615384615384615</v>
      </c>
      <c r="J18" s="15">
        <f>Harvir!J17</f>
        <v>0.39999999999999997</v>
      </c>
      <c r="K18" s="15">
        <f>Harvir!K17</f>
        <v>2.0307692307692311</v>
      </c>
      <c r="L18" s="15">
        <f>Harvir!L17</f>
        <v>17.330769230769231</v>
      </c>
      <c r="M18" s="15">
        <f>Harvir!M17</f>
        <v>6.1538461538461542</v>
      </c>
      <c r="N18" s="15">
        <f>Harvir!N17</f>
        <v>13.638461538461538</v>
      </c>
      <c r="O18" s="15">
        <f>Harvir!O17</f>
        <v>0.45121263395375072</v>
      </c>
      <c r="P18" s="15">
        <f>Harvir!P17</f>
        <v>3.0384615384615392</v>
      </c>
      <c r="Q18" s="15">
        <f>Harvir!Q17</f>
        <v>3.6307692307692312</v>
      </c>
      <c r="R18" s="15">
        <f>Harvir!R17</f>
        <v>0.83686440677966112</v>
      </c>
    </row>
    <row r="19" spans="1:18">
      <c r="A19" s="6" t="s">
        <v>137</v>
      </c>
      <c r="B19" s="15">
        <f>Sartaj!B17</f>
        <v>74.84615384615384</v>
      </c>
      <c r="C19" s="15">
        <f>Sartaj!C17</f>
        <v>71.15384615384616</v>
      </c>
      <c r="D19" s="15">
        <f>Sartaj!D17</f>
        <v>0.49748846153846149</v>
      </c>
      <c r="E19" s="15">
        <f>Sartaj!E17</f>
        <v>0.80155384615384606</v>
      </c>
      <c r="F19" s="15">
        <f>Sartaj!F17</f>
        <v>1.419692307692308</v>
      </c>
      <c r="G19" s="15">
        <f>Sartaj!G17</f>
        <v>6.5811153846153854</v>
      </c>
      <c r="H19" s="15">
        <f>Sartaj!H17</f>
        <v>3.1603461538461537</v>
      </c>
      <c r="I19" s="15">
        <f>Sartaj!I17</f>
        <v>1.1053846153846154</v>
      </c>
      <c r="J19" s="15">
        <f>Sartaj!J17</f>
        <v>0.89930769230769214</v>
      </c>
      <c r="K19" s="15">
        <f>Sartaj!K17</f>
        <v>1.8501153846153844</v>
      </c>
      <c r="L19" s="15">
        <f>Sartaj!L17</f>
        <v>16.581</v>
      </c>
      <c r="M19" s="15">
        <f>Sartaj!M17</f>
        <v>5.9013846153846146</v>
      </c>
      <c r="N19" s="15">
        <f>Sartaj!N17</f>
        <v>11.96696153846154</v>
      </c>
      <c r="O19" s="15">
        <f>Sartaj!O17</f>
        <v>0.49313976621531702</v>
      </c>
      <c r="P19" s="15">
        <f>Sartaj!P17</f>
        <v>3.3814615384615383</v>
      </c>
      <c r="Q19" s="15">
        <f>Sartaj!Q17</f>
        <v>4.1594615384615388</v>
      </c>
      <c r="R19" s="15">
        <f>Sartaj!R17</f>
        <v>0.81295655872616635</v>
      </c>
    </row>
    <row r="20" spans="1:18">
      <c r="A20" s="6" t="s">
        <v>138</v>
      </c>
      <c r="B20" s="15">
        <f>Ajay!B17</f>
        <v>89.461538461538467</v>
      </c>
      <c r="C20" s="15">
        <f>Ajay!C17</f>
        <v>72.84615384615384</v>
      </c>
      <c r="D20" s="15">
        <f>Ajay!D17</f>
        <v>0.48902692307692308</v>
      </c>
      <c r="E20" s="15">
        <f>Ajay!E17</f>
        <v>0.74309230769230772</v>
      </c>
      <c r="F20" s="15">
        <f>Ajay!F17</f>
        <v>1.3966153846153846</v>
      </c>
      <c r="G20" s="15">
        <f>Ajay!G17</f>
        <v>7.4503461538461533</v>
      </c>
      <c r="H20" s="15">
        <f>Ajay!H17</f>
        <v>4.1911153846153848</v>
      </c>
      <c r="I20" s="15">
        <f>Ajay!I17</f>
        <v>1.013076923076923</v>
      </c>
      <c r="J20" s="15">
        <f>Ajay!J17</f>
        <v>0.7146923076923074</v>
      </c>
      <c r="K20" s="15">
        <f>Ajay!K17</f>
        <v>2.2655000000000003</v>
      </c>
      <c r="L20" s="15">
        <f>Ajay!L17</f>
        <v>17.504076923076919</v>
      </c>
      <c r="M20" s="15">
        <f>Ajay!M17</f>
        <v>6.5629230769230755</v>
      </c>
      <c r="N20" s="15">
        <f>Ajay!N17</f>
        <v>13.528499999999999</v>
      </c>
      <c r="O20" s="15">
        <f>Ajay!O17</f>
        <v>0.48511831148487089</v>
      </c>
      <c r="P20" s="15">
        <f>Ajay!P17</f>
        <v>2.9583846153846145</v>
      </c>
      <c r="Q20" s="15">
        <f>Ajay!Q17</f>
        <v>4.0133076923076922</v>
      </c>
      <c r="R20" s="15">
        <f>Ajay!R17</f>
        <v>0.73714373334866667</v>
      </c>
    </row>
    <row r="21" spans="1:18">
      <c r="A21" s="6" t="s">
        <v>139</v>
      </c>
      <c r="B21" s="15">
        <f>Angad!B17</f>
        <v>76.07692307692308</v>
      </c>
      <c r="C21" s="15">
        <f>Angad!C17</f>
        <v>74.15384615384616</v>
      </c>
      <c r="D21" s="15">
        <f>Angad!D17</f>
        <v>0.51538461538461544</v>
      </c>
      <c r="E21" s="15">
        <f>Angad!E17</f>
        <v>0.70384615384615379</v>
      </c>
      <c r="F21" s="15">
        <f>Angad!F17</f>
        <v>0.73076923076923073</v>
      </c>
      <c r="G21" s="15">
        <f>Angad!G17</f>
        <v>8.6923076923076916</v>
      </c>
      <c r="H21" s="15">
        <f>Angad!H17</f>
        <v>2.9384615384615382</v>
      </c>
      <c r="I21" s="15">
        <f>Angad!I17</f>
        <v>1.0461538461538462</v>
      </c>
      <c r="J21" s="15">
        <f>Angad!J17</f>
        <v>1.1384615384615386</v>
      </c>
      <c r="K21" s="15">
        <f>Angad!K17</f>
        <v>1.9692307692307691</v>
      </c>
      <c r="L21" s="15">
        <f>Angad!L17</f>
        <v>16.607692307692307</v>
      </c>
      <c r="M21" s="15">
        <f>Angad!M17</f>
        <v>6.2846153846153845</v>
      </c>
      <c r="N21" s="15">
        <f>Angad!N17</f>
        <v>12.376923076923077</v>
      </c>
      <c r="O21" s="15">
        <f>Angad!O17</f>
        <v>0.50776880049720319</v>
      </c>
      <c r="P21" s="15">
        <f>Angad!P17</f>
        <v>3.3153846153846152</v>
      </c>
      <c r="Q21" s="15">
        <f>Angad!Q17</f>
        <v>4.6692307692307686</v>
      </c>
      <c r="R21" s="15">
        <f>Angad!R17</f>
        <v>0.71004942339373978</v>
      </c>
    </row>
    <row r="22" spans="1:18">
      <c r="A22" s="6" t="s">
        <v>140</v>
      </c>
      <c r="B22" s="15">
        <f>Arsh!B17</f>
        <v>64.615384615384613</v>
      </c>
      <c r="C22" s="15">
        <f>Arsh!C17</f>
        <v>73.84615384615384</v>
      </c>
      <c r="D22" s="15">
        <f>Arsh!D17</f>
        <v>0.48538461538461541</v>
      </c>
      <c r="E22" s="15">
        <f>Arsh!E17</f>
        <v>0.79769230769230781</v>
      </c>
      <c r="F22" s="15">
        <f>Arsh!F17</f>
        <v>1.276923076923077</v>
      </c>
      <c r="G22" s="15">
        <f>Arsh!G17</f>
        <v>5.6307692307692321</v>
      </c>
      <c r="H22" s="15">
        <f>Arsh!H17</f>
        <v>4.4461538461538455</v>
      </c>
      <c r="I22" s="15">
        <f>Arsh!I17</f>
        <v>1.1615384615384614</v>
      </c>
      <c r="J22" s="15">
        <f>Arsh!J17</f>
        <v>0.79999999999999993</v>
      </c>
      <c r="K22" s="15">
        <f>Arsh!K17</f>
        <v>1.8384615384615384</v>
      </c>
      <c r="L22" s="15">
        <f>Arsh!L17</f>
        <v>14.907692307692308</v>
      </c>
      <c r="M22" s="15">
        <f>Arsh!M17</f>
        <v>5.5230769230769239</v>
      </c>
      <c r="N22" s="15">
        <f>Arsh!N17</f>
        <v>11.476923076923079</v>
      </c>
      <c r="O22" s="15">
        <f>Arsh!O17</f>
        <v>0.48123324396782841</v>
      </c>
      <c r="P22" s="15">
        <f>Arsh!P17</f>
        <v>2.5999999999999996</v>
      </c>
      <c r="Q22" s="15">
        <f>Arsh!Q17</f>
        <v>3.2769230769230768</v>
      </c>
      <c r="R22" s="15">
        <f>Arsh!R17</f>
        <v>0.79342723004694826</v>
      </c>
    </row>
    <row r="23" spans="1:18">
      <c r="A23" s="6" t="s">
        <v>896</v>
      </c>
      <c r="B23" s="15">
        <f>Joban!B17</f>
        <v>51.230769230769234</v>
      </c>
      <c r="C23" s="15">
        <f>Joban!C17</f>
        <v>73</v>
      </c>
      <c r="D23" s="15">
        <f>Joban!D17</f>
        <v>0.49</v>
      </c>
      <c r="E23" s="15">
        <f>Joban!E17</f>
        <v>0.78538461538461546</v>
      </c>
      <c r="F23" s="15">
        <f>Joban!F17</f>
        <v>1.4769230769230772</v>
      </c>
      <c r="G23" s="15">
        <f>Joban!G17</f>
        <v>7.2615384615384606</v>
      </c>
      <c r="H23" s="15">
        <f>Joban!H17</f>
        <v>3.1538461538461537</v>
      </c>
      <c r="I23" s="15">
        <f>Joban!I17</f>
        <v>1.2846153846153845</v>
      </c>
      <c r="J23" s="15">
        <f>Joban!J17</f>
        <v>1.1307692307692307</v>
      </c>
      <c r="K23" s="15">
        <f>Joban!K17</f>
        <v>2.0307692307692307</v>
      </c>
      <c r="L23" s="15">
        <f>Joban!L17</f>
        <v>17.746153846153849</v>
      </c>
      <c r="M23" s="15">
        <f>Joban!M17</f>
        <v>6.4692307692307685</v>
      </c>
      <c r="N23" s="15">
        <f>Joban!N17</f>
        <v>13.407692307692312</v>
      </c>
      <c r="O23" s="15">
        <f>Joban!O17</f>
        <v>0.48250143430866305</v>
      </c>
      <c r="P23" s="15">
        <f>Joban!P17</f>
        <v>3.3153846153846156</v>
      </c>
      <c r="Q23" s="15">
        <f>Joban!Q17</f>
        <v>4.1307692307692312</v>
      </c>
      <c r="R23" s="15">
        <f>Joban!R17</f>
        <v>0.8026070763500931</v>
      </c>
    </row>
    <row r="25" spans="1:18">
      <c r="A25" s="87" t="s">
        <v>646</v>
      </c>
      <c r="B25" s="84" t="s">
        <v>3</v>
      </c>
      <c r="C25" s="84" t="s">
        <v>4</v>
      </c>
      <c r="D25" s="84" t="s">
        <v>5</v>
      </c>
      <c r="E25" s="84" t="s">
        <v>6</v>
      </c>
      <c r="F25" s="84" t="s">
        <v>7</v>
      </c>
      <c r="G25" s="84" t="s">
        <v>8</v>
      </c>
      <c r="H25" s="84" t="s">
        <v>9</v>
      </c>
      <c r="I25" s="84" t="s">
        <v>10</v>
      </c>
      <c r="J25" s="84" t="s">
        <v>11</v>
      </c>
      <c r="K25" s="85" t="s">
        <v>12</v>
      </c>
      <c r="L25" s="85" t="s">
        <v>13</v>
      </c>
      <c r="M25" s="85" t="s">
        <v>126</v>
      </c>
      <c r="N25" s="85" t="s">
        <v>127</v>
      </c>
    </row>
    <row r="26" spans="1:18">
      <c r="A26" s="6" t="s">
        <v>132</v>
      </c>
      <c r="B26" s="86">
        <f>(Rankings!B2-Math!B$23)/Math!B$24</f>
        <v>0.2931952017817589</v>
      </c>
      <c r="C26" s="86">
        <f>(Rankings!C2-Math!C$23)/Math!C$24</f>
        <v>0.26833728250941297</v>
      </c>
      <c r="D26" s="86">
        <f>(Rankings!D2-Math!D$23)/Math!D$24</f>
        <v>0.62133562599733227</v>
      </c>
      <c r="E26" s="86">
        <f>(Rankings!E2-Math!E$23)/Math!E$24</f>
        <v>0.34472910687308306</v>
      </c>
      <c r="F26" s="86">
        <f>(Rankings!F2-Math!F$23)/Math!F$24</f>
        <v>-0.46475417597850571</v>
      </c>
      <c r="G26" s="86">
        <f>(Rankings!G2-Math!G$23)/Math!G$24</f>
        <v>-0.17718788894741064</v>
      </c>
      <c r="H26" s="86">
        <f>(Rankings!H2-Math!H$23)/Math!H$24</f>
        <v>-0.70882903245478157</v>
      </c>
      <c r="I26" s="86">
        <f>(-1)*(Rankings!I2-Math!I$23)/Math!I$24</f>
        <v>-0.38915267604676373</v>
      </c>
      <c r="J26" s="86">
        <f>(Rankings!J2-Math!J$23)/Math!J$24</f>
        <v>1.6661749689818</v>
      </c>
      <c r="K26" s="86">
        <f>(Rankings!K2-Math!K$23)/Math!K$24</f>
        <v>1.4212137212342399</v>
      </c>
      <c r="L26" s="86">
        <f>(Rankings!L2-Math!L$23)/Math!L$24</f>
        <v>1.0449620145573464</v>
      </c>
      <c r="M26" s="86">
        <f>(Rankings!M2-Math!M$23)/Math!M$24</f>
        <v>1.3533525788084704</v>
      </c>
      <c r="N26" s="86">
        <f>(Rankings!N2-Math!N$23)/Math!N$24</f>
        <v>1.0473511954722294</v>
      </c>
    </row>
    <row r="27" spans="1:18">
      <c r="A27" s="6" t="s">
        <v>133</v>
      </c>
      <c r="B27" s="86">
        <f>(Rankings!B3-Math!B$23)/Math!B$24</f>
        <v>-0.80656978582801098</v>
      </c>
      <c r="C27" s="86">
        <f>(Rankings!C3-Math!C$23)/Math!C$24</f>
        <v>-0.36773649684926263</v>
      </c>
      <c r="D27" s="86">
        <f>(Rankings!D3-Math!D$23)/Math!D$24</f>
        <v>0.17878888383398928</v>
      </c>
      <c r="E27" s="86">
        <f>(Rankings!E3-Math!E$23)/Math!E$24</f>
        <v>-0.48751912492949495</v>
      </c>
      <c r="F27" s="86">
        <f>(Rankings!F3-Math!F$23)/Math!F$24</f>
        <v>-0.41655441181780545</v>
      </c>
      <c r="G27" s="86">
        <f>(Rankings!G3-Math!G$23)/Math!G$24</f>
        <v>-2.1736711446928885</v>
      </c>
      <c r="H27" s="86">
        <f>(Rankings!H3-Math!H$23)/Math!H$24</f>
        <v>-0.94088418291701459</v>
      </c>
      <c r="I27" s="86">
        <f>(-1)*(Rankings!I3-Math!I$23)/Math!I$24</f>
        <v>-0.2746454887444898</v>
      </c>
      <c r="J27" s="86">
        <f>(Rankings!J3-Math!J$23)/Math!J$24</f>
        <v>0.13316361713561228</v>
      </c>
      <c r="K27" s="86">
        <f>(Rankings!K3-Math!K$23)/Math!K$24</f>
        <v>0.405516939934082</v>
      </c>
      <c r="L27" s="86">
        <f>(Rankings!L3-Math!L$23)/Math!L$24</f>
        <v>0.77123036592045324</v>
      </c>
      <c r="M27" s="86">
        <f>(Rankings!M3-Math!M$23)/Math!M$24</f>
        <v>-0.67735319132761318</v>
      </c>
      <c r="N27" s="86">
        <f>(Rankings!N3-Math!N$23)/Math!N$24</f>
        <v>-0.4402178450162928</v>
      </c>
    </row>
    <row r="28" spans="1:18">
      <c r="A28" s="6" t="s">
        <v>134</v>
      </c>
      <c r="B28" s="86">
        <f>(Rankings!B4-Math!B$23)/Math!B$24</f>
        <v>-0.93317700793699543</v>
      </c>
      <c r="C28" s="86">
        <f>(Rankings!C4-Math!C$23)/Math!C$24</f>
        <v>0.77204450587965834</v>
      </c>
      <c r="D28" s="86">
        <f>(Rankings!D4-Math!D$23)/Math!D$24</f>
        <v>1.4863133493165903</v>
      </c>
      <c r="E28" s="86">
        <f>(Rankings!E4-Math!E$23)/Math!E$24</f>
        <v>-1.2272953309762313</v>
      </c>
      <c r="F28" s="86">
        <f>(Rankings!F4-Math!F$23)/Math!F$24</f>
        <v>0.43899140203461107</v>
      </c>
      <c r="G28" s="86">
        <f>(Rankings!G4-Math!G$23)/Math!G$24</f>
        <v>-0.23957799068945662</v>
      </c>
      <c r="H28" s="86">
        <f>(Rankings!H4-Math!H$23)/Math!H$24</f>
        <v>0.11993936205319507</v>
      </c>
      <c r="I28" s="86">
        <f>(-1)*(Rankings!I4-Math!I$23)/Math!I$24</f>
        <v>-0.50365986334903567</v>
      </c>
      <c r="J28" s="86">
        <f>(Rankings!J4-Math!J$23)/Math!J$24</f>
        <v>0.56478817250978264</v>
      </c>
      <c r="K28" s="86">
        <f>(Rankings!K4-Math!K$23)/Math!K$24</f>
        <v>3.4702973361067807E-3</v>
      </c>
      <c r="L28" s="86">
        <f>(Rankings!L4-Math!L$23)/Math!L$24</f>
        <v>0.48894460326364542</v>
      </c>
      <c r="M28" s="86">
        <f>(Rankings!M4-Math!M$23)/Math!M$24</f>
        <v>7.476005687093594E-2</v>
      </c>
      <c r="N28" s="86">
        <f>(Rankings!N4-Math!N$23)/Math!N$24</f>
        <v>-0.25213440311544405</v>
      </c>
    </row>
    <row r="29" spans="1:18">
      <c r="A29" s="6" t="s">
        <v>135</v>
      </c>
      <c r="B29" s="86">
        <f>(Rankings!B5-Math!B$23)/Math!B$24</f>
        <v>-0.41520911825844692</v>
      </c>
      <c r="C29" s="86">
        <f>(Rankings!C5-Math!C$23)/Math!C$24</f>
        <v>0.41805339405320846</v>
      </c>
      <c r="D29" s="86">
        <f>(Rankings!D5-Math!D$23)/Math!D$24</f>
        <v>-4.2484487247681835E-2</v>
      </c>
      <c r="E29" s="86">
        <f>(Rankings!E5-Math!E$23)/Math!E$24</f>
        <v>0.1597850553613982</v>
      </c>
      <c r="F29" s="86">
        <f>(Rankings!F5-Math!F$23)/Math!F$24</f>
        <v>1.7243465628490749E-2</v>
      </c>
      <c r="G29" s="86">
        <f>(Rankings!G5-Math!G$23)/Math!G$24</f>
        <v>0.44671312847305167</v>
      </c>
      <c r="H29" s="86">
        <f>(Rankings!H5-Math!H$23)/Math!H$24</f>
        <v>-1.2663581068081804E-2</v>
      </c>
      <c r="I29" s="86">
        <f>(-1)*(Rankings!I5-Math!I$23)/Math!I$24</f>
        <v>1.3284551334872905</v>
      </c>
      <c r="J29" s="86">
        <f>(Rankings!J5-Math!J$23)/Math!J$24</f>
        <v>-5.2881449836012465E-2</v>
      </c>
      <c r="K29" s="86">
        <f>(Rankings!K5-Math!K$23)/Math!K$24</f>
        <v>0.51131868798618418</v>
      </c>
      <c r="L29" s="86">
        <f>(Rankings!L5-Math!L$23)/Math!L$24</f>
        <v>0.65147276964180123</v>
      </c>
      <c r="M29" s="86">
        <f>(Rankings!M5-Math!M$23)/Math!M$24</f>
        <v>-1.3793255563129216</v>
      </c>
      <c r="N29" s="86">
        <f>(Rankings!N5-Math!N$23)/Math!N$24</f>
        <v>-1.3464380650840109</v>
      </c>
    </row>
    <row r="30" spans="1:18">
      <c r="A30" s="6" t="s">
        <v>136</v>
      </c>
      <c r="B30" s="86">
        <f>(Rankings!B6-Math!B$23)/Math!B$24</f>
        <v>-1.5989258821717227</v>
      </c>
      <c r="C30" s="86">
        <f>(Rankings!C6-Math!C$23)/Math!C$24</f>
        <v>1.3323424578952519</v>
      </c>
      <c r="D30" s="86">
        <f>(Rankings!D6-Math!D$23)/Math!D$24</f>
        <v>1.204692695212646</v>
      </c>
      <c r="E30" s="86">
        <f>(Rankings!E6-Math!E$23)/Math!E$24</f>
        <v>-1.4056342377910702</v>
      </c>
      <c r="F30" s="86">
        <f>(Rankings!F6-Math!F$23)/Math!F$24</f>
        <v>1.8367845626949002</v>
      </c>
      <c r="G30" s="86">
        <f>(Rankings!G6-Math!G$23)/Math!G$24</f>
        <v>-5.2407685463316388E-2</v>
      </c>
      <c r="H30" s="86">
        <f>(Rankings!H6-Math!H$23)/Math!H$24</f>
        <v>-1.670200370084034</v>
      </c>
      <c r="I30" s="86">
        <f>(-1)*(Rankings!I6-Math!I$23)/Math!I$24</f>
        <v>-0.2746454887444939</v>
      </c>
      <c r="J30" s="86">
        <f>(Rankings!J6-Math!J$23)/Math!J$24</f>
        <v>0.14804722249334354</v>
      </c>
      <c r="K30" s="86">
        <f>(Rankings!K6-Math!K$23)/Math!K$24</f>
        <v>-0.37741599565144979</v>
      </c>
      <c r="L30" s="86">
        <f>(Rankings!L6-Math!L$23)/Math!L$24</f>
        <v>0.51460694532335105</v>
      </c>
      <c r="M30" s="86">
        <f>(Rankings!M6-Math!M$23)/Math!M$24</f>
        <v>-0.10073303437538891</v>
      </c>
      <c r="N30" s="86">
        <f>(Rankings!N6-Math!N$23)/Math!N$24</f>
        <v>-0.61120279219887996</v>
      </c>
      <c r="P30" t="s">
        <v>663</v>
      </c>
    </row>
    <row r="31" spans="1:18">
      <c r="A31" s="6" t="s">
        <v>137</v>
      </c>
      <c r="B31" s="86">
        <f>(Rankings!B7-Math!B$23)/Math!B$24</f>
        <v>0.95387096165108443</v>
      </c>
      <c r="C31" s="86">
        <f>(Rankings!C7-Math!C$23)/Math!C$24</f>
        <v>0.70780157897729079</v>
      </c>
      <c r="D31" s="86">
        <f>(Rankings!D7-Math!D$23)/Math!D$24</f>
        <v>-0.27260879317261844</v>
      </c>
      <c r="E31" s="86">
        <f>(Rankings!E7-Math!E$23)/Math!E$24</f>
        <v>5.7702544071646114E-2</v>
      </c>
      <c r="F31" s="86">
        <f>(Rankings!F7-Math!F$23)/Math!F$24</f>
        <v>-0.93656961740655287</v>
      </c>
      <c r="G31" s="86">
        <f>(Rankings!G7-Math!G$23)/Math!G$24</f>
        <v>0.30321589446634734</v>
      </c>
      <c r="H31" s="86">
        <f>(Rankings!H7-Math!H$23)/Math!H$24</f>
        <v>0.48161388941647443</v>
      </c>
      <c r="I31" s="86">
        <f>(-1)*(Rankings!I7-Math!I$23)/Math!I$24</f>
        <v>1.0699551581524178</v>
      </c>
      <c r="J31" s="86">
        <f>(Rankings!J7-Math!J$23)/Math!J$24</f>
        <v>-0.57730528461562813</v>
      </c>
      <c r="K31" s="86">
        <f>(Rankings!K7-Math!K$23)/Math!K$24</f>
        <v>-1.0718986698654314</v>
      </c>
      <c r="L31" s="86">
        <f>(Rankings!L7-Math!L$23)/Math!L$24</f>
        <v>-1.3441592606315049</v>
      </c>
      <c r="M31" s="86">
        <f>(Rankings!M7-Math!M$23)/Math!M$24</f>
        <v>1.0171579568637159</v>
      </c>
      <c r="N31" s="86">
        <f>(Rankings!N7-Math!N$23)/Math!N$24</f>
        <v>0.56397674978704981</v>
      </c>
    </row>
    <row r="32" spans="1:18">
      <c r="A32" s="6" t="s">
        <v>138</v>
      </c>
      <c r="B32" s="86">
        <f>(Rankings!B8-Math!B$23)/Math!B$24</f>
        <v>0.46547256151720479</v>
      </c>
      <c r="C32" s="86">
        <f>(Rankings!C8-Math!C$23)/Math!C$24</f>
        <v>-1.2726446949229762</v>
      </c>
      <c r="D32" s="86">
        <f>(Rankings!D8-Math!D$23)/Math!D$24</f>
        <v>-0.3329560761948932</v>
      </c>
      <c r="E32" s="86">
        <f>(Rankings!E8-Math!E$23)/Math!E$24</f>
        <v>0.80408389481522713</v>
      </c>
      <c r="F32" s="86">
        <f>(Rankings!F8-Math!F$23)/Math!F$24</f>
        <v>0.6781224819768823</v>
      </c>
      <c r="G32" s="86">
        <f>(Rankings!G8-Math!G$23)/Math!G$24</f>
        <v>-0.44546532643820813</v>
      </c>
      <c r="H32" s="86">
        <f>(Rankings!H8-Math!H$23)/Math!H$24</f>
        <v>-0.31400376931118273</v>
      </c>
      <c r="I32" s="86">
        <f>(-1)*(Rankings!I8-Math!I$23)/Math!I$24</f>
        <v>-2.0217388990088851</v>
      </c>
      <c r="J32" s="86">
        <f>(Rankings!J8-Math!J$23)/Math!J$24</f>
        <v>0.31571103684816648</v>
      </c>
      <c r="K32" s="86">
        <f>(Rankings!K8-Math!K$23)/Math!K$24</f>
        <v>0.74789139663067405</v>
      </c>
      <c r="L32" s="86">
        <f>(Rankings!L8-Math!L$23)/Math!L$24</f>
        <v>0.39232588540883612</v>
      </c>
      <c r="M32" s="86">
        <f>(Rankings!M8-Math!M$23)/Math!M$24</f>
        <v>-0.36171633150028937</v>
      </c>
      <c r="N32" s="86">
        <f>(Rankings!N8-Math!N$23)/Math!N$24</f>
        <v>0.23910535014013082</v>
      </c>
    </row>
    <row r="33" spans="1:14">
      <c r="A33" s="6" t="s">
        <v>139</v>
      </c>
      <c r="B33" s="86">
        <f>(Rankings!B9-Math!B$23)/Math!B$24</f>
        <v>1.8445818337897883</v>
      </c>
      <c r="C33" s="86">
        <f>(Rankings!C9-Math!C$23)/Math!C$24</f>
        <v>-1.9804250068549951</v>
      </c>
      <c r="D33" s="86">
        <f>(Rankings!D9-Math!D$23)/Math!D$24</f>
        <v>-2.0741763489975682</v>
      </c>
      <c r="E33" s="86">
        <f>(Rankings!E9-Math!E$23)/Math!E$24</f>
        <v>1.8705175318444753</v>
      </c>
      <c r="F33" s="86">
        <f>(Rankings!F9-Math!F$23)/Math!F$24</f>
        <v>-1.2841501667103978</v>
      </c>
      <c r="G33" s="86">
        <f>(Rankings!G9-Math!G$23)/Math!G$24</f>
        <v>-0.17718788894740953</v>
      </c>
      <c r="H33" s="86">
        <f>(Rankings!H9-Math!H$23)/Math!H$24</f>
        <v>1.5122702648265951</v>
      </c>
      <c r="I33" s="86">
        <f>(-1)*(Rankings!I9-Math!I$23)/Math!I$24</f>
        <v>0.18338326046458969</v>
      </c>
      <c r="J33" s="86">
        <f>(Rankings!J9-Math!J$23)/Math!J$24</f>
        <v>-0.55148222931996593</v>
      </c>
      <c r="K33" s="86">
        <f>(Rankings!K9-Math!K$23)/Math!K$24</f>
        <v>-1.7690052274311859E-2</v>
      </c>
      <c r="L33" s="86">
        <f>(Rankings!L9-Math!L$23)/Math!L$24</f>
        <v>-0.88826775394076607</v>
      </c>
      <c r="M33" s="86">
        <f>(Rankings!M9-Math!M$23)/Math!M$24</f>
        <v>0.80180286346286467</v>
      </c>
      <c r="N33" s="86">
        <f>(Rankings!N9-Math!N$23)/Math!N$24</f>
        <v>1.6970939947660624</v>
      </c>
    </row>
    <row r="34" spans="1:14">
      <c r="A34" s="6" t="s">
        <v>140</v>
      </c>
      <c r="B34" s="86">
        <f>(Rankings!B10-Math!B$23)/Math!B$24</f>
        <v>0.22892435131118874</v>
      </c>
      <c r="C34" s="86">
        <f>(Rankings!C10-Math!C$23)/Math!C$24</f>
        <v>0.19764005918238378</v>
      </c>
      <c r="D34" s="86">
        <f>(Rankings!D10-Math!D$23)/Math!D$24</f>
        <v>-0.64595731747041973</v>
      </c>
      <c r="E34" s="86">
        <f>(Rankings!E10-Math!E$23)/Math!E$24</f>
        <v>-0.75833005750017479</v>
      </c>
      <c r="F34" s="86">
        <f>(Rankings!F10-Math!F$23)/Math!F$24</f>
        <v>1.0776382771638799</v>
      </c>
      <c r="G34" s="86">
        <f>(Rankings!G10-Math!G$23)/Math!G$24</f>
        <v>0.758663637183284</v>
      </c>
      <c r="H34" s="86">
        <f>(Rankings!H10-Math!H$23)/Math!H$24</f>
        <v>5.3637890492556045E-2</v>
      </c>
      <c r="I34" s="86">
        <f>(-1)*(Rankings!I10-Math!I$23)/Math!I$24</f>
        <v>1.1566943525338866</v>
      </c>
      <c r="J34" s="86">
        <f>(Rankings!J10-Math!J$23)/Math!J$24</f>
        <v>-2.1961206213491282</v>
      </c>
      <c r="K34" s="86">
        <f>(Rankings!K10-Math!K$23)/Math!K$24</f>
        <v>-2.1125646637058746</v>
      </c>
      <c r="L34" s="86">
        <f>(Rankings!L10-Math!L$23)/Math!L$24</f>
        <v>-1.8890990942694355</v>
      </c>
      <c r="M34" s="86">
        <f>(Rankings!M10-Math!M$23)/Math!M$24</f>
        <v>-1.5297482059526313</v>
      </c>
      <c r="N34" s="86">
        <f>(Rankings!N10-Math!N$23)/Math!N$24</f>
        <v>-1.397733549238787</v>
      </c>
    </row>
    <row r="35" spans="1:14">
      <c r="A35" s="6" t="s">
        <v>896</v>
      </c>
      <c r="B35" s="86">
        <f>(Rankings!B11-Math!B$23)/Math!B$24</f>
        <v>0.30614003778485976</v>
      </c>
      <c r="C35" s="86">
        <f>(Rankings!C11-Math!C$23)/Math!C$24</f>
        <v>0.43744371134168974</v>
      </c>
      <c r="D35" s="86">
        <f>(Rankings!D11-Math!D$23)/Math!D$24</f>
        <v>-0.12294753127737933</v>
      </c>
      <c r="E35" s="86">
        <f>(Rankings!E11-Math!E$23)/Math!E$24</f>
        <v>0.64196061823114581</v>
      </c>
      <c r="F35" s="86">
        <f>(Rankings!F11-Math!F$23)/Math!F$24</f>
        <v>-0.94675181758550042</v>
      </c>
      <c r="G35" s="86">
        <f>(Rankings!G11-Math!G$23)/Math!G$24</f>
        <v>1.7569052650560235</v>
      </c>
      <c r="H35" s="86">
        <f>(Rankings!H11-Math!H$23)/Math!H$24</f>
        <v>1.4791195290462757</v>
      </c>
      <c r="I35" s="86">
        <f>(-1)*(Rankings!I11-Math!I$23)/Math!I$24</f>
        <v>-0.27464548874449185</v>
      </c>
      <c r="J35" s="86">
        <f>(Rankings!J11-Math!J$23)/Math!J$24</f>
        <v>0.5499045671520556</v>
      </c>
      <c r="K35" s="86">
        <f>(Rankings!K11-Math!K$23)/Math!K$24</f>
        <v>0.49015833837576256</v>
      </c>
      <c r="L35" s="86">
        <f>(Rankings!L11-Math!L$23)/Math!L$24</f>
        <v>0.25798352472626096</v>
      </c>
      <c r="M35" s="86">
        <f>(Rankings!M11-Math!M$23)/Math!M$24</f>
        <v>0.80180286346286644</v>
      </c>
      <c r="N35" s="86">
        <f>(Rankings!N11-Math!N$23)/Math!N$24</f>
        <v>0.50019936448794589</v>
      </c>
    </row>
    <row r="37" spans="1:14">
      <c r="A37" s="87" t="s">
        <v>895</v>
      </c>
      <c r="B37" s="84" t="s">
        <v>3</v>
      </c>
      <c r="C37" s="84" t="s">
        <v>4</v>
      </c>
      <c r="D37" s="84" t="s">
        <v>5</v>
      </c>
      <c r="E37" s="84" t="s">
        <v>6</v>
      </c>
      <c r="F37" s="84" t="s">
        <v>7</v>
      </c>
      <c r="G37" s="84" t="s">
        <v>8</v>
      </c>
      <c r="H37" s="84" t="s">
        <v>9</v>
      </c>
      <c r="I37" s="84" t="s">
        <v>10</v>
      </c>
      <c r="J37" s="84" t="s">
        <v>11</v>
      </c>
      <c r="K37" s="94" t="s">
        <v>897</v>
      </c>
      <c r="L37" s="42"/>
      <c r="M37" s="42"/>
      <c r="N37" s="42"/>
    </row>
    <row r="38" spans="1:14">
      <c r="A38" s="6" t="s">
        <v>132</v>
      </c>
      <c r="B38" s="6">
        <f>RANK(B2,B$2:B$11)</f>
        <v>5</v>
      </c>
      <c r="C38" s="6">
        <f>RANK(C2,C$2:C$11)</f>
        <v>6</v>
      </c>
      <c r="D38" s="6">
        <f t="shared" ref="D38:N38" si="0">RANK(D2,D$2:D$11)</f>
        <v>3</v>
      </c>
      <c r="E38" s="6">
        <f t="shared" si="0"/>
        <v>4</v>
      </c>
      <c r="F38" s="6">
        <f t="shared" si="0"/>
        <v>7</v>
      </c>
      <c r="G38" s="6">
        <f t="shared" si="0"/>
        <v>7</v>
      </c>
      <c r="H38" s="6">
        <f t="shared" si="0"/>
        <v>8</v>
      </c>
      <c r="I38" s="95">
        <f>11-RANK(I2,I$2:I$11)</f>
        <v>8</v>
      </c>
      <c r="J38" s="6">
        <f t="shared" si="0"/>
        <v>1</v>
      </c>
      <c r="K38" s="6">
        <f>SUM(B38:J38)</f>
        <v>49</v>
      </c>
      <c r="L38" s="64"/>
      <c r="M38" s="64"/>
      <c r="N38" s="64"/>
    </row>
    <row r="39" spans="1:14">
      <c r="A39" s="6" t="s">
        <v>133</v>
      </c>
      <c r="B39" s="6">
        <f t="shared" ref="B39:N47" si="1">RANK(B3,B$2:B$11)</f>
        <v>8</v>
      </c>
      <c r="C39" s="6">
        <f t="shared" si="1"/>
        <v>8</v>
      </c>
      <c r="D39" s="6">
        <f t="shared" si="1"/>
        <v>4</v>
      </c>
      <c r="E39" s="6">
        <f t="shared" si="1"/>
        <v>7</v>
      </c>
      <c r="F39" s="6">
        <f t="shared" si="1"/>
        <v>6</v>
      </c>
      <c r="G39" s="6">
        <f t="shared" si="1"/>
        <v>10</v>
      </c>
      <c r="H39" s="6">
        <f t="shared" si="1"/>
        <v>9</v>
      </c>
      <c r="I39" s="95">
        <f t="shared" ref="I39:I47" si="2">11-RANK(I3,I$2:I$11)</f>
        <v>5</v>
      </c>
      <c r="J39" s="6">
        <f t="shared" si="1"/>
        <v>6</v>
      </c>
      <c r="K39" s="6">
        <f t="shared" ref="K39:K47" si="3">SUM(B39:J39)</f>
        <v>63</v>
      </c>
      <c r="L39" s="64"/>
      <c r="M39" s="64"/>
      <c r="N39" s="64"/>
    </row>
    <row r="40" spans="1:14">
      <c r="A40" s="6" t="s">
        <v>134</v>
      </c>
      <c r="B40" s="6">
        <f t="shared" si="1"/>
        <v>9</v>
      </c>
      <c r="C40" s="6">
        <f t="shared" si="1"/>
        <v>2</v>
      </c>
      <c r="D40" s="6">
        <f t="shared" si="1"/>
        <v>1</v>
      </c>
      <c r="E40" s="6">
        <f t="shared" si="1"/>
        <v>9</v>
      </c>
      <c r="F40" s="6">
        <f t="shared" si="1"/>
        <v>4</v>
      </c>
      <c r="G40" s="6">
        <f t="shared" si="1"/>
        <v>8</v>
      </c>
      <c r="H40" s="6">
        <f t="shared" si="1"/>
        <v>4</v>
      </c>
      <c r="I40" s="95">
        <f t="shared" si="2"/>
        <v>9</v>
      </c>
      <c r="J40" s="6">
        <f t="shared" si="1"/>
        <v>2</v>
      </c>
      <c r="K40" s="6">
        <f t="shared" si="3"/>
        <v>48</v>
      </c>
      <c r="L40" s="64"/>
      <c r="M40" s="64"/>
      <c r="N40" s="64"/>
    </row>
    <row r="41" spans="1:14">
      <c r="A41" s="6" t="s">
        <v>135</v>
      </c>
      <c r="B41" s="6">
        <f t="shared" si="1"/>
        <v>7</v>
      </c>
      <c r="C41" s="6">
        <f t="shared" si="1"/>
        <v>5</v>
      </c>
      <c r="D41" s="6">
        <f t="shared" si="1"/>
        <v>5</v>
      </c>
      <c r="E41" s="6">
        <f t="shared" si="1"/>
        <v>5</v>
      </c>
      <c r="F41" s="6">
        <f t="shared" si="1"/>
        <v>5</v>
      </c>
      <c r="G41" s="6">
        <f t="shared" si="1"/>
        <v>3</v>
      </c>
      <c r="H41" s="6">
        <f t="shared" si="1"/>
        <v>6</v>
      </c>
      <c r="I41" s="95">
        <f t="shared" si="2"/>
        <v>1</v>
      </c>
      <c r="J41" s="6">
        <f t="shared" si="1"/>
        <v>7</v>
      </c>
      <c r="K41" s="6">
        <f t="shared" si="3"/>
        <v>44</v>
      </c>
      <c r="L41" s="64"/>
      <c r="M41" s="64"/>
      <c r="N41" s="64"/>
    </row>
    <row r="42" spans="1:14">
      <c r="A42" s="6" t="s">
        <v>136</v>
      </c>
      <c r="B42" s="6">
        <f t="shared" si="1"/>
        <v>10</v>
      </c>
      <c r="C42" s="6">
        <f t="shared" si="1"/>
        <v>1</v>
      </c>
      <c r="D42" s="6">
        <f t="shared" si="1"/>
        <v>2</v>
      </c>
      <c r="E42" s="6">
        <f t="shared" si="1"/>
        <v>10</v>
      </c>
      <c r="F42" s="6">
        <f t="shared" si="1"/>
        <v>1</v>
      </c>
      <c r="G42" s="6">
        <f t="shared" si="1"/>
        <v>5</v>
      </c>
      <c r="H42" s="6">
        <f t="shared" si="1"/>
        <v>10</v>
      </c>
      <c r="I42" s="95">
        <f t="shared" si="2"/>
        <v>7</v>
      </c>
      <c r="J42" s="6">
        <f t="shared" si="1"/>
        <v>5</v>
      </c>
      <c r="K42" s="6">
        <f t="shared" si="3"/>
        <v>51</v>
      </c>
      <c r="L42" s="64"/>
      <c r="M42" s="64"/>
      <c r="N42" s="64"/>
    </row>
    <row r="43" spans="1:14">
      <c r="A43" s="6" t="s">
        <v>137</v>
      </c>
      <c r="B43" s="6">
        <f t="shared" si="1"/>
        <v>2</v>
      </c>
      <c r="C43" s="6">
        <f t="shared" si="1"/>
        <v>3</v>
      </c>
      <c r="D43" s="6">
        <f t="shared" si="1"/>
        <v>7</v>
      </c>
      <c r="E43" s="6">
        <f t="shared" si="1"/>
        <v>6</v>
      </c>
      <c r="F43" s="6">
        <f t="shared" si="1"/>
        <v>8</v>
      </c>
      <c r="G43" s="6">
        <f t="shared" si="1"/>
        <v>4</v>
      </c>
      <c r="H43" s="6">
        <f t="shared" si="1"/>
        <v>3</v>
      </c>
      <c r="I43" s="95">
        <f t="shared" si="2"/>
        <v>3</v>
      </c>
      <c r="J43" s="6">
        <f t="shared" si="1"/>
        <v>9</v>
      </c>
      <c r="K43" s="6">
        <f t="shared" si="3"/>
        <v>45</v>
      </c>
      <c r="L43" s="64"/>
      <c r="M43" s="64"/>
      <c r="N43" s="64"/>
    </row>
    <row r="44" spans="1:14">
      <c r="A44" s="6" t="s">
        <v>138</v>
      </c>
      <c r="B44" s="6">
        <f t="shared" si="1"/>
        <v>3</v>
      </c>
      <c r="C44" s="6">
        <f t="shared" si="1"/>
        <v>9</v>
      </c>
      <c r="D44" s="6">
        <f t="shared" si="1"/>
        <v>8</v>
      </c>
      <c r="E44" s="6">
        <f t="shared" si="1"/>
        <v>2</v>
      </c>
      <c r="F44" s="6">
        <f t="shared" si="1"/>
        <v>3</v>
      </c>
      <c r="G44" s="6">
        <f t="shared" si="1"/>
        <v>9</v>
      </c>
      <c r="H44" s="6">
        <f t="shared" si="1"/>
        <v>7</v>
      </c>
      <c r="I44" s="95">
        <f t="shared" si="2"/>
        <v>10</v>
      </c>
      <c r="J44" s="6">
        <f t="shared" si="1"/>
        <v>4</v>
      </c>
      <c r="K44" s="6">
        <f t="shared" si="3"/>
        <v>55</v>
      </c>
      <c r="L44" s="64"/>
      <c r="M44" s="64"/>
      <c r="N44" s="64"/>
    </row>
    <row r="45" spans="1:14">
      <c r="A45" s="6" t="s">
        <v>139</v>
      </c>
      <c r="B45" s="6">
        <f t="shared" si="1"/>
        <v>1</v>
      </c>
      <c r="C45" s="6">
        <f t="shared" si="1"/>
        <v>10</v>
      </c>
      <c r="D45" s="6">
        <f t="shared" si="1"/>
        <v>10</v>
      </c>
      <c r="E45" s="6">
        <f t="shared" si="1"/>
        <v>1</v>
      </c>
      <c r="F45" s="6">
        <f t="shared" si="1"/>
        <v>10</v>
      </c>
      <c r="G45" s="6">
        <f t="shared" si="1"/>
        <v>6</v>
      </c>
      <c r="H45" s="6">
        <f t="shared" si="1"/>
        <v>1</v>
      </c>
      <c r="I45" s="95">
        <f t="shared" si="2"/>
        <v>4</v>
      </c>
      <c r="J45" s="6">
        <f t="shared" si="1"/>
        <v>8</v>
      </c>
      <c r="K45" s="6">
        <f t="shared" si="3"/>
        <v>51</v>
      </c>
      <c r="L45" s="64"/>
      <c r="M45" s="64"/>
      <c r="N45" s="64"/>
    </row>
    <row r="46" spans="1:14">
      <c r="A46" s="6" t="s">
        <v>140</v>
      </c>
      <c r="B46" s="6">
        <f t="shared" si="1"/>
        <v>6</v>
      </c>
      <c r="C46" s="6">
        <f t="shared" si="1"/>
        <v>7</v>
      </c>
      <c r="D46" s="6">
        <f t="shared" si="1"/>
        <v>9</v>
      </c>
      <c r="E46" s="6">
        <f t="shared" si="1"/>
        <v>8</v>
      </c>
      <c r="F46" s="6">
        <f t="shared" si="1"/>
        <v>2</v>
      </c>
      <c r="G46" s="6">
        <f t="shared" si="1"/>
        <v>2</v>
      </c>
      <c r="H46" s="6">
        <f t="shared" si="1"/>
        <v>5</v>
      </c>
      <c r="I46" s="95">
        <f t="shared" si="2"/>
        <v>2</v>
      </c>
      <c r="J46" s="6">
        <f t="shared" si="1"/>
        <v>10</v>
      </c>
      <c r="K46" s="6">
        <f t="shared" si="3"/>
        <v>51</v>
      </c>
      <c r="L46" s="64"/>
      <c r="M46" s="64"/>
      <c r="N46" s="64"/>
    </row>
    <row r="47" spans="1:14">
      <c r="A47" s="6" t="s">
        <v>896</v>
      </c>
      <c r="B47" s="6">
        <f t="shared" si="1"/>
        <v>4</v>
      </c>
      <c r="C47" s="6">
        <f t="shared" si="1"/>
        <v>4</v>
      </c>
      <c r="D47" s="6">
        <f t="shared" si="1"/>
        <v>6</v>
      </c>
      <c r="E47" s="6">
        <f t="shared" si="1"/>
        <v>3</v>
      </c>
      <c r="F47" s="6">
        <f t="shared" si="1"/>
        <v>9</v>
      </c>
      <c r="G47" s="6">
        <f t="shared" si="1"/>
        <v>1</v>
      </c>
      <c r="H47" s="6">
        <f t="shared" si="1"/>
        <v>2</v>
      </c>
      <c r="I47" s="95">
        <f t="shared" si="2"/>
        <v>6</v>
      </c>
      <c r="J47" s="6">
        <f t="shared" si="1"/>
        <v>3</v>
      </c>
      <c r="K47" s="6">
        <f t="shared" si="3"/>
        <v>38</v>
      </c>
      <c r="L47" s="64"/>
      <c r="M47" s="64"/>
      <c r="N47" s="64"/>
    </row>
  </sheetData>
  <conditionalFormatting sqref="B2:B11">
    <cfRule type="colorScale" priority="57">
      <colorScale>
        <cfvo type="min"/>
        <cfvo type="percentile" val="50"/>
        <cfvo type="max"/>
        <color rgb="FFF8696B"/>
        <color rgb="FFFFEB84"/>
        <color rgb="FF63BE7B"/>
      </colorScale>
    </cfRule>
  </conditionalFormatting>
  <conditionalFormatting sqref="C2:C11">
    <cfRule type="colorScale" priority="58">
      <colorScale>
        <cfvo type="min"/>
        <cfvo type="percentile" val="50"/>
        <cfvo type="max"/>
        <color rgb="FFF8696B"/>
        <color rgb="FFFFEB84"/>
        <color rgb="FF63BE7B"/>
      </colorScale>
    </cfRule>
  </conditionalFormatting>
  <conditionalFormatting sqref="D2:D11">
    <cfRule type="colorScale" priority="56">
      <colorScale>
        <cfvo type="min"/>
        <cfvo type="percentile" val="50"/>
        <cfvo type="max"/>
        <color rgb="FFF8696B"/>
        <color rgb="FFFFEB84"/>
        <color rgb="FF63BE7B"/>
      </colorScale>
    </cfRule>
  </conditionalFormatting>
  <conditionalFormatting sqref="E2:E11">
    <cfRule type="colorScale" priority="55">
      <colorScale>
        <cfvo type="min"/>
        <cfvo type="percentile" val="50"/>
        <cfvo type="max"/>
        <color rgb="FFF8696B"/>
        <color rgb="FFFFEB84"/>
        <color rgb="FF63BE7B"/>
      </colorScale>
    </cfRule>
  </conditionalFormatting>
  <conditionalFormatting sqref="F2:F11">
    <cfRule type="colorScale" priority="54">
      <colorScale>
        <cfvo type="min"/>
        <cfvo type="percentile" val="50"/>
        <cfvo type="max"/>
        <color rgb="FFF8696B"/>
        <color rgb="FFFFEB84"/>
        <color rgb="FF63BE7B"/>
      </colorScale>
    </cfRule>
  </conditionalFormatting>
  <conditionalFormatting sqref="G2:G11">
    <cfRule type="colorScale" priority="53">
      <colorScale>
        <cfvo type="min"/>
        <cfvo type="percentile" val="50"/>
        <cfvo type="max"/>
        <color rgb="FFF8696B"/>
        <color rgb="FFFFEB84"/>
        <color rgb="FF63BE7B"/>
      </colorScale>
    </cfRule>
  </conditionalFormatting>
  <conditionalFormatting sqref="H2:H11">
    <cfRule type="colorScale" priority="52">
      <colorScale>
        <cfvo type="min"/>
        <cfvo type="percentile" val="50"/>
        <cfvo type="max"/>
        <color rgb="FFF8696B"/>
        <color rgb="FFFFEB84"/>
        <color rgb="FF63BE7B"/>
      </colorScale>
    </cfRule>
  </conditionalFormatting>
  <conditionalFormatting sqref="I2:I11">
    <cfRule type="colorScale" priority="26">
      <colorScale>
        <cfvo type="min"/>
        <cfvo type="percentile" val="50"/>
        <cfvo type="max"/>
        <color rgb="FF63BE7B"/>
        <color rgb="FFFFEB84"/>
        <color rgb="FFF8696B"/>
      </colorScale>
    </cfRule>
    <cfRule type="colorScale" priority="51">
      <colorScale>
        <cfvo type="min"/>
        <cfvo type="percentile" val="50"/>
        <cfvo type="max"/>
        <color rgb="FFF8696B"/>
        <color rgb="FFFFEB84"/>
        <color rgb="FF63BE7B"/>
      </colorScale>
    </cfRule>
  </conditionalFormatting>
  <conditionalFormatting sqref="J2:J11">
    <cfRule type="colorScale" priority="50">
      <colorScale>
        <cfvo type="min"/>
        <cfvo type="percentile" val="50"/>
        <cfvo type="max"/>
        <color rgb="FFF8696B"/>
        <color rgb="FFFFEB84"/>
        <color rgb="FF63BE7B"/>
      </colorScale>
    </cfRule>
  </conditionalFormatting>
  <conditionalFormatting sqref="K2:K11">
    <cfRule type="colorScale" priority="49">
      <colorScale>
        <cfvo type="min"/>
        <cfvo type="percentile" val="50"/>
        <cfvo type="max"/>
        <color rgb="FFF8696B"/>
        <color rgb="FFFFEB84"/>
        <color rgb="FF63BE7B"/>
      </colorScale>
    </cfRule>
  </conditionalFormatting>
  <conditionalFormatting sqref="L2:L11">
    <cfRule type="colorScale" priority="48">
      <colorScale>
        <cfvo type="min"/>
        <cfvo type="percentile" val="50"/>
        <cfvo type="max"/>
        <color rgb="FFF8696B"/>
        <color rgb="FFFFEB84"/>
        <color rgb="FF63BE7B"/>
      </colorScale>
    </cfRule>
  </conditionalFormatting>
  <conditionalFormatting sqref="M2:M11">
    <cfRule type="colorScale" priority="47">
      <colorScale>
        <cfvo type="min"/>
        <cfvo type="percentile" val="50"/>
        <cfvo type="max"/>
        <color rgb="FFF8696B"/>
        <color rgb="FFFFEB84"/>
        <color rgb="FF63BE7B"/>
      </colorScale>
    </cfRule>
  </conditionalFormatting>
  <conditionalFormatting sqref="N2:N11">
    <cfRule type="colorScale" priority="46">
      <colorScale>
        <cfvo type="min"/>
        <cfvo type="percentile" val="50"/>
        <cfvo type="max"/>
        <color rgb="FFF8696B"/>
        <color rgb="FFFFEB84"/>
        <color rgb="FF63BE7B"/>
      </colorScale>
    </cfRule>
  </conditionalFormatting>
  <conditionalFormatting sqref="B14:B23">
    <cfRule type="colorScale" priority="25">
      <colorScale>
        <cfvo type="min"/>
        <cfvo type="percentile" val="50"/>
        <cfvo type="max"/>
        <color rgb="FF63BE7B"/>
        <color rgb="FFFFEB84"/>
        <color rgb="FFF8696B"/>
      </colorScale>
    </cfRule>
  </conditionalFormatting>
  <conditionalFormatting sqref="C14:C23">
    <cfRule type="colorScale" priority="44">
      <colorScale>
        <cfvo type="min"/>
        <cfvo type="percentile" val="50"/>
        <cfvo type="max"/>
        <color rgb="FFF8696B"/>
        <color rgb="FFFFEB84"/>
        <color rgb="FF63BE7B"/>
      </colorScale>
    </cfRule>
  </conditionalFormatting>
  <conditionalFormatting sqref="D14:D23">
    <cfRule type="colorScale" priority="43">
      <colorScale>
        <cfvo type="min"/>
        <cfvo type="percentile" val="50"/>
        <cfvo type="max"/>
        <color rgb="FFF8696B"/>
        <color rgb="FFFFEB84"/>
        <color rgb="FF63BE7B"/>
      </colorScale>
    </cfRule>
  </conditionalFormatting>
  <conditionalFormatting sqref="E14:E23">
    <cfRule type="colorScale" priority="42">
      <colorScale>
        <cfvo type="min"/>
        <cfvo type="percentile" val="50"/>
        <cfvo type="max"/>
        <color rgb="FFF8696B"/>
        <color rgb="FFFFEB84"/>
        <color rgb="FF63BE7B"/>
      </colorScale>
    </cfRule>
  </conditionalFormatting>
  <conditionalFormatting sqref="F14:F23">
    <cfRule type="colorScale" priority="41">
      <colorScale>
        <cfvo type="min"/>
        <cfvo type="percentile" val="50"/>
        <cfvo type="max"/>
        <color rgb="FFF8696B"/>
        <color rgb="FFFFEB84"/>
        <color rgb="FF63BE7B"/>
      </colorScale>
    </cfRule>
  </conditionalFormatting>
  <conditionalFormatting sqref="G14:G23">
    <cfRule type="colorScale" priority="40">
      <colorScale>
        <cfvo type="min"/>
        <cfvo type="percentile" val="50"/>
        <cfvo type="max"/>
        <color rgb="FFF8696B"/>
        <color rgb="FFFFEB84"/>
        <color rgb="FF63BE7B"/>
      </colorScale>
    </cfRule>
  </conditionalFormatting>
  <conditionalFormatting sqref="H14:H23">
    <cfRule type="colorScale" priority="39">
      <colorScale>
        <cfvo type="min"/>
        <cfvo type="percentile" val="50"/>
        <cfvo type="max"/>
        <color rgb="FFF8696B"/>
        <color rgb="FFFFEB84"/>
        <color rgb="FF63BE7B"/>
      </colorScale>
    </cfRule>
  </conditionalFormatting>
  <conditionalFormatting sqref="I14:I23">
    <cfRule type="colorScale" priority="38">
      <colorScale>
        <cfvo type="min"/>
        <cfvo type="percentile" val="50"/>
        <cfvo type="max"/>
        <color rgb="FFF8696B"/>
        <color rgb="FFFFEB84"/>
        <color rgb="FF63BE7B"/>
      </colorScale>
    </cfRule>
  </conditionalFormatting>
  <conditionalFormatting sqref="J14:J23">
    <cfRule type="colorScale" priority="37">
      <colorScale>
        <cfvo type="min"/>
        <cfvo type="percentile" val="50"/>
        <cfvo type="max"/>
        <color rgb="FFF8696B"/>
        <color rgb="FFFFEB84"/>
        <color rgb="FF63BE7B"/>
      </colorScale>
    </cfRule>
  </conditionalFormatting>
  <conditionalFormatting sqref="K14:K23">
    <cfRule type="colorScale" priority="24">
      <colorScale>
        <cfvo type="min"/>
        <cfvo type="percentile" val="50"/>
        <cfvo type="max"/>
        <color rgb="FF63BE7B"/>
        <color rgb="FFFFEB84"/>
        <color rgb="FFF8696B"/>
      </colorScale>
    </cfRule>
  </conditionalFormatting>
  <conditionalFormatting sqref="L14:L23">
    <cfRule type="colorScale" priority="35">
      <colorScale>
        <cfvo type="min"/>
        <cfvo type="percentile" val="50"/>
        <cfvo type="max"/>
        <color rgb="FFF8696B"/>
        <color rgb="FFFFEB84"/>
        <color rgb="FF63BE7B"/>
      </colorScale>
    </cfRule>
  </conditionalFormatting>
  <conditionalFormatting sqref="M14:M23">
    <cfRule type="colorScale" priority="34">
      <colorScale>
        <cfvo type="min"/>
        <cfvo type="percentile" val="50"/>
        <cfvo type="max"/>
        <color rgb="FFF8696B"/>
        <color rgb="FFFFEB84"/>
        <color rgb="FF63BE7B"/>
      </colorScale>
    </cfRule>
  </conditionalFormatting>
  <conditionalFormatting sqref="N14:N23">
    <cfRule type="colorScale" priority="33">
      <colorScale>
        <cfvo type="min"/>
        <cfvo type="percentile" val="50"/>
        <cfvo type="max"/>
        <color rgb="FFF8696B"/>
        <color rgb="FFFFEB84"/>
        <color rgb="FF63BE7B"/>
      </colorScale>
    </cfRule>
  </conditionalFormatting>
  <conditionalFormatting sqref="O14:O23">
    <cfRule type="colorScale" priority="32">
      <colorScale>
        <cfvo type="min"/>
        <cfvo type="percentile" val="50"/>
        <cfvo type="max"/>
        <color rgb="FFF8696B"/>
        <color rgb="FFFFEB84"/>
        <color rgb="FF63BE7B"/>
      </colorScale>
    </cfRule>
  </conditionalFormatting>
  <conditionalFormatting sqref="P14:P23">
    <cfRule type="colorScale" priority="31">
      <colorScale>
        <cfvo type="min"/>
        <cfvo type="percentile" val="50"/>
        <cfvo type="max"/>
        <color rgb="FFF8696B"/>
        <color rgb="FFFFEB84"/>
        <color rgb="FF63BE7B"/>
      </colorScale>
    </cfRule>
  </conditionalFormatting>
  <conditionalFormatting sqref="Q14:Q23">
    <cfRule type="colorScale" priority="30">
      <colorScale>
        <cfvo type="min"/>
        <cfvo type="percentile" val="50"/>
        <cfvo type="max"/>
        <color rgb="FFF8696B"/>
        <color rgb="FFFFEB84"/>
        <color rgb="FF63BE7B"/>
      </colorScale>
    </cfRule>
  </conditionalFormatting>
  <conditionalFormatting sqref="R14:R23">
    <cfRule type="colorScale" priority="29">
      <colorScale>
        <cfvo type="min"/>
        <cfvo type="percentile" val="50"/>
        <cfvo type="max"/>
        <color rgb="FFF8696B"/>
        <color rgb="FFFFEB84"/>
        <color rgb="FF63BE7B"/>
      </colorScale>
    </cfRule>
  </conditionalFormatting>
  <conditionalFormatting sqref="B26:N35">
    <cfRule type="colorScale" priority="23">
      <colorScale>
        <cfvo type="min"/>
        <cfvo type="percentile" val="50"/>
        <cfvo type="max"/>
        <color rgb="FFF8696B"/>
        <color rgb="FFFFEB84"/>
        <color rgb="FF63BE7B"/>
      </colorScale>
    </cfRule>
  </conditionalFormatting>
  <conditionalFormatting sqref="B38:B47">
    <cfRule type="colorScale" priority="10">
      <colorScale>
        <cfvo type="min"/>
        <cfvo type="percentile" val="50"/>
        <cfvo type="max"/>
        <color rgb="FF63BE7B"/>
        <color rgb="FFFFEB84"/>
        <color rgb="FFF8696B"/>
      </colorScale>
    </cfRule>
  </conditionalFormatting>
  <conditionalFormatting sqref="C38:C47">
    <cfRule type="colorScale" priority="9">
      <colorScale>
        <cfvo type="min"/>
        <cfvo type="percentile" val="50"/>
        <cfvo type="max"/>
        <color rgb="FF63BE7B"/>
        <color rgb="FFFFEB84"/>
        <color rgb="FFF8696B"/>
      </colorScale>
    </cfRule>
  </conditionalFormatting>
  <conditionalFormatting sqref="D38:D47">
    <cfRule type="colorScale" priority="8">
      <colorScale>
        <cfvo type="min"/>
        <cfvo type="percentile" val="50"/>
        <cfvo type="max"/>
        <color rgb="FF63BE7B"/>
        <color rgb="FFFFEB84"/>
        <color rgb="FFF8696B"/>
      </colorScale>
    </cfRule>
  </conditionalFormatting>
  <conditionalFormatting sqref="E38:E47">
    <cfRule type="colorScale" priority="7">
      <colorScale>
        <cfvo type="min"/>
        <cfvo type="percentile" val="50"/>
        <cfvo type="max"/>
        <color rgb="FF63BE7B"/>
        <color rgb="FFFFEB84"/>
        <color rgb="FFF8696B"/>
      </colorScale>
    </cfRule>
  </conditionalFormatting>
  <conditionalFormatting sqref="F38:F47">
    <cfRule type="colorScale" priority="6">
      <colorScale>
        <cfvo type="min"/>
        <cfvo type="percentile" val="50"/>
        <cfvo type="max"/>
        <color rgb="FF63BE7B"/>
        <color rgb="FFFFEB84"/>
        <color rgb="FFF8696B"/>
      </colorScale>
    </cfRule>
  </conditionalFormatting>
  <conditionalFormatting sqref="G38:G47">
    <cfRule type="colorScale" priority="5">
      <colorScale>
        <cfvo type="min"/>
        <cfvo type="percentile" val="50"/>
        <cfvo type="max"/>
        <color rgb="FF63BE7B"/>
        <color rgb="FFFFEB84"/>
        <color rgb="FFF8696B"/>
      </colorScale>
    </cfRule>
  </conditionalFormatting>
  <conditionalFormatting sqref="H38:H47">
    <cfRule type="colorScale" priority="4">
      <colorScale>
        <cfvo type="min"/>
        <cfvo type="percentile" val="50"/>
        <cfvo type="max"/>
        <color rgb="FF63BE7B"/>
        <color rgb="FFFFEB84"/>
        <color rgb="FFF8696B"/>
      </colorScale>
    </cfRule>
  </conditionalFormatting>
  <conditionalFormatting sqref="I38:I47">
    <cfRule type="colorScale" priority="3">
      <colorScale>
        <cfvo type="min"/>
        <cfvo type="percentile" val="50"/>
        <cfvo type="max"/>
        <color rgb="FF63BE7B"/>
        <color rgb="FFFFEB84"/>
        <color rgb="FFF8696B"/>
      </colorScale>
    </cfRule>
  </conditionalFormatting>
  <conditionalFormatting sqref="J38:J47">
    <cfRule type="colorScale" priority="2">
      <colorScale>
        <cfvo type="min"/>
        <cfvo type="percentile" val="50"/>
        <cfvo type="max"/>
        <color rgb="FF63BE7B"/>
        <color rgb="FFFFEB84"/>
        <color rgb="FFF8696B"/>
      </colorScale>
    </cfRule>
  </conditionalFormatting>
  <conditionalFormatting sqref="K38:K47">
    <cfRule type="colorScale" priority="1">
      <colorScale>
        <cfvo type="min"/>
        <cfvo type="percentile" val="50"/>
        <cfvo type="max"/>
        <color rgb="FF63BE7B"/>
        <color rgb="FFFFEB84"/>
        <color rgb="FFF8696B"/>
      </colorScale>
    </cfRule>
  </conditionalFormatting>
  <pageMargins left="0.7" right="0.7" top="0.75" bottom="0.75" header="0.3" footer="0.3"/>
  <ignoredErrors>
    <ignoredError sqref="I38:I47" 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8908F2-7C9E-1540-A3E7-F6B29B35FBC1}">
  <sheetPr codeName="Sheet14"/>
  <dimension ref="A1:Y36"/>
  <sheetViews>
    <sheetView workbookViewId="0">
      <selection activeCell="A4" sqref="A4"/>
    </sheetView>
  </sheetViews>
  <sheetFormatPr baseColWidth="10" defaultRowHeight="16"/>
  <cols>
    <col min="1" max="1" width="24.33203125" customWidth="1"/>
    <col min="2" max="2" width="9" customWidth="1"/>
    <col min="3" max="3" width="8.83203125" customWidth="1"/>
  </cols>
  <sheetData>
    <row r="1" spans="1:25">
      <c r="A1" s="47" t="s">
        <v>158</v>
      </c>
      <c r="B1" s="40"/>
      <c r="C1" s="40"/>
      <c r="D1" s="41"/>
      <c r="E1" s="41"/>
      <c r="F1" s="41"/>
      <c r="G1" s="41"/>
      <c r="H1" s="41"/>
      <c r="I1" s="41"/>
      <c r="J1" s="41"/>
      <c r="K1" s="41"/>
      <c r="L1" s="41"/>
      <c r="M1" s="42"/>
      <c r="N1" s="42"/>
      <c r="O1" s="42"/>
      <c r="P1" s="42"/>
      <c r="Q1" s="43"/>
      <c r="R1" s="44"/>
      <c r="S1" s="42"/>
      <c r="T1" s="42"/>
      <c r="U1" s="42"/>
      <c r="V1" s="42"/>
      <c r="W1" s="42"/>
      <c r="X1" s="42"/>
      <c r="Y1" s="42"/>
    </row>
    <row r="2" spans="1:25">
      <c r="A2" s="45" t="s">
        <v>159</v>
      </c>
      <c r="B2" s="46"/>
      <c r="C2" s="46"/>
      <c r="D2" s="46"/>
      <c r="E2" s="46"/>
      <c r="F2" s="46"/>
      <c r="G2" s="46"/>
      <c r="H2" s="46"/>
      <c r="I2" s="46"/>
      <c r="J2" s="46"/>
      <c r="K2" s="46"/>
      <c r="L2" s="46"/>
      <c r="M2" s="46"/>
      <c r="N2" s="46"/>
      <c r="O2" s="46"/>
      <c r="P2" s="46"/>
      <c r="Q2" s="46"/>
      <c r="R2" s="46"/>
      <c r="S2" s="46"/>
      <c r="T2" s="46"/>
      <c r="U2" s="46"/>
      <c r="V2" s="46"/>
      <c r="W2" s="46"/>
      <c r="X2" s="46"/>
      <c r="Y2" s="46"/>
    </row>
    <row r="3" spans="1:25">
      <c r="A3" s="33" t="s">
        <v>153</v>
      </c>
      <c r="B3" s="34" t="s">
        <v>156</v>
      </c>
      <c r="C3" s="34" t="s">
        <v>155</v>
      </c>
      <c r="D3" s="35" t="s">
        <v>3</v>
      </c>
      <c r="E3" s="35" t="s">
        <v>4</v>
      </c>
      <c r="F3" s="35" t="s">
        <v>5</v>
      </c>
      <c r="G3" s="35" t="s">
        <v>6</v>
      </c>
      <c r="H3" s="35" t="s">
        <v>7</v>
      </c>
      <c r="I3" s="35" t="s">
        <v>8</v>
      </c>
      <c r="J3" s="35" t="s">
        <v>9</v>
      </c>
      <c r="K3" s="35" t="s">
        <v>10</v>
      </c>
      <c r="L3" s="35" t="s">
        <v>11</v>
      </c>
      <c r="M3" s="36" t="s">
        <v>12</v>
      </c>
      <c r="N3" s="36" t="s">
        <v>13</v>
      </c>
      <c r="O3" s="36" t="s">
        <v>126</v>
      </c>
      <c r="P3" s="36" t="s">
        <v>127</v>
      </c>
      <c r="Q3" s="37" t="s">
        <v>144</v>
      </c>
      <c r="R3" s="38" t="s">
        <v>145</v>
      </c>
      <c r="S3" s="39" t="s">
        <v>146</v>
      </c>
      <c r="T3" s="39" t="s">
        <v>147</v>
      </c>
      <c r="U3" s="39" t="s">
        <v>148</v>
      </c>
      <c r="V3" s="39" t="s">
        <v>149</v>
      </c>
      <c r="W3" s="39" t="s">
        <v>150</v>
      </c>
      <c r="X3" s="39" t="s">
        <v>151</v>
      </c>
      <c r="Y3" s="39" t="s">
        <v>152</v>
      </c>
    </row>
    <row r="4" spans="1:25">
      <c r="A4" s="6"/>
      <c r="B4" s="8" t="e">
        <f>VLOOKUP($A4, All!$A$2:$AB$273,2,0)</f>
        <v>#N/A</v>
      </c>
      <c r="C4" s="8" t="e">
        <f>VLOOKUP($A4, All!$A$2:$AB$273,3,0)</f>
        <v>#N/A</v>
      </c>
      <c r="D4" s="8" t="e">
        <f>VLOOKUP($A4, All!$A$2:$AB$273,4,0)</f>
        <v>#N/A</v>
      </c>
      <c r="E4" s="8" t="e">
        <f>VLOOKUP($A4, All!$A$2:$AB$273,5,0)</f>
        <v>#N/A</v>
      </c>
      <c r="F4" s="8" t="e">
        <f>VLOOKUP($A4, All!$A$2:$AB$273,6,0)</f>
        <v>#N/A</v>
      </c>
      <c r="G4" s="8" t="e">
        <f>VLOOKUP($A4, All!$A$2:$AB$273,7,0)</f>
        <v>#N/A</v>
      </c>
      <c r="H4" s="8" t="e">
        <f>VLOOKUP($A4, All!$A$2:$AB$273,8,0)</f>
        <v>#N/A</v>
      </c>
      <c r="I4" s="8" t="e">
        <f>VLOOKUP($A4, All!$A$2:$AB$273,9,0)</f>
        <v>#N/A</v>
      </c>
      <c r="J4" s="8" t="e">
        <f>VLOOKUP($A4, All!$A$2:$AB$273,10,0)</f>
        <v>#N/A</v>
      </c>
      <c r="K4" s="8" t="e">
        <f>VLOOKUP($A4, All!$A$2:$AB$273,11,0)</f>
        <v>#N/A</v>
      </c>
      <c r="L4" s="8" t="e">
        <f>VLOOKUP($A4, All!$A$2:$AB$273,12,0)</f>
        <v>#N/A</v>
      </c>
      <c r="M4" s="8" t="e">
        <f>VLOOKUP($A4, All!$A$2:$AB$273,13,0)</f>
        <v>#N/A</v>
      </c>
      <c r="N4" s="8" t="e">
        <f>VLOOKUP($A4, All!$A$2:$AB$273,14,0)</f>
        <v>#N/A</v>
      </c>
      <c r="O4" s="8" t="e">
        <f>VLOOKUP($A4, All!$A$2:$AB$273,15,0)</f>
        <v>#N/A</v>
      </c>
      <c r="P4" s="8" t="e">
        <f>VLOOKUP($A4, All!$A$2:$AB$273,16,0)</f>
        <v>#N/A</v>
      </c>
      <c r="Q4" s="8" t="e">
        <f>VLOOKUP($A4, All!$A$2:$AB$273,17,0)</f>
        <v>#N/A</v>
      </c>
      <c r="R4" s="8" t="e">
        <f>VLOOKUP($A4, All!$A$2:$AB$273,18,0)</f>
        <v>#N/A</v>
      </c>
      <c r="S4" s="8" t="e">
        <f>VLOOKUP($A4, All!$A$2:$AB$273,19,0)</f>
        <v>#N/A</v>
      </c>
      <c r="T4" s="8" t="e">
        <f>VLOOKUP($A4, All!$A$2:$AB$273,20,0)</f>
        <v>#N/A</v>
      </c>
      <c r="U4" s="8" t="e">
        <f>VLOOKUP($A4, All!$A$2:$AB$273,21,0)</f>
        <v>#N/A</v>
      </c>
      <c r="V4" s="8" t="e">
        <f>VLOOKUP($A4, All!$A$2:$AB$273,22,0)</f>
        <v>#N/A</v>
      </c>
      <c r="W4" s="8" t="e">
        <f>VLOOKUP($A4, All!$A$2:$AB$273,23,0)</f>
        <v>#N/A</v>
      </c>
      <c r="X4" s="8" t="e">
        <f>VLOOKUP($A4, All!$A$2:$AB$273,24,0)</f>
        <v>#N/A</v>
      </c>
      <c r="Y4" s="8" t="e">
        <f>VLOOKUP($A4, All!$A$2:$AB$273,25,0)</f>
        <v>#N/A</v>
      </c>
    </row>
    <row r="5" spans="1:25">
      <c r="A5" s="6"/>
      <c r="B5" s="8" t="e">
        <f>VLOOKUP($A5, All!$A$2:$AB$273,2,0)</f>
        <v>#N/A</v>
      </c>
      <c r="C5" s="8" t="e">
        <f>VLOOKUP($A5, All!$A$2:$AB$273,3,0)</f>
        <v>#N/A</v>
      </c>
      <c r="D5" s="8" t="e">
        <f>VLOOKUP($A5, All!$A$2:$AB$273,4,0)</f>
        <v>#N/A</v>
      </c>
      <c r="E5" s="8" t="e">
        <f>VLOOKUP($A5, All!$A$2:$AB$273,5,0)</f>
        <v>#N/A</v>
      </c>
      <c r="F5" s="8" t="e">
        <f>VLOOKUP($A5, All!$A$2:$AB$273,6,0)</f>
        <v>#N/A</v>
      </c>
      <c r="G5" s="8" t="e">
        <f>VLOOKUP($A5, All!$A$2:$AB$273,7,0)</f>
        <v>#N/A</v>
      </c>
      <c r="H5" s="8" t="e">
        <f>VLOOKUP($A5, All!$A$2:$AB$273,8,0)</f>
        <v>#N/A</v>
      </c>
      <c r="I5" s="8" t="e">
        <f>VLOOKUP($A5, All!$A$2:$AB$273,9,0)</f>
        <v>#N/A</v>
      </c>
      <c r="J5" s="8" t="e">
        <f>VLOOKUP($A5, All!$A$2:$AB$273,10,0)</f>
        <v>#N/A</v>
      </c>
      <c r="K5" s="8" t="e">
        <f>VLOOKUP($A5, All!$A$2:$AB$273,11,0)</f>
        <v>#N/A</v>
      </c>
      <c r="L5" s="8" t="e">
        <f>VLOOKUP($A5, All!$A$2:$AB$273,12,0)</f>
        <v>#N/A</v>
      </c>
      <c r="M5" s="8" t="e">
        <f>VLOOKUP($A5, All!$A$2:$AB$273,13,0)</f>
        <v>#N/A</v>
      </c>
      <c r="N5" s="8" t="e">
        <f>VLOOKUP($A5, All!$A$2:$AB$273,14,0)</f>
        <v>#N/A</v>
      </c>
      <c r="O5" s="8" t="e">
        <f>VLOOKUP($A5, All!$A$2:$AB$273,15,0)</f>
        <v>#N/A</v>
      </c>
      <c r="P5" s="8" t="e">
        <f>VLOOKUP($A5, All!$A$2:$AB$273,16,0)</f>
        <v>#N/A</v>
      </c>
      <c r="Q5" s="8" t="e">
        <f>VLOOKUP($A5, All!$A$2:$AB$273,17,0)</f>
        <v>#N/A</v>
      </c>
      <c r="R5" s="8" t="e">
        <f>VLOOKUP($A5, All!$A$2:$AB$273,18,0)</f>
        <v>#N/A</v>
      </c>
      <c r="S5" s="8" t="e">
        <f>VLOOKUP($A5, All!$A$2:$AB$273,19,0)</f>
        <v>#N/A</v>
      </c>
      <c r="T5" s="8" t="e">
        <f>VLOOKUP($A5, All!$A$2:$AB$273,20,0)</f>
        <v>#N/A</v>
      </c>
      <c r="U5" s="8" t="e">
        <f>VLOOKUP($A5, All!$A$2:$AB$273,21,0)</f>
        <v>#N/A</v>
      </c>
      <c r="V5" s="8" t="e">
        <f>VLOOKUP($A5, All!$A$2:$AB$273,22,0)</f>
        <v>#N/A</v>
      </c>
      <c r="W5" s="8" t="e">
        <f>VLOOKUP($A5, All!$A$2:$AB$273,23,0)</f>
        <v>#N/A</v>
      </c>
      <c r="X5" s="8" t="e">
        <f>VLOOKUP($A5, All!$A$2:$AB$273,24,0)</f>
        <v>#N/A</v>
      </c>
      <c r="Y5" s="8" t="e">
        <f>VLOOKUP($A5, All!$A$2:$AB$273,25,0)</f>
        <v>#N/A</v>
      </c>
    </row>
    <row r="6" spans="1:25">
      <c r="A6" s="6"/>
      <c r="B6" s="8" t="e">
        <f>VLOOKUP($A6, All!$A$2:$AB$273,2,0)</f>
        <v>#N/A</v>
      </c>
      <c r="C6" s="8" t="e">
        <f>VLOOKUP($A6, All!$A$2:$AB$273,3,0)</f>
        <v>#N/A</v>
      </c>
      <c r="D6" s="8" t="e">
        <f>VLOOKUP($A6, All!$A$2:$AB$273,4,0)</f>
        <v>#N/A</v>
      </c>
      <c r="E6" s="8" t="e">
        <f>VLOOKUP($A6, All!$A$2:$AB$273,5,0)</f>
        <v>#N/A</v>
      </c>
      <c r="F6" s="8" t="e">
        <f>VLOOKUP($A6, All!$A$2:$AB$273,6,0)</f>
        <v>#N/A</v>
      </c>
      <c r="G6" s="8" t="e">
        <f>VLOOKUP($A6, All!$A$2:$AB$273,7,0)</f>
        <v>#N/A</v>
      </c>
      <c r="H6" s="8" t="e">
        <f>VLOOKUP($A6, All!$A$2:$AB$273,8,0)</f>
        <v>#N/A</v>
      </c>
      <c r="I6" s="8" t="e">
        <f>VLOOKUP($A6, All!$A$2:$AB$273,9,0)</f>
        <v>#N/A</v>
      </c>
      <c r="J6" s="8" t="e">
        <f>VLOOKUP($A6, All!$A$2:$AB$273,10,0)</f>
        <v>#N/A</v>
      </c>
      <c r="K6" s="8" t="e">
        <f>VLOOKUP($A6, All!$A$2:$AB$273,11,0)</f>
        <v>#N/A</v>
      </c>
      <c r="L6" s="8" t="e">
        <f>VLOOKUP($A6, All!$A$2:$AB$273,12,0)</f>
        <v>#N/A</v>
      </c>
      <c r="M6" s="8" t="e">
        <f>VLOOKUP($A6, All!$A$2:$AB$273,13,0)</f>
        <v>#N/A</v>
      </c>
      <c r="N6" s="8" t="e">
        <f>VLOOKUP($A6, All!$A$2:$AB$273,14,0)</f>
        <v>#N/A</v>
      </c>
      <c r="O6" s="8" t="e">
        <f>VLOOKUP($A6, All!$A$2:$AB$273,15,0)</f>
        <v>#N/A</v>
      </c>
      <c r="P6" s="8" t="e">
        <f>VLOOKUP($A6, All!$A$2:$AB$273,16,0)</f>
        <v>#N/A</v>
      </c>
      <c r="Q6" s="8" t="e">
        <f>VLOOKUP($A6, All!$A$2:$AB$273,17,0)</f>
        <v>#N/A</v>
      </c>
      <c r="R6" s="8" t="e">
        <f>VLOOKUP($A6, All!$A$2:$AB$273,18,0)</f>
        <v>#N/A</v>
      </c>
      <c r="S6" s="8" t="e">
        <f>VLOOKUP($A6, All!$A$2:$AB$273,19,0)</f>
        <v>#N/A</v>
      </c>
      <c r="T6" s="8" t="e">
        <f>VLOOKUP($A6, All!$A$2:$AB$273,20,0)</f>
        <v>#N/A</v>
      </c>
      <c r="U6" s="8" t="e">
        <f>VLOOKUP($A6, All!$A$2:$AB$273,21,0)</f>
        <v>#N/A</v>
      </c>
      <c r="V6" s="8" t="e">
        <f>VLOOKUP($A6, All!$A$2:$AB$273,22,0)</f>
        <v>#N/A</v>
      </c>
      <c r="W6" s="8" t="e">
        <f>VLOOKUP($A6, All!$A$2:$AB$273,23,0)</f>
        <v>#N/A</v>
      </c>
      <c r="X6" s="8" t="e">
        <f>VLOOKUP($A6, All!$A$2:$AB$273,24,0)</f>
        <v>#N/A</v>
      </c>
      <c r="Y6" s="8" t="e">
        <f>VLOOKUP($A6, All!$A$2:$AB$273,25,0)</f>
        <v>#N/A</v>
      </c>
    </row>
    <row r="7" spans="1:25">
      <c r="A7" s="6"/>
      <c r="B7" s="8" t="e">
        <f>VLOOKUP($A7, All!$A$2:$AB$273,2,0)</f>
        <v>#N/A</v>
      </c>
      <c r="C7" s="8" t="e">
        <f>VLOOKUP($A7, All!$A$2:$AB$273,3,0)</f>
        <v>#N/A</v>
      </c>
      <c r="D7" s="8" t="e">
        <f>VLOOKUP($A7, All!$A$2:$AB$273,4,0)</f>
        <v>#N/A</v>
      </c>
      <c r="E7" s="8" t="e">
        <f>VLOOKUP($A7, All!$A$2:$AB$273,5,0)</f>
        <v>#N/A</v>
      </c>
      <c r="F7" s="8" t="e">
        <f>VLOOKUP($A7, All!$A$2:$AB$273,6,0)</f>
        <v>#N/A</v>
      </c>
      <c r="G7" s="8" t="e">
        <f>VLOOKUP($A7, All!$A$2:$AB$273,7,0)</f>
        <v>#N/A</v>
      </c>
      <c r="H7" s="8" t="e">
        <f>VLOOKUP($A7, All!$A$2:$AB$273,8,0)</f>
        <v>#N/A</v>
      </c>
      <c r="I7" s="8" t="e">
        <f>VLOOKUP($A7, All!$A$2:$AB$273,9,0)</f>
        <v>#N/A</v>
      </c>
      <c r="J7" s="8" t="e">
        <f>VLOOKUP($A7, All!$A$2:$AB$273,10,0)</f>
        <v>#N/A</v>
      </c>
      <c r="K7" s="8" t="e">
        <f>VLOOKUP($A7, All!$A$2:$AB$273,11,0)</f>
        <v>#N/A</v>
      </c>
      <c r="L7" s="8" t="e">
        <f>VLOOKUP($A7, All!$A$2:$AB$273,12,0)</f>
        <v>#N/A</v>
      </c>
      <c r="M7" s="8" t="e">
        <f>VLOOKUP($A7, All!$A$2:$AB$273,13,0)</f>
        <v>#N/A</v>
      </c>
      <c r="N7" s="8" t="e">
        <f>VLOOKUP($A7, All!$A$2:$AB$273,14,0)</f>
        <v>#N/A</v>
      </c>
      <c r="O7" s="8" t="e">
        <f>VLOOKUP($A7, All!$A$2:$AB$273,15,0)</f>
        <v>#N/A</v>
      </c>
      <c r="P7" s="8" t="e">
        <f>VLOOKUP($A7, All!$A$2:$AB$273,16,0)</f>
        <v>#N/A</v>
      </c>
      <c r="Q7" s="8" t="e">
        <f>VLOOKUP($A7, All!$A$2:$AB$273,17,0)</f>
        <v>#N/A</v>
      </c>
      <c r="R7" s="8" t="e">
        <f>VLOOKUP($A7, All!$A$2:$AB$273,18,0)</f>
        <v>#N/A</v>
      </c>
      <c r="S7" s="8" t="e">
        <f>VLOOKUP($A7, All!$A$2:$AB$273,19,0)</f>
        <v>#N/A</v>
      </c>
      <c r="T7" s="8" t="e">
        <f>VLOOKUP($A7, All!$A$2:$AB$273,20,0)</f>
        <v>#N/A</v>
      </c>
      <c r="U7" s="8" t="e">
        <f>VLOOKUP($A7, All!$A$2:$AB$273,21,0)</f>
        <v>#N/A</v>
      </c>
      <c r="V7" s="8" t="e">
        <f>VLOOKUP($A7, All!$A$2:$AB$273,22,0)</f>
        <v>#N/A</v>
      </c>
      <c r="W7" s="8" t="e">
        <f>VLOOKUP($A7, All!$A$2:$AB$273,23,0)</f>
        <v>#N/A</v>
      </c>
      <c r="X7" s="8" t="e">
        <f>VLOOKUP($A7, All!$A$2:$AB$273,24,0)</f>
        <v>#N/A</v>
      </c>
      <c r="Y7" s="8" t="e">
        <f>VLOOKUP($A7, All!$A$2:$AB$273,25,0)</f>
        <v>#N/A</v>
      </c>
    </row>
    <row r="8" spans="1:25">
      <c r="A8" s="6"/>
      <c r="B8" s="8" t="e">
        <f>VLOOKUP($A8, All!$A$2:$AB$273,2,0)</f>
        <v>#N/A</v>
      </c>
      <c r="C8" s="8" t="e">
        <f>VLOOKUP($A8, All!$A$2:$AB$273,3,0)</f>
        <v>#N/A</v>
      </c>
      <c r="D8" s="8" t="e">
        <f>VLOOKUP($A8, All!$A$2:$AB$273,4,0)</f>
        <v>#N/A</v>
      </c>
      <c r="E8" s="8" t="e">
        <f>VLOOKUP($A8, All!$A$2:$AB$273,5,0)</f>
        <v>#N/A</v>
      </c>
      <c r="F8" s="8" t="e">
        <f>VLOOKUP($A8, All!$A$2:$AB$273,6,0)</f>
        <v>#N/A</v>
      </c>
      <c r="G8" s="8" t="e">
        <f>VLOOKUP($A8, All!$A$2:$AB$273,7,0)</f>
        <v>#N/A</v>
      </c>
      <c r="H8" s="8" t="e">
        <f>VLOOKUP($A8, All!$A$2:$AB$273,8,0)</f>
        <v>#N/A</v>
      </c>
      <c r="I8" s="8" t="e">
        <f>VLOOKUP($A8, All!$A$2:$AB$273,9,0)</f>
        <v>#N/A</v>
      </c>
      <c r="J8" s="8" t="e">
        <f>VLOOKUP($A8, All!$A$2:$AB$273,10,0)</f>
        <v>#N/A</v>
      </c>
      <c r="K8" s="8" t="e">
        <f>VLOOKUP($A8, All!$A$2:$AB$273,11,0)</f>
        <v>#N/A</v>
      </c>
      <c r="L8" s="8" t="e">
        <f>VLOOKUP($A8, All!$A$2:$AB$273,12,0)</f>
        <v>#N/A</v>
      </c>
      <c r="M8" s="8" t="e">
        <f>VLOOKUP($A8, All!$A$2:$AB$273,13,0)</f>
        <v>#N/A</v>
      </c>
      <c r="N8" s="8" t="e">
        <f>VLOOKUP($A8, All!$A$2:$AB$273,14,0)</f>
        <v>#N/A</v>
      </c>
      <c r="O8" s="8" t="e">
        <f>VLOOKUP($A8, All!$A$2:$AB$273,15,0)</f>
        <v>#N/A</v>
      </c>
      <c r="P8" s="8" t="e">
        <f>VLOOKUP($A8, All!$A$2:$AB$273,16,0)</f>
        <v>#N/A</v>
      </c>
      <c r="Q8" s="8" t="e">
        <f>VLOOKUP($A8, All!$A$2:$AB$273,17,0)</f>
        <v>#N/A</v>
      </c>
      <c r="R8" s="8" t="e">
        <f>VLOOKUP($A8, All!$A$2:$AB$273,18,0)</f>
        <v>#N/A</v>
      </c>
      <c r="S8" s="8" t="e">
        <f>VLOOKUP($A8, All!$A$2:$AB$273,19,0)</f>
        <v>#N/A</v>
      </c>
      <c r="T8" s="8" t="e">
        <f>VLOOKUP($A8, All!$A$2:$AB$273,20,0)</f>
        <v>#N/A</v>
      </c>
      <c r="U8" s="8" t="e">
        <f>VLOOKUP($A8, All!$A$2:$AB$273,21,0)</f>
        <v>#N/A</v>
      </c>
      <c r="V8" s="8" t="e">
        <f>VLOOKUP($A8, All!$A$2:$AB$273,22,0)</f>
        <v>#N/A</v>
      </c>
      <c r="W8" s="8" t="e">
        <f>VLOOKUP($A8, All!$A$2:$AB$273,23,0)</f>
        <v>#N/A</v>
      </c>
      <c r="X8" s="8" t="e">
        <f>VLOOKUP($A8, All!$A$2:$AB$273,24,0)</f>
        <v>#N/A</v>
      </c>
      <c r="Y8" s="8" t="e">
        <f>VLOOKUP($A8, All!$A$2:$AB$273,25,0)</f>
        <v>#N/A</v>
      </c>
    </row>
    <row r="9" spans="1:25">
      <c r="A9" s="6"/>
      <c r="B9" s="8" t="e">
        <f>VLOOKUP($A9, All!$A$2:$AB$273,2,0)</f>
        <v>#N/A</v>
      </c>
      <c r="C9" s="8" t="e">
        <f>VLOOKUP($A9, All!$A$2:$AB$273,3,0)</f>
        <v>#N/A</v>
      </c>
      <c r="D9" s="8" t="e">
        <f>VLOOKUP($A9, All!$A$2:$AB$273,4,0)</f>
        <v>#N/A</v>
      </c>
      <c r="E9" s="8" t="e">
        <f>VLOOKUP($A9, All!$A$2:$AB$273,5,0)</f>
        <v>#N/A</v>
      </c>
      <c r="F9" s="8" t="e">
        <f>VLOOKUP($A9, All!$A$2:$AB$273,6,0)</f>
        <v>#N/A</v>
      </c>
      <c r="G9" s="8" t="e">
        <f>VLOOKUP($A9, All!$A$2:$AB$273,7,0)</f>
        <v>#N/A</v>
      </c>
      <c r="H9" s="8" t="e">
        <f>VLOOKUP($A9, All!$A$2:$AB$273,8,0)</f>
        <v>#N/A</v>
      </c>
      <c r="I9" s="8" t="e">
        <f>VLOOKUP($A9, All!$A$2:$AB$273,9,0)</f>
        <v>#N/A</v>
      </c>
      <c r="J9" s="8" t="e">
        <f>VLOOKUP($A9, All!$A$2:$AB$273,10,0)</f>
        <v>#N/A</v>
      </c>
      <c r="K9" s="8" t="e">
        <f>VLOOKUP($A9, All!$A$2:$AB$273,11,0)</f>
        <v>#N/A</v>
      </c>
      <c r="L9" s="8" t="e">
        <f>VLOOKUP($A9, All!$A$2:$AB$273,12,0)</f>
        <v>#N/A</v>
      </c>
      <c r="M9" s="8" t="e">
        <f>VLOOKUP($A9, All!$A$2:$AB$273,13,0)</f>
        <v>#N/A</v>
      </c>
      <c r="N9" s="8" t="e">
        <f>VLOOKUP($A9, All!$A$2:$AB$273,14,0)</f>
        <v>#N/A</v>
      </c>
      <c r="O9" s="8" t="e">
        <f>VLOOKUP($A9, All!$A$2:$AB$273,15,0)</f>
        <v>#N/A</v>
      </c>
      <c r="P9" s="8" t="e">
        <f>VLOOKUP($A9, All!$A$2:$AB$273,16,0)</f>
        <v>#N/A</v>
      </c>
      <c r="Q9" s="8" t="e">
        <f>VLOOKUP($A9, All!$A$2:$AB$273,17,0)</f>
        <v>#N/A</v>
      </c>
      <c r="R9" s="8" t="e">
        <f>VLOOKUP($A9, All!$A$2:$AB$273,18,0)</f>
        <v>#N/A</v>
      </c>
      <c r="S9" s="8" t="e">
        <f>VLOOKUP($A9, All!$A$2:$AB$273,19,0)</f>
        <v>#N/A</v>
      </c>
      <c r="T9" s="8" t="e">
        <f>VLOOKUP($A9, All!$A$2:$AB$273,20,0)</f>
        <v>#N/A</v>
      </c>
      <c r="U9" s="8" t="e">
        <f>VLOOKUP($A9, All!$A$2:$AB$273,21,0)</f>
        <v>#N/A</v>
      </c>
      <c r="V9" s="8" t="e">
        <f>VLOOKUP($A9, All!$A$2:$AB$273,22,0)</f>
        <v>#N/A</v>
      </c>
      <c r="W9" s="8" t="e">
        <f>VLOOKUP($A9, All!$A$2:$AB$273,23,0)</f>
        <v>#N/A</v>
      </c>
      <c r="X9" s="8" t="e">
        <f>VLOOKUP($A9, All!$A$2:$AB$273,24,0)</f>
        <v>#N/A</v>
      </c>
      <c r="Y9" s="8" t="e">
        <f>VLOOKUP($A9, All!$A$2:$AB$273,25,0)</f>
        <v>#N/A</v>
      </c>
    </row>
    <row r="10" spans="1:25">
      <c r="A10" s="6"/>
      <c r="B10" s="8" t="e">
        <f>VLOOKUP($A10, All!$A$2:$AB$273,2,0)</f>
        <v>#N/A</v>
      </c>
      <c r="C10" s="8" t="e">
        <f>VLOOKUP($A10, All!$A$2:$AB$273,3,0)</f>
        <v>#N/A</v>
      </c>
      <c r="D10" s="8" t="e">
        <f>VLOOKUP($A10, All!$A$2:$AB$273,4,0)</f>
        <v>#N/A</v>
      </c>
      <c r="E10" s="8" t="e">
        <f>VLOOKUP($A10, All!$A$2:$AB$273,5,0)</f>
        <v>#N/A</v>
      </c>
      <c r="F10" s="8" t="e">
        <f>VLOOKUP($A10, All!$A$2:$AB$273,6,0)</f>
        <v>#N/A</v>
      </c>
      <c r="G10" s="8" t="e">
        <f>VLOOKUP($A10, All!$A$2:$AB$273,7,0)</f>
        <v>#N/A</v>
      </c>
      <c r="H10" s="8" t="e">
        <f>VLOOKUP($A10, All!$A$2:$AB$273,8,0)</f>
        <v>#N/A</v>
      </c>
      <c r="I10" s="8" t="e">
        <f>VLOOKUP($A10, All!$A$2:$AB$273,9,0)</f>
        <v>#N/A</v>
      </c>
      <c r="J10" s="8" t="e">
        <f>VLOOKUP($A10, All!$A$2:$AB$273,10,0)</f>
        <v>#N/A</v>
      </c>
      <c r="K10" s="8" t="e">
        <f>VLOOKUP($A10, All!$A$2:$AB$273,11,0)</f>
        <v>#N/A</v>
      </c>
      <c r="L10" s="8" t="e">
        <f>VLOOKUP($A10, All!$A$2:$AB$273,12,0)</f>
        <v>#N/A</v>
      </c>
      <c r="M10" s="8" t="e">
        <f>VLOOKUP($A10, All!$A$2:$AB$273,13,0)</f>
        <v>#N/A</v>
      </c>
      <c r="N10" s="8" t="e">
        <f>VLOOKUP($A10, All!$A$2:$AB$273,14,0)</f>
        <v>#N/A</v>
      </c>
      <c r="O10" s="8" t="e">
        <f>VLOOKUP($A10, All!$A$2:$AB$273,15,0)</f>
        <v>#N/A</v>
      </c>
      <c r="P10" s="8" t="e">
        <f>VLOOKUP($A10, All!$A$2:$AB$273,16,0)</f>
        <v>#N/A</v>
      </c>
      <c r="Q10" s="8" t="e">
        <f>VLOOKUP($A10, All!$A$2:$AB$273,17,0)</f>
        <v>#N/A</v>
      </c>
      <c r="R10" s="8" t="e">
        <f>VLOOKUP($A10, All!$A$2:$AB$273,18,0)</f>
        <v>#N/A</v>
      </c>
      <c r="S10" s="8" t="e">
        <f>VLOOKUP($A10, All!$A$2:$AB$273,19,0)</f>
        <v>#N/A</v>
      </c>
      <c r="T10" s="8" t="e">
        <f>VLOOKUP($A10, All!$A$2:$AB$273,20,0)</f>
        <v>#N/A</v>
      </c>
      <c r="U10" s="8" t="e">
        <f>VLOOKUP($A10, All!$A$2:$AB$273,21,0)</f>
        <v>#N/A</v>
      </c>
      <c r="V10" s="8" t="e">
        <f>VLOOKUP($A10, All!$A$2:$AB$273,22,0)</f>
        <v>#N/A</v>
      </c>
      <c r="W10" s="8" t="e">
        <f>VLOOKUP($A10, All!$A$2:$AB$273,23,0)</f>
        <v>#N/A</v>
      </c>
      <c r="X10" s="8" t="e">
        <f>VLOOKUP($A10, All!$A$2:$AB$273,24,0)</f>
        <v>#N/A</v>
      </c>
      <c r="Y10" s="8" t="e">
        <f>VLOOKUP($A10, All!$A$2:$AB$273,25,0)</f>
        <v>#N/A</v>
      </c>
    </row>
    <row r="11" spans="1:25">
      <c r="A11" s="6"/>
      <c r="B11" s="8" t="e">
        <f>VLOOKUP($A11, All!$A$2:$AB$273,2,0)</f>
        <v>#N/A</v>
      </c>
      <c r="C11" s="8" t="e">
        <f>VLOOKUP($A11, All!$A$2:$AB$273,3,0)</f>
        <v>#N/A</v>
      </c>
      <c r="D11" s="8" t="e">
        <f>VLOOKUP($A11, All!$A$2:$AB$273,4,0)</f>
        <v>#N/A</v>
      </c>
      <c r="E11" s="8" t="e">
        <f>VLOOKUP($A11, All!$A$2:$AB$273,5,0)</f>
        <v>#N/A</v>
      </c>
      <c r="F11" s="8" t="e">
        <f>VLOOKUP($A11, All!$A$2:$AB$273,6,0)</f>
        <v>#N/A</v>
      </c>
      <c r="G11" s="8" t="e">
        <f>VLOOKUP($A11, All!$A$2:$AB$273,7,0)</f>
        <v>#N/A</v>
      </c>
      <c r="H11" s="8" t="e">
        <f>VLOOKUP($A11, All!$A$2:$AB$273,8,0)</f>
        <v>#N/A</v>
      </c>
      <c r="I11" s="8" t="e">
        <f>VLOOKUP($A11, All!$A$2:$AB$273,9,0)</f>
        <v>#N/A</v>
      </c>
      <c r="J11" s="8" t="e">
        <f>VLOOKUP($A11, All!$A$2:$AB$273,10,0)</f>
        <v>#N/A</v>
      </c>
      <c r="K11" s="8" t="e">
        <f>VLOOKUP($A11, All!$A$2:$AB$273,11,0)</f>
        <v>#N/A</v>
      </c>
      <c r="L11" s="8" t="e">
        <f>VLOOKUP($A11, All!$A$2:$AB$273,12,0)</f>
        <v>#N/A</v>
      </c>
      <c r="M11" s="8" t="e">
        <f>VLOOKUP($A11, All!$A$2:$AB$273,13,0)</f>
        <v>#N/A</v>
      </c>
      <c r="N11" s="8" t="e">
        <f>VLOOKUP($A11, All!$A$2:$AB$273,14,0)</f>
        <v>#N/A</v>
      </c>
      <c r="O11" s="8" t="e">
        <f>VLOOKUP($A11, All!$A$2:$AB$273,15,0)</f>
        <v>#N/A</v>
      </c>
      <c r="P11" s="8" t="e">
        <f>VLOOKUP($A11, All!$A$2:$AB$273,16,0)</f>
        <v>#N/A</v>
      </c>
      <c r="Q11" s="8" t="e">
        <f>VLOOKUP($A11, All!$A$2:$AB$273,17,0)</f>
        <v>#N/A</v>
      </c>
      <c r="R11" s="8" t="e">
        <f>VLOOKUP($A11, All!$A$2:$AB$273,18,0)</f>
        <v>#N/A</v>
      </c>
      <c r="S11" s="8" t="e">
        <f>VLOOKUP($A11, All!$A$2:$AB$273,19,0)</f>
        <v>#N/A</v>
      </c>
      <c r="T11" s="8" t="e">
        <f>VLOOKUP($A11, All!$A$2:$AB$273,20,0)</f>
        <v>#N/A</v>
      </c>
      <c r="U11" s="8" t="e">
        <f>VLOOKUP($A11, All!$A$2:$AB$273,21,0)</f>
        <v>#N/A</v>
      </c>
      <c r="V11" s="8" t="e">
        <f>VLOOKUP($A11, All!$A$2:$AB$273,22,0)</f>
        <v>#N/A</v>
      </c>
      <c r="W11" s="8" t="e">
        <f>VLOOKUP($A11, All!$A$2:$AB$273,23,0)</f>
        <v>#N/A</v>
      </c>
      <c r="X11" s="8" t="e">
        <f>VLOOKUP($A11, All!$A$2:$AB$273,24,0)</f>
        <v>#N/A</v>
      </c>
      <c r="Y11" s="8" t="e">
        <f>VLOOKUP($A11, All!$A$2:$AB$273,25,0)</f>
        <v>#N/A</v>
      </c>
    </row>
    <row r="12" spans="1:25">
      <c r="A12" s="6"/>
      <c r="B12" s="8" t="e">
        <f>VLOOKUP($A12, All!$A$2:$AB$273,2,0)</f>
        <v>#N/A</v>
      </c>
      <c r="C12" s="8" t="e">
        <f>VLOOKUP($A12, All!$A$2:$AB$273,3,0)</f>
        <v>#N/A</v>
      </c>
      <c r="D12" s="8" t="e">
        <f>VLOOKUP($A12, All!$A$2:$AB$273,4,0)</f>
        <v>#N/A</v>
      </c>
      <c r="E12" s="8" t="e">
        <f>VLOOKUP($A12, All!$A$2:$AB$273,5,0)</f>
        <v>#N/A</v>
      </c>
      <c r="F12" s="8" t="e">
        <f>VLOOKUP($A12, All!$A$2:$AB$273,6,0)</f>
        <v>#N/A</v>
      </c>
      <c r="G12" s="8" t="e">
        <f>VLOOKUP($A12, All!$A$2:$AB$273,7,0)</f>
        <v>#N/A</v>
      </c>
      <c r="H12" s="8" t="e">
        <f>VLOOKUP($A12, All!$A$2:$AB$273,8,0)</f>
        <v>#N/A</v>
      </c>
      <c r="I12" s="8" t="e">
        <f>VLOOKUP($A12, All!$A$2:$AB$273,9,0)</f>
        <v>#N/A</v>
      </c>
      <c r="J12" s="8" t="e">
        <f>VLOOKUP($A12, All!$A$2:$AB$273,10,0)</f>
        <v>#N/A</v>
      </c>
      <c r="K12" s="8" t="e">
        <f>VLOOKUP($A12, All!$A$2:$AB$273,11,0)</f>
        <v>#N/A</v>
      </c>
      <c r="L12" s="8" t="e">
        <f>VLOOKUP($A12, All!$A$2:$AB$273,12,0)</f>
        <v>#N/A</v>
      </c>
      <c r="M12" s="8" t="e">
        <f>VLOOKUP($A12, All!$A$2:$AB$273,13,0)</f>
        <v>#N/A</v>
      </c>
      <c r="N12" s="8" t="e">
        <f>VLOOKUP($A12, All!$A$2:$AB$273,14,0)</f>
        <v>#N/A</v>
      </c>
      <c r="O12" s="8" t="e">
        <f>VLOOKUP($A12, All!$A$2:$AB$273,15,0)</f>
        <v>#N/A</v>
      </c>
      <c r="P12" s="8" t="e">
        <f>VLOOKUP($A12, All!$A$2:$AB$273,16,0)</f>
        <v>#N/A</v>
      </c>
      <c r="Q12" s="8" t="e">
        <f>VLOOKUP($A12, All!$A$2:$AB$273,17,0)</f>
        <v>#N/A</v>
      </c>
      <c r="R12" s="8" t="e">
        <f>VLOOKUP($A12, All!$A$2:$AB$273,18,0)</f>
        <v>#N/A</v>
      </c>
      <c r="S12" s="8" t="e">
        <f>VLOOKUP($A12, All!$A$2:$AB$273,19,0)</f>
        <v>#N/A</v>
      </c>
      <c r="T12" s="8" t="e">
        <f>VLOOKUP($A12, All!$A$2:$AB$273,20,0)</f>
        <v>#N/A</v>
      </c>
      <c r="U12" s="8" t="e">
        <f>VLOOKUP($A12, All!$A$2:$AB$273,21,0)</f>
        <v>#N/A</v>
      </c>
      <c r="V12" s="8" t="e">
        <f>VLOOKUP($A12, All!$A$2:$AB$273,22,0)</f>
        <v>#N/A</v>
      </c>
      <c r="W12" s="8" t="e">
        <f>VLOOKUP($A12, All!$A$2:$AB$273,23,0)</f>
        <v>#N/A</v>
      </c>
      <c r="X12" s="8" t="e">
        <f>VLOOKUP($A12, All!$A$2:$AB$273,24,0)</f>
        <v>#N/A</v>
      </c>
      <c r="Y12" s="8" t="e">
        <f>VLOOKUP($A12, All!$A$2:$AB$273,25,0)</f>
        <v>#N/A</v>
      </c>
    </row>
    <row r="13" spans="1:25">
      <c r="A13" s="6"/>
      <c r="B13" s="8" t="e">
        <f>VLOOKUP($A13, All!$A$2:$AB$273,2,0)</f>
        <v>#N/A</v>
      </c>
      <c r="C13" s="8" t="e">
        <f>VLOOKUP($A13, All!$A$2:$AB$273,3,0)</f>
        <v>#N/A</v>
      </c>
      <c r="D13" s="8" t="e">
        <f>VLOOKUP($A13, All!$A$2:$AB$273,4,0)</f>
        <v>#N/A</v>
      </c>
      <c r="E13" s="8" t="e">
        <f>VLOOKUP($A13, All!$A$2:$AB$273,5,0)</f>
        <v>#N/A</v>
      </c>
      <c r="F13" s="8" t="e">
        <f>VLOOKUP($A13, All!$A$2:$AB$273,6,0)</f>
        <v>#N/A</v>
      </c>
      <c r="G13" s="8" t="e">
        <f>VLOOKUP($A13, All!$A$2:$AB$273,7,0)</f>
        <v>#N/A</v>
      </c>
      <c r="H13" s="8" t="e">
        <f>VLOOKUP($A13, All!$A$2:$AB$273,8,0)</f>
        <v>#N/A</v>
      </c>
      <c r="I13" s="8" t="e">
        <f>VLOOKUP($A13, All!$A$2:$AB$273,9,0)</f>
        <v>#N/A</v>
      </c>
      <c r="J13" s="8" t="e">
        <f>VLOOKUP($A13, All!$A$2:$AB$273,10,0)</f>
        <v>#N/A</v>
      </c>
      <c r="K13" s="8" t="e">
        <f>VLOOKUP($A13, All!$A$2:$AB$273,11,0)</f>
        <v>#N/A</v>
      </c>
      <c r="L13" s="8" t="e">
        <f>VLOOKUP($A13, All!$A$2:$AB$273,12,0)</f>
        <v>#N/A</v>
      </c>
      <c r="M13" s="8" t="e">
        <f>VLOOKUP($A13, All!$A$2:$AB$273,13,0)</f>
        <v>#N/A</v>
      </c>
      <c r="N13" s="8" t="e">
        <f>VLOOKUP($A13, All!$A$2:$AB$273,14,0)</f>
        <v>#N/A</v>
      </c>
      <c r="O13" s="8" t="e">
        <f>VLOOKUP($A13, All!$A$2:$AB$273,15,0)</f>
        <v>#N/A</v>
      </c>
      <c r="P13" s="8" t="e">
        <f>VLOOKUP($A13, All!$A$2:$AB$273,16,0)</f>
        <v>#N/A</v>
      </c>
      <c r="Q13" s="8" t="e">
        <f>VLOOKUP($A13, All!$A$2:$AB$273,17,0)</f>
        <v>#N/A</v>
      </c>
      <c r="R13" s="8" t="e">
        <f>VLOOKUP($A13, All!$A$2:$AB$273,18,0)</f>
        <v>#N/A</v>
      </c>
      <c r="S13" s="8" t="e">
        <f>VLOOKUP($A13, All!$A$2:$AB$273,19,0)</f>
        <v>#N/A</v>
      </c>
      <c r="T13" s="8" t="e">
        <f>VLOOKUP($A13, All!$A$2:$AB$273,20,0)</f>
        <v>#N/A</v>
      </c>
      <c r="U13" s="8" t="e">
        <f>VLOOKUP($A13, All!$A$2:$AB$273,21,0)</f>
        <v>#N/A</v>
      </c>
      <c r="V13" s="8" t="e">
        <f>VLOOKUP($A13, All!$A$2:$AB$273,22,0)</f>
        <v>#N/A</v>
      </c>
      <c r="W13" s="8" t="e">
        <f>VLOOKUP($A13, All!$A$2:$AB$273,23,0)</f>
        <v>#N/A</v>
      </c>
      <c r="X13" s="8" t="e">
        <f>VLOOKUP($A13, All!$A$2:$AB$273,24,0)</f>
        <v>#N/A</v>
      </c>
      <c r="Y13" s="8" t="e">
        <f>VLOOKUP($A13, All!$A$2:$AB$273,25,0)</f>
        <v>#N/A</v>
      </c>
    </row>
    <row r="14" spans="1:25">
      <c r="A14" s="6"/>
      <c r="B14" s="8" t="e">
        <f>VLOOKUP($A14, All!$A$2:$AB$273,2,0)</f>
        <v>#N/A</v>
      </c>
      <c r="C14" s="8" t="e">
        <f>VLOOKUP($A14, All!$A$2:$AB$273,3,0)</f>
        <v>#N/A</v>
      </c>
      <c r="D14" s="8" t="e">
        <f>VLOOKUP($A14, All!$A$2:$AB$273,4,0)</f>
        <v>#N/A</v>
      </c>
      <c r="E14" s="8" t="e">
        <f>VLOOKUP($A14, All!$A$2:$AB$273,5,0)</f>
        <v>#N/A</v>
      </c>
      <c r="F14" s="8" t="e">
        <f>VLOOKUP($A14, All!$A$2:$AB$273,6,0)</f>
        <v>#N/A</v>
      </c>
      <c r="G14" s="8" t="e">
        <f>VLOOKUP($A14, All!$A$2:$AB$273,7,0)</f>
        <v>#N/A</v>
      </c>
      <c r="H14" s="8" t="e">
        <f>VLOOKUP($A14, All!$A$2:$AB$273,8,0)</f>
        <v>#N/A</v>
      </c>
      <c r="I14" s="8" t="e">
        <f>VLOOKUP($A14, All!$A$2:$AB$273,9,0)</f>
        <v>#N/A</v>
      </c>
      <c r="J14" s="8" t="e">
        <f>VLOOKUP($A14, All!$A$2:$AB$273,10,0)</f>
        <v>#N/A</v>
      </c>
      <c r="K14" s="8" t="e">
        <f>VLOOKUP($A14, All!$A$2:$AB$273,11,0)</f>
        <v>#N/A</v>
      </c>
      <c r="L14" s="8" t="e">
        <f>VLOOKUP($A14, All!$A$2:$AB$273,12,0)</f>
        <v>#N/A</v>
      </c>
      <c r="M14" s="8" t="e">
        <f>VLOOKUP($A14, All!$A$2:$AB$273,13,0)</f>
        <v>#N/A</v>
      </c>
      <c r="N14" s="8" t="e">
        <f>VLOOKUP($A14, All!$A$2:$AB$273,14,0)</f>
        <v>#N/A</v>
      </c>
      <c r="O14" s="8" t="e">
        <f>VLOOKUP($A14, All!$A$2:$AB$273,15,0)</f>
        <v>#N/A</v>
      </c>
      <c r="P14" s="8" t="e">
        <f>VLOOKUP($A14, All!$A$2:$AB$273,16,0)</f>
        <v>#N/A</v>
      </c>
      <c r="Q14" s="8" t="e">
        <f>VLOOKUP($A14, All!$A$2:$AB$273,17,0)</f>
        <v>#N/A</v>
      </c>
      <c r="R14" s="8" t="e">
        <f>VLOOKUP($A14, All!$A$2:$AB$273,18,0)</f>
        <v>#N/A</v>
      </c>
      <c r="S14" s="8" t="e">
        <f>VLOOKUP($A14, All!$A$2:$AB$273,19,0)</f>
        <v>#N/A</v>
      </c>
      <c r="T14" s="8" t="e">
        <f>VLOOKUP($A14, All!$A$2:$AB$273,20,0)</f>
        <v>#N/A</v>
      </c>
      <c r="U14" s="8" t="e">
        <f>VLOOKUP($A14, All!$A$2:$AB$273,21,0)</f>
        <v>#N/A</v>
      </c>
      <c r="V14" s="8" t="e">
        <f>VLOOKUP($A14, All!$A$2:$AB$273,22,0)</f>
        <v>#N/A</v>
      </c>
      <c r="W14" s="8" t="e">
        <f>VLOOKUP($A14, All!$A$2:$AB$273,23,0)</f>
        <v>#N/A</v>
      </c>
      <c r="X14" s="8" t="e">
        <f>VLOOKUP($A14, All!$A$2:$AB$273,24,0)</f>
        <v>#N/A</v>
      </c>
      <c r="Y14" s="8" t="e">
        <f>VLOOKUP($A14, All!$A$2:$AB$273,25,0)</f>
        <v>#N/A</v>
      </c>
    </row>
    <row r="15" spans="1:25">
      <c r="A15" s="6"/>
      <c r="B15" s="8" t="e">
        <f>VLOOKUP($A15, All!$A$2:$AB$273,2,0)</f>
        <v>#N/A</v>
      </c>
      <c r="C15" s="8" t="e">
        <f>VLOOKUP($A15, All!$A$2:$AB$273,3,0)</f>
        <v>#N/A</v>
      </c>
      <c r="D15" s="8" t="e">
        <f>VLOOKUP($A15, All!$A$2:$AB$273,4,0)</f>
        <v>#N/A</v>
      </c>
      <c r="E15" s="8" t="e">
        <f>VLOOKUP($A15, All!$A$2:$AB$273,5,0)</f>
        <v>#N/A</v>
      </c>
      <c r="F15" s="8" t="e">
        <f>VLOOKUP($A15, All!$A$2:$AB$273,6,0)</f>
        <v>#N/A</v>
      </c>
      <c r="G15" s="8" t="e">
        <f>VLOOKUP($A15, All!$A$2:$AB$273,7,0)</f>
        <v>#N/A</v>
      </c>
      <c r="H15" s="8" t="e">
        <f>VLOOKUP($A15, All!$A$2:$AB$273,8,0)</f>
        <v>#N/A</v>
      </c>
      <c r="I15" s="8" t="e">
        <f>VLOOKUP($A15, All!$A$2:$AB$273,9,0)</f>
        <v>#N/A</v>
      </c>
      <c r="J15" s="8" t="e">
        <f>VLOOKUP($A15, All!$A$2:$AB$273,10,0)</f>
        <v>#N/A</v>
      </c>
      <c r="K15" s="8" t="e">
        <f>VLOOKUP($A15, All!$A$2:$AB$273,11,0)</f>
        <v>#N/A</v>
      </c>
      <c r="L15" s="8" t="e">
        <f>VLOOKUP($A15, All!$A$2:$AB$273,12,0)</f>
        <v>#N/A</v>
      </c>
      <c r="M15" s="8" t="e">
        <f>VLOOKUP($A15, All!$A$2:$AB$273,13,0)</f>
        <v>#N/A</v>
      </c>
      <c r="N15" s="8" t="e">
        <f>VLOOKUP($A15, All!$A$2:$AB$273,14,0)</f>
        <v>#N/A</v>
      </c>
      <c r="O15" s="8" t="e">
        <f>VLOOKUP($A15, All!$A$2:$AB$273,15,0)</f>
        <v>#N/A</v>
      </c>
      <c r="P15" s="8" t="e">
        <f>VLOOKUP($A15, All!$A$2:$AB$273,16,0)</f>
        <v>#N/A</v>
      </c>
      <c r="Q15" s="8" t="e">
        <f>VLOOKUP($A15, All!$A$2:$AB$273,17,0)</f>
        <v>#N/A</v>
      </c>
      <c r="R15" s="8" t="e">
        <f>VLOOKUP($A15, All!$A$2:$AB$273,18,0)</f>
        <v>#N/A</v>
      </c>
      <c r="S15" s="8" t="e">
        <f>VLOOKUP($A15, All!$A$2:$AB$273,19,0)</f>
        <v>#N/A</v>
      </c>
      <c r="T15" s="8" t="e">
        <f>VLOOKUP($A15, All!$A$2:$AB$273,20,0)</f>
        <v>#N/A</v>
      </c>
      <c r="U15" s="8" t="e">
        <f>VLOOKUP($A15, All!$A$2:$AB$273,21,0)</f>
        <v>#N/A</v>
      </c>
      <c r="V15" s="8" t="e">
        <f>VLOOKUP($A15, All!$A$2:$AB$273,22,0)</f>
        <v>#N/A</v>
      </c>
      <c r="W15" s="8" t="e">
        <f>VLOOKUP($A15, All!$A$2:$AB$273,23,0)</f>
        <v>#N/A</v>
      </c>
      <c r="X15" s="8" t="e">
        <f>VLOOKUP($A15, All!$A$2:$AB$273,24,0)</f>
        <v>#N/A</v>
      </c>
      <c r="Y15" s="8" t="e">
        <f>VLOOKUP($A15, All!$A$2:$AB$273,25,0)</f>
        <v>#N/A</v>
      </c>
    </row>
    <row r="16" spans="1:25">
      <c r="A16" s="6"/>
      <c r="B16" s="8" t="e">
        <f>VLOOKUP($A16, All!$A$2:$AB$273,2,0)</f>
        <v>#N/A</v>
      </c>
      <c r="C16" s="8" t="e">
        <f>VLOOKUP($A16, All!$A$2:$AB$273,3,0)</f>
        <v>#N/A</v>
      </c>
      <c r="D16" s="8" t="e">
        <f>VLOOKUP($A16, All!$A$2:$AB$273,4,0)</f>
        <v>#N/A</v>
      </c>
      <c r="E16" s="8" t="e">
        <f>VLOOKUP($A16, All!$A$2:$AB$273,5,0)</f>
        <v>#N/A</v>
      </c>
      <c r="F16" s="8" t="e">
        <f>VLOOKUP($A16, All!$A$2:$AB$273,6,0)</f>
        <v>#N/A</v>
      </c>
      <c r="G16" s="8" t="e">
        <f>VLOOKUP($A16, All!$A$2:$AB$273,7,0)</f>
        <v>#N/A</v>
      </c>
      <c r="H16" s="8" t="e">
        <f>VLOOKUP($A16, All!$A$2:$AB$273,8,0)</f>
        <v>#N/A</v>
      </c>
      <c r="I16" s="8" t="e">
        <f>VLOOKUP($A16, All!$A$2:$AB$273,9,0)</f>
        <v>#N/A</v>
      </c>
      <c r="J16" s="8" t="e">
        <f>VLOOKUP($A16, All!$A$2:$AB$273,10,0)</f>
        <v>#N/A</v>
      </c>
      <c r="K16" s="8" t="e">
        <f>VLOOKUP($A16, All!$A$2:$AB$273,11,0)</f>
        <v>#N/A</v>
      </c>
      <c r="L16" s="8" t="e">
        <f>VLOOKUP($A16, All!$A$2:$AB$273,12,0)</f>
        <v>#N/A</v>
      </c>
      <c r="M16" s="8" t="e">
        <f>VLOOKUP($A16, All!$A$2:$AB$273,13,0)</f>
        <v>#N/A</v>
      </c>
      <c r="N16" s="8" t="e">
        <f>VLOOKUP($A16, All!$A$2:$AB$273,14,0)</f>
        <v>#N/A</v>
      </c>
      <c r="O16" s="8" t="e">
        <f>VLOOKUP($A16, All!$A$2:$AB$273,15,0)</f>
        <v>#N/A</v>
      </c>
      <c r="P16" s="8" t="e">
        <f>VLOOKUP($A16, All!$A$2:$AB$273,16,0)</f>
        <v>#N/A</v>
      </c>
      <c r="Q16" s="8" t="e">
        <f>VLOOKUP($A16, All!$A$2:$AB$273,17,0)</f>
        <v>#N/A</v>
      </c>
      <c r="R16" s="8" t="e">
        <f>VLOOKUP($A16, All!$A$2:$AB$273,18,0)</f>
        <v>#N/A</v>
      </c>
      <c r="S16" s="8" t="e">
        <f>VLOOKUP($A16, All!$A$2:$AB$273,19,0)</f>
        <v>#N/A</v>
      </c>
      <c r="T16" s="8" t="e">
        <f>VLOOKUP($A16, All!$A$2:$AB$273,20,0)</f>
        <v>#N/A</v>
      </c>
      <c r="U16" s="8" t="e">
        <f>VLOOKUP($A16, All!$A$2:$AB$273,21,0)</f>
        <v>#N/A</v>
      </c>
      <c r="V16" s="8" t="e">
        <f>VLOOKUP($A16, All!$A$2:$AB$273,22,0)</f>
        <v>#N/A</v>
      </c>
      <c r="W16" s="8" t="e">
        <f>VLOOKUP($A16, All!$A$2:$AB$273,23,0)</f>
        <v>#N/A</v>
      </c>
      <c r="X16" s="8" t="e">
        <f>VLOOKUP($A16, All!$A$2:$AB$273,24,0)</f>
        <v>#N/A</v>
      </c>
      <c r="Y16" s="8" t="e">
        <f>VLOOKUP($A16, All!$A$2:$AB$273,25,0)</f>
        <v>#N/A</v>
      </c>
    </row>
    <row r="18" spans="1:25">
      <c r="A18" s="30" t="s">
        <v>154</v>
      </c>
      <c r="B18" s="32" t="s">
        <v>156</v>
      </c>
      <c r="C18" s="32" t="s">
        <v>155</v>
      </c>
      <c r="D18" s="24" t="s">
        <v>3</v>
      </c>
      <c r="E18" s="24" t="s">
        <v>4</v>
      </c>
      <c r="F18" s="24" t="s">
        <v>5</v>
      </c>
      <c r="G18" s="24" t="s">
        <v>6</v>
      </c>
      <c r="H18" s="24" t="s">
        <v>7</v>
      </c>
      <c r="I18" s="24" t="s">
        <v>8</v>
      </c>
      <c r="J18" s="24" t="s">
        <v>9</v>
      </c>
      <c r="K18" s="24" t="s">
        <v>10</v>
      </c>
      <c r="L18" s="24" t="s">
        <v>11</v>
      </c>
      <c r="M18" s="12" t="s">
        <v>12</v>
      </c>
      <c r="N18" s="12" t="s">
        <v>13</v>
      </c>
      <c r="O18" s="12" t="s">
        <v>126</v>
      </c>
      <c r="P18" s="12" t="s">
        <v>127</v>
      </c>
      <c r="Q18" s="27" t="s">
        <v>144</v>
      </c>
      <c r="R18" s="28" t="s">
        <v>145</v>
      </c>
      <c r="S18" s="29" t="s">
        <v>146</v>
      </c>
      <c r="T18" s="29" t="s">
        <v>147</v>
      </c>
      <c r="U18" s="29" t="s">
        <v>148</v>
      </c>
      <c r="V18" s="29" t="s">
        <v>149</v>
      </c>
      <c r="W18" s="29" t="s">
        <v>150</v>
      </c>
      <c r="X18" s="29" t="s">
        <v>151</v>
      </c>
      <c r="Y18" s="29" t="s">
        <v>152</v>
      </c>
    </row>
    <row r="19" spans="1:25">
      <c r="A19" s="6" t="s">
        <v>660</v>
      </c>
      <c r="B19" s="8">
        <f>VLOOKUP($A19, All!$A$2:$AB$273,2,0)</f>
        <v>9</v>
      </c>
      <c r="C19" s="8">
        <f>VLOOKUP($A19, All!$A$2:$AB$273,3,0)</f>
        <v>80</v>
      </c>
      <c r="D19" s="8">
        <f>VLOOKUP($A19, All!$A$2:$AB$273,4,0)</f>
        <v>0.45</v>
      </c>
      <c r="E19" s="8">
        <f>VLOOKUP($A19, All!$A$2:$AB$273,5,0)</f>
        <v>0.91</v>
      </c>
      <c r="F19" s="8">
        <f>VLOOKUP($A19, All!$A$2:$AB$273,6,0)</f>
        <v>3.2</v>
      </c>
      <c r="G19" s="8">
        <f>VLOOKUP($A19, All!$A$2:$AB$273,7,0)</f>
        <v>3.8</v>
      </c>
      <c r="H19" s="8">
        <f>VLOOKUP($A19, All!$A$2:$AB$273,8,0)</f>
        <v>7</v>
      </c>
      <c r="I19" s="8">
        <f>VLOOKUP($A19, All!$A$2:$AB$273,9,0)</f>
        <v>1.1000000000000001</v>
      </c>
      <c r="J19" s="8">
        <f>VLOOKUP($A19, All!$A$2:$AB$273,10,0)</f>
        <v>0.4</v>
      </c>
      <c r="K19" s="8">
        <f>VLOOKUP($A19, All!$A$2:$AB$273,11,0)</f>
        <v>2.6</v>
      </c>
      <c r="L19" s="8">
        <f>VLOOKUP($A19, All!$A$2:$AB$273,12,0)</f>
        <v>27.6</v>
      </c>
      <c r="M19" s="8">
        <f>VLOOKUP($A19, All!$A$2:$AB$273,13,0)</f>
        <v>9.1</v>
      </c>
      <c r="N19" s="8">
        <f>VLOOKUP($A19, All!$A$2:$AB$273,14,0)</f>
        <v>20.399999999999999</v>
      </c>
      <c r="O19" s="8">
        <f>VLOOKUP($A19, All!$A$2:$AB$273,15,0)</f>
        <v>6.2</v>
      </c>
      <c r="P19" s="8">
        <f>VLOOKUP($A19, All!$A$2:$AB$273,16,0)</f>
        <v>6.8</v>
      </c>
      <c r="Q19" s="8">
        <f>VLOOKUP($A19, All!$A$2:$AB$273,17,0)</f>
        <v>-0.50556318992096039</v>
      </c>
      <c r="R19" s="8">
        <f>VLOOKUP($A19, All!$A$2:$AB$273,18,0)</f>
        <v>1.5728303942579092</v>
      </c>
      <c r="S19" s="8">
        <f>VLOOKUP($A19, All!$A$2:$AB$273,19,0)</f>
        <v>1.8815772073892234</v>
      </c>
      <c r="T19" s="8">
        <f>VLOOKUP($A19, All!$A$2:$AB$273,20,0)</f>
        <v>-0.78028266264374613</v>
      </c>
      <c r="U19" s="8">
        <f>VLOOKUP($A19, All!$A$2:$AB$273,21,0)</f>
        <v>1.8637660292764655</v>
      </c>
      <c r="V19" s="8">
        <f>VLOOKUP($A19, All!$A$2:$AB$273,22,0)</f>
        <v>0.34298678708959057</v>
      </c>
      <c r="W19" s="8">
        <f>VLOOKUP($A19, All!$A$2:$AB$273,23,0)</f>
        <v>-0.53563136395848565</v>
      </c>
      <c r="X19" s="8">
        <f>VLOOKUP($A19, All!$A$2:$AB$273,24,0)</f>
        <v>-1.1382922499316042</v>
      </c>
      <c r="Y19" s="8">
        <f>VLOOKUP($A19, All!$A$2:$AB$273,25,0)</f>
        <v>2.4755761751447931</v>
      </c>
    </row>
    <row r="20" spans="1:25">
      <c r="A20" s="6"/>
      <c r="B20" s="8" t="e">
        <f>VLOOKUP($A20, All!$A$2:$AB$273,2,0)</f>
        <v>#N/A</v>
      </c>
      <c r="C20" s="8" t="e">
        <f>VLOOKUP($A20, All!$A$2:$AB$273,3,0)</f>
        <v>#N/A</v>
      </c>
      <c r="D20" s="8" t="e">
        <f>VLOOKUP($A20, All!$A$2:$AB$273,4,0)</f>
        <v>#N/A</v>
      </c>
      <c r="E20" s="8" t="e">
        <f>VLOOKUP($A20, All!$A$2:$AB$273,5,0)</f>
        <v>#N/A</v>
      </c>
      <c r="F20" s="8" t="e">
        <f>VLOOKUP($A20, All!$A$2:$AB$273,6,0)</f>
        <v>#N/A</v>
      </c>
      <c r="G20" s="8" t="e">
        <f>VLOOKUP($A20, All!$A$2:$AB$273,7,0)</f>
        <v>#N/A</v>
      </c>
      <c r="H20" s="8" t="e">
        <f>VLOOKUP($A20, All!$A$2:$AB$273,8,0)</f>
        <v>#N/A</v>
      </c>
      <c r="I20" s="8" t="e">
        <f>VLOOKUP($A20, All!$A$2:$AB$273,9,0)</f>
        <v>#N/A</v>
      </c>
      <c r="J20" s="8" t="e">
        <f>VLOOKUP($A20, All!$A$2:$AB$273,10,0)</f>
        <v>#N/A</v>
      </c>
      <c r="K20" s="8" t="e">
        <f>VLOOKUP($A20, All!$A$2:$AB$273,11,0)</f>
        <v>#N/A</v>
      </c>
      <c r="L20" s="8" t="e">
        <f>VLOOKUP($A20, All!$A$2:$AB$273,12,0)</f>
        <v>#N/A</v>
      </c>
      <c r="M20" s="8" t="e">
        <f>VLOOKUP($A20, All!$A$2:$AB$273,13,0)</f>
        <v>#N/A</v>
      </c>
      <c r="N20" s="8" t="e">
        <f>VLOOKUP($A20, All!$A$2:$AB$273,14,0)</f>
        <v>#N/A</v>
      </c>
      <c r="O20" s="8" t="e">
        <f>VLOOKUP($A20, All!$A$2:$AB$273,15,0)</f>
        <v>#N/A</v>
      </c>
      <c r="P20" s="8" t="e">
        <f>VLOOKUP($A20, All!$A$2:$AB$273,16,0)</f>
        <v>#N/A</v>
      </c>
      <c r="Q20" s="8" t="e">
        <f>VLOOKUP($A20, All!$A$2:$AB$273,17,0)</f>
        <v>#N/A</v>
      </c>
      <c r="R20" s="8" t="e">
        <f>VLOOKUP($A20, All!$A$2:$AB$273,18,0)</f>
        <v>#N/A</v>
      </c>
      <c r="S20" s="8" t="e">
        <f>VLOOKUP($A20, All!$A$2:$AB$273,19,0)</f>
        <v>#N/A</v>
      </c>
      <c r="T20" s="8" t="e">
        <f>VLOOKUP($A20, All!$A$2:$AB$273,20,0)</f>
        <v>#N/A</v>
      </c>
      <c r="U20" s="8" t="e">
        <f>VLOOKUP($A20, All!$A$2:$AB$273,21,0)</f>
        <v>#N/A</v>
      </c>
      <c r="V20" s="8" t="e">
        <f>VLOOKUP($A20, All!$A$2:$AB$273,22,0)</f>
        <v>#N/A</v>
      </c>
      <c r="W20" s="8" t="e">
        <f>VLOOKUP($A20, All!$A$2:$AB$273,23,0)</f>
        <v>#N/A</v>
      </c>
      <c r="X20" s="8" t="e">
        <f>VLOOKUP($A20, All!$A$2:$AB$273,24,0)</f>
        <v>#N/A</v>
      </c>
      <c r="Y20" s="8" t="e">
        <f>VLOOKUP($A20, All!$A$2:$AB$273,25,0)</f>
        <v>#N/A</v>
      </c>
    </row>
    <row r="21" spans="1:25">
      <c r="A21" s="6"/>
      <c r="B21" s="8" t="e">
        <f>VLOOKUP($A21, All!$A$2:$AB$273,2,0)</f>
        <v>#N/A</v>
      </c>
      <c r="C21" s="8" t="e">
        <f>VLOOKUP($A21, All!$A$2:$AB$273,3,0)</f>
        <v>#N/A</v>
      </c>
      <c r="D21" s="8" t="e">
        <f>VLOOKUP($A21, All!$A$2:$AB$273,4,0)</f>
        <v>#N/A</v>
      </c>
      <c r="E21" s="8" t="e">
        <f>VLOOKUP($A21, All!$A$2:$AB$273,5,0)</f>
        <v>#N/A</v>
      </c>
      <c r="F21" s="8" t="e">
        <f>VLOOKUP($A21, All!$A$2:$AB$273,6,0)</f>
        <v>#N/A</v>
      </c>
      <c r="G21" s="8" t="e">
        <f>VLOOKUP($A21, All!$A$2:$AB$273,7,0)</f>
        <v>#N/A</v>
      </c>
      <c r="H21" s="8" t="e">
        <f>VLOOKUP($A21, All!$A$2:$AB$273,8,0)</f>
        <v>#N/A</v>
      </c>
      <c r="I21" s="8" t="e">
        <f>VLOOKUP($A21, All!$A$2:$AB$273,9,0)</f>
        <v>#N/A</v>
      </c>
      <c r="J21" s="8" t="e">
        <f>VLOOKUP($A21, All!$A$2:$AB$273,10,0)</f>
        <v>#N/A</v>
      </c>
      <c r="K21" s="8" t="e">
        <f>VLOOKUP($A21, All!$A$2:$AB$273,11,0)</f>
        <v>#N/A</v>
      </c>
      <c r="L21" s="8" t="e">
        <f>VLOOKUP($A21, All!$A$2:$AB$273,12,0)</f>
        <v>#N/A</v>
      </c>
      <c r="M21" s="8" t="e">
        <f>VLOOKUP($A21, All!$A$2:$AB$273,13,0)</f>
        <v>#N/A</v>
      </c>
      <c r="N21" s="8" t="e">
        <f>VLOOKUP($A21, All!$A$2:$AB$273,14,0)</f>
        <v>#N/A</v>
      </c>
      <c r="O21" s="8" t="e">
        <f>VLOOKUP($A21, All!$A$2:$AB$273,15,0)</f>
        <v>#N/A</v>
      </c>
      <c r="P21" s="8" t="e">
        <f>VLOOKUP($A21, All!$A$2:$AB$273,16,0)</f>
        <v>#N/A</v>
      </c>
      <c r="Q21" s="8" t="e">
        <f>VLOOKUP($A21, All!$A$2:$AB$273,17,0)</f>
        <v>#N/A</v>
      </c>
      <c r="R21" s="8" t="e">
        <f>VLOOKUP($A21, All!$A$2:$AB$273,18,0)</f>
        <v>#N/A</v>
      </c>
      <c r="S21" s="8" t="e">
        <f>VLOOKUP($A21, All!$A$2:$AB$273,19,0)</f>
        <v>#N/A</v>
      </c>
      <c r="T21" s="8" t="e">
        <f>VLOOKUP($A21, All!$A$2:$AB$273,20,0)</f>
        <v>#N/A</v>
      </c>
      <c r="U21" s="8" t="e">
        <f>VLOOKUP($A21, All!$A$2:$AB$273,21,0)</f>
        <v>#N/A</v>
      </c>
      <c r="V21" s="8" t="e">
        <f>VLOOKUP($A21, All!$A$2:$AB$273,22,0)</f>
        <v>#N/A</v>
      </c>
      <c r="W21" s="8" t="e">
        <f>VLOOKUP($A21, All!$A$2:$AB$273,23,0)</f>
        <v>#N/A</v>
      </c>
      <c r="X21" s="8" t="e">
        <f>VLOOKUP($A21, All!$A$2:$AB$273,24,0)</f>
        <v>#N/A</v>
      </c>
      <c r="Y21" s="8" t="e">
        <f>VLOOKUP($A21, All!$A$2:$AB$273,25,0)</f>
        <v>#N/A</v>
      </c>
    </row>
    <row r="22" spans="1:25">
      <c r="A22" s="6"/>
      <c r="B22" s="8" t="e">
        <f>VLOOKUP($A22, All!$A$2:$AB$273,2,0)</f>
        <v>#N/A</v>
      </c>
      <c r="C22" s="8" t="e">
        <f>VLOOKUP($A22, All!$A$2:$AB$273,3,0)</f>
        <v>#N/A</v>
      </c>
      <c r="D22" s="8" t="e">
        <f>VLOOKUP($A22, All!$A$2:$AB$273,4,0)</f>
        <v>#N/A</v>
      </c>
      <c r="E22" s="8" t="e">
        <f>VLOOKUP($A22, All!$A$2:$AB$273,5,0)</f>
        <v>#N/A</v>
      </c>
      <c r="F22" s="8" t="e">
        <f>VLOOKUP($A22, All!$A$2:$AB$273,6,0)</f>
        <v>#N/A</v>
      </c>
      <c r="G22" s="8" t="e">
        <f>VLOOKUP($A22, All!$A$2:$AB$273,7,0)</f>
        <v>#N/A</v>
      </c>
      <c r="H22" s="8" t="e">
        <f>VLOOKUP($A22, All!$A$2:$AB$273,8,0)</f>
        <v>#N/A</v>
      </c>
      <c r="I22" s="8" t="e">
        <f>VLOOKUP($A22, All!$A$2:$AB$273,9,0)</f>
        <v>#N/A</v>
      </c>
      <c r="J22" s="8" t="e">
        <f>VLOOKUP($A22, All!$A$2:$AB$273,10,0)</f>
        <v>#N/A</v>
      </c>
      <c r="K22" s="8" t="e">
        <f>VLOOKUP($A22, All!$A$2:$AB$273,11,0)</f>
        <v>#N/A</v>
      </c>
      <c r="L22" s="8" t="e">
        <f>VLOOKUP($A22, All!$A$2:$AB$273,12,0)</f>
        <v>#N/A</v>
      </c>
      <c r="M22" s="8" t="e">
        <f>VLOOKUP($A22, All!$A$2:$AB$273,13,0)</f>
        <v>#N/A</v>
      </c>
      <c r="N22" s="8" t="e">
        <f>VLOOKUP($A22, All!$A$2:$AB$273,14,0)</f>
        <v>#N/A</v>
      </c>
      <c r="O22" s="8" t="e">
        <f>VLOOKUP($A22, All!$A$2:$AB$273,15,0)</f>
        <v>#N/A</v>
      </c>
      <c r="P22" s="8" t="e">
        <f>VLOOKUP($A22, All!$A$2:$AB$273,16,0)</f>
        <v>#N/A</v>
      </c>
      <c r="Q22" s="8" t="e">
        <f>VLOOKUP($A22, All!$A$2:$AB$273,17,0)</f>
        <v>#N/A</v>
      </c>
      <c r="R22" s="8" t="e">
        <f>VLOOKUP($A22, All!$A$2:$AB$273,18,0)</f>
        <v>#N/A</v>
      </c>
      <c r="S22" s="8" t="e">
        <f>VLOOKUP($A22, All!$A$2:$AB$273,19,0)</f>
        <v>#N/A</v>
      </c>
      <c r="T22" s="8" t="e">
        <f>VLOOKUP($A22, All!$A$2:$AB$273,20,0)</f>
        <v>#N/A</v>
      </c>
      <c r="U22" s="8" t="e">
        <f>VLOOKUP($A22, All!$A$2:$AB$273,21,0)</f>
        <v>#N/A</v>
      </c>
      <c r="V22" s="8" t="e">
        <f>VLOOKUP($A22, All!$A$2:$AB$273,22,0)</f>
        <v>#N/A</v>
      </c>
      <c r="W22" s="8" t="e">
        <f>VLOOKUP($A22, All!$A$2:$AB$273,23,0)</f>
        <v>#N/A</v>
      </c>
      <c r="X22" s="8" t="e">
        <f>VLOOKUP($A22, All!$A$2:$AB$273,24,0)</f>
        <v>#N/A</v>
      </c>
      <c r="Y22" s="8" t="e">
        <f>VLOOKUP($A22, All!$A$2:$AB$273,25,0)</f>
        <v>#N/A</v>
      </c>
    </row>
    <row r="23" spans="1:25">
      <c r="A23" s="6"/>
      <c r="B23" s="8" t="e">
        <f>VLOOKUP($A23, All!$A$2:$AB$273,2,0)</f>
        <v>#N/A</v>
      </c>
      <c r="C23" s="8" t="e">
        <f>VLOOKUP($A23, All!$A$2:$AB$273,3,0)</f>
        <v>#N/A</v>
      </c>
      <c r="D23" s="8" t="e">
        <f>VLOOKUP($A23, All!$A$2:$AB$273,4,0)</f>
        <v>#N/A</v>
      </c>
      <c r="E23" s="8" t="e">
        <f>VLOOKUP($A23, All!$A$2:$AB$273,5,0)</f>
        <v>#N/A</v>
      </c>
      <c r="F23" s="8" t="e">
        <f>VLOOKUP($A23, All!$A$2:$AB$273,6,0)</f>
        <v>#N/A</v>
      </c>
      <c r="G23" s="8" t="e">
        <f>VLOOKUP($A23, All!$A$2:$AB$273,7,0)</f>
        <v>#N/A</v>
      </c>
      <c r="H23" s="8" t="e">
        <f>VLOOKUP($A23, All!$A$2:$AB$273,8,0)</f>
        <v>#N/A</v>
      </c>
      <c r="I23" s="8" t="e">
        <f>VLOOKUP($A23, All!$A$2:$AB$273,9,0)</f>
        <v>#N/A</v>
      </c>
      <c r="J23" s="8" t="e">
        <f>VLOOKUP($A23, All!$A$2:$AB$273,10,0)</f>
        <v>#N/A</v>
      </c>
      <c r="K23" s="8" t="e">
        <f>VLOOKUP($A23, All!$A$2:$AB$273,11,0)</f>
        <v>#N/A</v>
      </c>
      <c r="L23" s="8" t="e">
        <f>VLOOKUP($A23, All!$A$2:$AB$273,12,0)</f>
        <v>#N/A</v>
      </c>
      <c r="M23" s="8" t="e">
        <f>VLOOKUP($A23, All!$A$2:$AB$273,13,0)</f>
        <v>#N/A</v>
      </c>
      <c r="N23" s="8" t="e">
        <f>VLOOKUP($A23, All!$A$2:$AB$273,14,0)</f>
        <v>#N/A</v>
      </c>
      <c r="O23" s="8" t="e">
        <f>VLOOKUP($A23, All!$A$2:$AB$273,15,0)</f>
        <v>#N/A</v>
      </c>
      <c r="P23" s="8" t="e">
        <f>VLOOKUP($A23, All!$A$2:$AB$273,16,0)</f>
        <v>#N/A</v>
      </c>
      <c r="Q23" s="8" t="e">
        <f>VLOOKUP($A23, All!$A$2:$AB$273,17,0)</f>
        <v>#N/A</v>
      </c>
      <c r="R23" s="8" t="e">
        <f>VLOOKUP($A23, All!$A$2:$AB$273,18,0)</f>
        <v>#N/A</v>
      </c>
      <c r="S23" s="8" t="e">
        <f>VLOOKUP($A23, All!$A$2:$AB$273,19,0)</f>
        <v>#N/A</v>
      </c>
      <c r="T23" s="8" t="e">
        <f>VLOOKUP($A23, All!$A$2:$AB$273,20,0)</f>
        <v>#N/A</v>
      </c>
      <c r="U23" s="8" t="e">
        <f>VLOOKUP($A23, All!$A$2:$AB$273,21,0)</f>
        <v>#N/A</v>
      </c>
      <c r="V23" s="8" t="e">
        <f>VLOOKUP($A23, All!$A$2:$AB$273,22,0)</f>
        <v>#N/A</v>
      </c>
      <c r="W23" s="8" t="e">
        <f>VLOOKUP($A23, All!$A$2:$AB$273,23,0)</f>
        <v>#N/A</v>
      </c>
      <c r="X23" s="8" t="e">
        <f>VLOOKUP($A23, All!$A$2:$AB$273,24,0)</f>
        <v>#N/A</v>
      </c>
      <c r="Y23" s="8" t="e">
        <f>VLOOKUP($A23, All!$A$2:$AB$273,25,0)</f>
        <v>#N/A</v>
      </c>
    </row>
    <row r="24" spans="1:25">
      <c r="A24" s="6"/>
      <c r="B24" s="8" t="e">
        <f>VLOOKUP($A24, All!$A$2:$AB$273,2,0)</f>
        <v>#N/A</v>
      </c>
      <c r="C24" s="8" t="e">
        <f>VLOOKUP($A24, All!$A$2:$AB$273,3,0)</f>
        <v>#N/A</v>
      </c>
      <c r="D24" s="8" t="e">
        <f>VLOOKUP($A24, All!$A$2:$AB$273,4,0)</f>
        <v>#N/A</v>
      </c>
      <c r="E24" s="8" t="e">
        <f>VLOOKUP($A24, All!$A$2:$AB$273,5,0)</f>
        <v>#N/A</v>
      </c>
      <c r="F24" s="8" t="e">
        <f>VLOOKUP($A24, All!$A$2:$AB$273,6,0)</f>
        <v>#N/A</v>
      </c>
      <c r="G24" s="8" t="e">
        <f>VLOOKUP($A24, All!$A$2:$AB$273,7,0)</f>
        <v>#N/A</v>
      </c>
      <c r="H24" s="8" t="e">
        <f>VLOOKUP($A24, All!$A$2:$AB$273,8,0)</f>
        <v>#N/A</v>
      </c>
      <c r="I24" s="8" t="e">
        <f>VLOOKUP($A24, All!$A$2:$AB$273,9,0)</f>
        <v>#N/A</v>
      </c>
      <c r="J24" s="8" t="e">
        <f>VLOOKUP($A24, All!$A$2:$AB$273,10,0)</f>
        <v>#N/A</v>
      </c>
      <c r="K24" s="8" t="e">
        <f>VLOOKUP($A24, All!$A$2:$AB$273,11,0)</f>
        <v>#N/A</v>
      </c>
      <c r="L24" s="8" t="e">
        <f>VLOOKUP($A24, All!$A$2:$AB$273,12,0)</f>
        <v>#N/A</v>
      </c>
      <c r="M24" s="8" t="e">
        <f>VLOOKUP($A24, All!$A$2:$AB$273,13,0)</f>
        <v>#N/A</v>
      </c>
      <c r="N24" s="8" t="e">
        <f>VLOOKUP($A24, All!$A$2:$AB$273,14,0)</f>
        <v>#N/A</v>
      </c>
      <c r="O24" s="8" t="e">
        <f>VLOOKUP($A24, All!$A$2:$AB$273,15,0)</f>
        <v>#N/A</v>
      </c>
      <c r="P24" s="8" t="e">
        <f>VLOOKUP($A24, All!$A$2:$AB$273,16,0)</f>
        <v>#N/A</v>
      </c>
      <c r="Q24" s="8" t="e">
        <f>VLOOKUP($A24, All!$A$2:$AB$273,17,0)</f>
        <v>#N/A</v>
      </c>
      <c r="R24" s="8" t="e">
        <f>VLOOKUP($A24, All!$A$2:$AB$273,18,0)</f>
        <v>#N/A</v>
      </c>
      <c r="S24" s="8" t="e">
        <f>VLOOKUP($A24, All!$A$2:$AB$273,19,0)</f>
        <v>#N/A</v>
      </c>
      <c r="T24" s="8" t="e">
        <f>VLOOKUP($A24, All!$A$2:$AB$273,20,0)</f>
        <v>#N/A</v>
      </c>
      <c r="U24" s="8" t="e">
        <f>VLOOKUP($A24, All!$A$2:$AB$273,21,0)</f>
        <v>#N/A</v>
      </c>
      <c r="V24" s="8" t="e">
        <f>VLOOKUP($A24, All!$A$2:$AB$273,22,0)</f>
        <v>#N/A</v>
      </c>
      <c r="W24" s="8" t="e">
        <f>VLOOKUP($A24, All!$A$2:$AB$273,23,0)</f>
        <v>#N/A</v>
      </c>
      <c r="X24" s="8" t="e">
        <f>VLOOKUP($A24, All!$A$2:$AB$273,24,0)</f>
        <v>#N/A</v>
      </c>
      <c r="Y24" s="8" t="e">
        <f>VLOOKUP($A24, All!$A$2:$AB$273,25,0)</f>
        <v>#N/A</v>
      </c>
    </row>
    <row r="25" spans="1:25">
      <c r="A25" s="6"/>
      <c r="B25" s="8" t="e">
        <f>VLOOKUP($A25, All!$A$2:$AB$273,2,0)</f>
        <v>#N/A</v>
      </c>
      <c r="C25" s="8" t="e">
        <f>VLOOKUP($A25, All!$A$2:$AB$273,3,0)</f>
        <v>#N/A</v>
      </c>
      <c r="D25" s="8" t="e">
        <f>VLOOKUP($A25, All!$A$2:$AB$273,4,0)</f>
        <v>#N/A</v>
      </c>
      <c r="E25" s="8" t="e">
        <f>VLOOKUP($A25, All!$A$2:$AB$273,5,0)</f>
        <v>#N/A</v>
      </c>
      <c r="F25" s="8" t="e">
        <f>VLOOKUP($A25, All!$A$2:$AB$273,6,0)</f>
        <v>#N/A</v>
      </c>
      <c r="G25" s="8" t="e">
        <f>VLOOKUP($A25, All!$A$2:$AB$273,7,0)</f>
        <v>#N/A</v>
      </c>
      <c r="H25" s="8" t="e">
        <f>VLOOKUP($A25, All!$A$2:$AB$273,8,0)</f>
        <v>#N/A</v>
      </c>
      <c r="I25" s="8" t="e">
        <f>VLOOKUP($A25, All!$A$2:$AB$273,9,0)</f>
        <v>#N/A</v>
      </c>
      <c r="J25" s="8" t="e">
        <f>VLOOKUP($A25, All!$A$2:$AB$273,10,0)</f>
        <v>#N/A</v>
      </c>
      <c r="K25" s="8" t="e">
        <f>VLOOKUP($A25, All!$A$2:$AB$273,11,0)</f>
        <v>#N/A</v>
      </c>
      <c r="L25" s="8" t="e">
        <f>VLOOKUP($A25, All!$A$2:$AB$273,12,0)</f>
        <v>#N/A</v>
      </c>
      <c r="M25" s="8" t="e">
        <f>VLOOKUP($A25, All!$A$2:$AB$273,13,0)</f>
        <v>#N/A</v>
      </c>
      <c r="N25" s="8" t="e">
        <f>VLOOKUP($A25, All!$A$2:$AB$273,14,0)</f>
        <v>#N/A</v>
      </c>
      <c r="O25" s="8" t="e">
        <f>VLOOKUP($A25, All!$A$2:$AB$273,15,0)</f>
        <v>#N/A</v>
      </c>
      <c r="P25" s="8" t="e">
        <f>VLOOKUP($A25, All!$A$2:$AB$273,16,0)</f>
        <v>#N/A</v>
      </c>
      <c r="Q25" s="8" t="e">
        <f>VLOOKUP($A25, All!$A$2:$AB$273,17,0)</f>
        <v>#N/A</v>
      </c>
      <c r="R25" s="8" t="e">
        <f>VLOOKUP($A25, All!$A$2:$AB$273,18,0)</f>
        <v>#N/A</v>
      </c>
      <c r="S25" s="8" t="e">
        <f>VLOOKUP($A25, All!$A$2:$AB$273,19,0)</f>
        <v>#N/A</v>
      </c>
      <c r="T25" s="8" t="e">
        <f>VLOOKUP($A25, All!$A$2:$AB$273,20,0)</f>
        <v>#N/A</v>
      </c>
      <c r="U25" s="8" t="e">
        <f>VLOOKUP($A25, All!$A$2:$AB$273,21,0)</f>
        <v>#N/A</v>
      </c>
      <c r="V25" s="8" t="e">
        <f>VLOOKUP($A25, All!$A$2:$AB$273,22,0)</f>
        <v>#N/A</v>
      </c>
      <c r="W25" s="8" t="e">
        <f>VLOOKUP($A25, All!$A$2:$AB$273,23,0)</f>
        <v>#N/A</v>
      </c>
      <c r="X25" s="8" t="e">
        <f>VLOOKUP($A25, All!$A$2:$AB$273,24,0)</f>
        <v>#N/A</v>
      </c>
      <c r="Y25" s="8" t="e">
        <f>VLOOKUP($A25, All!$A$2:$AB$273,25,0)</f>
        <v>#N/A</v>
      </c>
    </row>
    <row r="26" spans="1:25">
      <c r="A26" s="6"/>
      <c r="B26" s="8" t="e">
        <f>VLOOKUP($A26, All!$A$2:$AB$273,2,0)</f>
        <v>#N/A</v>
      </c>
      <c r="C26" s="8" t="e">
        <f>VLOOKUP($A26, All!$A$2:$AB$273,3,0)</f>
        <v>#N/A</v>
      </c>
      <c r="D26" s="8" t="e">
        <f>VLOOKUP($A26, All!$A$2:$AB$273,4,0)</f>
        <v>#N/A</v>
      </c>
      <c r="E26" s="8" t="e">
        <f>VLOOKUP($A26, All!$A$2:$AB$273,5,0)</f>
        <v>#N/A</v>
      </c>
      <c r="F26" s="8" t="e">
        <f>VLOOKUP($A26, All!$A$2:$AB$273,6,0)</f>
        <v>#N/A</v>
      </c>
      <c r="G26" s="8" t="e">
        <f>VLOOKUP($A26, All!$A$2:$AB$273,7,0)</f>
        <v>#N/A</v>
      </c>
      <c r="H26" s="8" t="e">
        <f>VLOOKUP($A26, All!$A$2:$AB$273,8,0)</f>
        <v>#N/A</v>
      </c>
      <c r="I26" s="8" t="e">
        <f>VLOOKUP($A26, All!$A$2:$AB$273,9,0)</f>
        <v>#N/A</v>
      </c>
      <c r="J26" s="8" t="e">
        <f>VLOOKUP($A26, All!$A$2:$AB$273,10,0)</f>
        <v>#N/A</v>
      </c>
      <c r="K26" s="8" t="e">
        <f>VLOOKUP($A26, All!$A$2:$AB$273,11,0)</f>
        <v>#N/A</v>
      </c>
      <c r="L26" s="8" t="e">
        <f>VLOOKUP($A26, All!$A$2:$AB$273,12,0)</f>
        <v>#N/A</v>
      </c>
      <c r="M26" s="8" t="e">
        <f>VLOOKUP($A26, All!$A$2:$AB$273,13,0)</f>
        <v>#N/A</v>
      </c>
      <c r="N26" s="8" t="e">
        <f>VLOOKUP($A26, All!$A$2:$AB$273,14,0)</f>
        <v>#N/A</v>
      </c>
      <c r="O26" s="8" t="e">
        <f>VLOOKUP($A26, All!$A$2:$AB$273,15,0)</f>
        <v>#N/A</v>
      </c>
      <c r="P26" s="8" t="e">
        <f>VLOOKUP($A26, All!$A$2:$AB$273,16,0)</f>
        <v>#N/A</v>
      </c>
      <c r="Q26" s="8" t="e">
        <f>VLOOKUP($A26, All!$A$2:$AB$273,17,0)</f>
        <v>#N/A</v>
      </c>
      <c r="R26" s="8" t="e">
        <f>VLOOKUP($A26, All!$A$2:$AB$273,18,0)</f>
        <v>#N/A</v>
      </c>
      <c r="S26" s="8" t="e">
        <f>VLOOKUP($A26, All!$A$2:$AB$273,19,0)</f>
        <v>#N/A</v>
      </c>
      <c r="T26" s="8" t="e">
        <f>VLOOKUP($A26, All!$A$2:$AB$273,20,0)</f>
        <v>#N/A</v>
      </c>
      <c r="U26" s="8" t="e">
        <f>VLOOKUP($A26, All!$A$2:$AB$273,21,0)</f>
        <v>#N/A</v>
      </c>
      <c r="V26" s="8" t="e">
        <f>VLOOKUP($A26, All!$A$2:$AB$273,22,0)</f>
        <v>#N/A</v>
      </c>
      <c r="W26" s="8" t="e">
        <f>VLOOKUP($A26, All!$A$2:$AB$273,23,0)</f>
        <v>#N/A</v>
      </c>
      <c r="X26" s="8" t="e">
        <f>VLOOKUP($A26, All!$A$2:$AB$273,24,0)</f>
        <v>#N/A</v>
      </c>
      <c r="Y26" s="8" t="e">
        <f>VLOOKUP($A26, All!$A$2:$AB$273,25,0)</f>
        <v>#N/A</v>
      </c>
    </row>
    <row r="27" spans="1:25">
      <c r="A27" s="6"/>
      <c r="B27" s="8" t="e">
        <f>VLOOKUP($A27, All!$A$2:$AB$273,2,0)</f>
        <v>#N/A</v>
      </c>
      <c r="C27" s="8" t="e">
        <f>VLOOKUP($A27, All!$A$2:$AB$273,3,0)</f>
        <v>#N/A</v>
      </c>
      <c r="D27" s="8" t="e">
        <f>VLOOKUP($A27, All!$A$2:$AB$273,4,0)</f>
        <v>#N/A</v>
      </c>
      <c r="E27" s="8" t="e">
        <f>VLOOKUP($A27, All!$A$2:$AB$273,5,0)</f>
        <v>#N/A</v>
      </c>
      <c r="F27" s="8" t="e">
        <f>VLOOKUP($A27, All!$A$2:$AB$273,6,0)</f>
        <v>#N/A</v>
      </c>
      <c r="G27" s="8" t="e">
        <f>VLOOKUP($A27, All!$A$2:$AB$273,7,0)</f>
        <v>#N/A</v>
      </c>
      <c r="H27" s="8" t="e">
        <f>VLOOKUP($A27, All!$A$2:$AB$273,8,0)</f>
        <v>#N/A</v>
      </c>
      <c r="I27" s="8" t="e">
        <f>VLOOKUP($A27, All!$A$2:$AB$273,9,0)</f>
        <v>#N/A</v>
      </c>
      <c r="J27" s="8" t="e">
        <f>VLOOKUP($A27, All!$A$2:$AB$273,10,0)</f>
        <v>#N/A</v>
      </c>
      <c r="K27" s="8" t="e">
        <f>VLOOKUP($A27, All!$A$2:$AB$273,11,0)</f>
        <v>#N/A</v>
      </c>
      <c r="L27" s="8" t="e">
        <f>VLOOKUP($A27, All!$A$2:$AB$273,12,0)</f>
        <v>#N/A</v>
      </c>
      <c r="M27" s="8" t="e">
        <f>VLOOKUP($A27, All!$A$2:$AB$273,13,0)</f>
        <v>#N/A</v>
      </c>
      <c r="N27" s="8" t="e">
        <f>VLOOKUP($A27, All!$A$2:$AB$273,14,0)</f>
        <v>#N/A</v>
      </c>
      <c r="O27" s="8" t="e">
        <f>VLOOKUP($A27, All!$A$2:$AB$273,15,0)</f>
        <v>#N/A</v>
      </c>
      <c r="P27" s="8" t="e">
        <f>VLOOKUP($A27, All!$A$2:$AB$273,16,0)</f>
        <v>#N/A</v>
      </c>
      <c r="Q27" s="8" t="e">
        <f>VLOOKUP($A27, All!$A$2:$AB$273,17,0)</f>
        <v>#N/A</v>
      </c>
      <c r="R27" s="8" t="e">
        <f>VLOOKUP($A27, All!$A$2:$AB$273,18,0)</f>
        <v>#N/A</v>
      </c>
      <c r="S27" s="8" t="e">
        <f>VLOOKUP($A27, All!$A$2:$AB$273,19,0)</f>
        <v>#N/A</v>
      </c>
      <c r="T27" s="8" t="e">
        <f>VLOOKUP($A27, All!$A$2:$AB$273,20,0)</f>
        <v>#N/A</v>
      </c>
      <c r="U27" s="8" t="e">
        <f>VLOOKUP($A27, All!$A$2:$AB$273,21,0)</f>
        <v>#N/A</v>
      </c>
      <c r="V27" s="8" t="e">
        <f>VLOOKUP($A27, All!$A$2:$AB$273,22,0)</f>
        <v>#N/A</v>
      </c>
      <c r="W27" s="8" t="e">
        <f>VLOOKUP($A27, All!$A$2:$AB$273,23,0)</f>
        <v>#N/A</v>
      </c>
      <c r="X27" s="8" t="e">
        <f>VLOOKUP($A27, All!$A$2:$AB$273,24,0)</f>
        <v>#N/A</v>
      </c>
      <c r="Y27" s="8" t="e">
        <f>VLOOKUP($A27, All!$A$2:$AB$273,25,0)</f>
        <v>#N/A</v>
      </c>
    </row>
    <row r="28" spans="1:25">
      <c r="A28" s="6"/>
      <c r="B28" s="8" t="e">
        <f>VLOOKUP($A28, All!$A$2:$AB$273,2,0)</f>
        <v>#N/A</v>
      </c>
      <c r="C28" s="8" t="e">
        <f>VLOOKUP($A28, All!$A$2:$AB$273,3,0)</f>
        <v>#N/A</v>
      </c>
      <c r="D28" s="8" t="e">
        <f>VLOOKUP($A28, All!$A$2:$AB$273,4,0)</f>
        <v>#N/A</v>
      </c>
      <c r="E28" s="8" t="e">
        <f>VLOOKUP($A28, All!$A$2:$AB$273,5,0)</f>
        <v>#N/A</v>
      </c>
      <c r="F28" s="8" t="e">
        <f>VLOOKUP($A28, All!$A$2:$AB$273,6,0)</f>
        <v>#N/A</v>
      </c>
      <c r="G28" s="8" t="e">
        <f>VLOOKUP($A28, All!$A$2:$AB$273,7,0)</f>
        <v>#N/A</v>
      </c>
      <c r="H28" s="8" t="e">
        <f>VLOOKUP($A28, All!$A$2:$AB$273,8,0)</f>
        <v>#N/A</v>
      </c>
      <c r="I28" s="8" t="e">
        <f>VLOOKUP($A28, All!$A$2:$AB$273,9,0)</f>
        <v>#N/A</v>
      </c>
      <c r="J28" s="8" t="e">
        <f>VLOOKUP($A28, All!$A$2:$AB$273,10,0)</f>
        <v>#N/A</v>
      </c>
      <c r="K28" s="8" t="e">
        <f>VLOOKUP($A28, All!$A$2:$AB$273,11,0)</f>
        <v>#N/A</v>
      </c>
      <c r="L28" s="8" t="e">
        <f>VLOOKUP($A28, All!$A$2:$AB$273,12,0)</f>
        <v>#N/A</v>
      </c>
      <c r="M28" s="8" t="e">
        <f>VLOOKUP($A28, All!$A$2:$AB$273,13,0)</f>
        <v>#N/A</v>
      </c>
      <c r="N28" s="8" t="e">
        <f>VLOOKUP($A28, All!$A$2:$AB$273,14,0)</f>
        <v>#N/A</v>
      </c>
      <c r="O28" s="8" t="e">
        <f>VLOOKUP($A28, All!$A$2:$AB$273,15,0)</f>
        <v>#N/A</v>
      </c>
      <c r="P28" s="8" t="e">
        <f>VLOOKUP($A28, All!$A$2:$AB$273,16,0)</f>
        <v>#N/A</v>
      </c>
      <c r="Q28" s="8" t="e">
        <f>VLOOKUP($A28, All!$A$2:$AB$273,17,0)</f>
        <v>#N/A</v>
      </c>
      <c r="R28" s="8" t="e">
        <f>VLOOKUP($A28, All!$A$2:$AB$273,18,0)</f>
        <v>#N/A</v>
      </c>
      <c r="S28" s="8" t="e">
        <f>VLOOKUP($A28, All!$A$2:$AB$273,19,0)</f>
        <v>#N/A</v>
      </c>
      <c r="T28" s="8" t="e">
        <f>VLOOKUP($A28, All!$A$2:$AB$273,20,0)</f>
        <v>#N/A</v>
      </c>
      <c r="U28" s="8" t="e">
        <f>VLOOKUP($A28, All!$A$2:$AB$273,21,0)</f>
        <v>#N/A</v>
      </c>
      <c r="V28" s="8" t="e">
        <f>VLOOKUP($A28, All!$A$2:$AB$273,22,0)</f>
        <v>#N/A</v>
      </c>
      <c r="W28" s="8" t="e">
        <f>VLOOKUP($A28, All!$A$2:$AB$273,23,0)</f>
        <v>#N/A</v>
      </c>
      <c r="X28" s="8" t="e">
        <f>VLOOKUP($A28, All!$A$2:$AB$273,24,0)</f>
        <v>#N/A</v>
      </c>
      <c r="Y28" s="8" t="e">
        <f>VLOOKUP($A28, All!$A$2:$AB$273,25,0)</f>
        <v>#N/A</v>
      </c>
    </row>
    <row r="29" spans="1:25">
      <c r="A29" s="6"/>
      <c r="B29" s="8" t="e">
        <f>VLOOKUP($A29, All!$A$2:$AB$273,2,0)</f>
        <v>#N/A</v>
      </c>
      <c r="C29" s="8" t="e">
        <f>VLOOKUP($A29, All!$A$2:$AB$273,3,0)</f>
        <v>#N/A</v>
      </c>
      <c r="D29" s="8" t="e">
        <f>VLOOKUP($A29, All!$A$2:$AB$273,4,0)</f>
        <v>#N/A</v>
      </c>
      <c r="E29" s="8" t="e">
        <f>VLOOKUP($A29, All!$A$2:$AB$273,5,0)</f>
        <v>#N/A</v>
      </c>
      <c r="F29" s="8" t="e">
        <f>VLOOKUP($A29, All!$A$2:$AB$273,6,0)</f>
        <v>#N/A</v>
      </c>
      <c r="G29" s="8" t="e">
        <f>VLOOKUP($A29, All!$A$2:$AB$273,7,0)</f>
        <v>#N/A</v>
      </c>
      <c r="H29" s="8" t="e">
        <f>VLOOKUP($A29, All!$A$2:$AB$273,8,0)</f>
        <v>#N/A</v>
      </c>
      <c r="I29" s="8" t="e">
        <f>VLOOKUP($A29, All!$A$2:$AB$273,9,0)</f>
        <v>#N/A</v>
      </c>
      <c r="J29" s="8" t="e">
        <f>VLOOKUP($A29, All!$A$2:$AB$273,10,0)</f>
        <v>#N/A</v>
      </c>
      <c r="K29" s="8" t="e">
        <f>VLOOKUP($A29, All!$A$2:$AB$273,11,0)</f>
        <v>#N/A</v>
      </c>
      <c r="L29" s="8" t="e">
        <f>VLOOKUP($A29, All!$A$2:$AB$273,12,0)</f>
        <v>#N/A</v>
      </c>
      <c r="M29" s="8" t="e">
        <f>VLOOKUP($A29, All!$A$2:$AB$273,13,0)</f>
        <v>#N/A</v>
      </c>
      <c r="N29" s="8" t="e">
        <f>VLOOKUP($A29, All!$A$2:$AB$273,14,0)</f>
        <v>#N/A</v>
      </c>
      <c r="O29" s="8" t="e">
        <f>VLOOKUP($A29, All!$A$2:$AB$273,15,0)</f>
        <v>#N/A</v>
      </c>
      <c r="P29" s="8" t="e">
        <f>VLOOKUP($A29, All!$A$2:$AB$273,16,0)</f>
        <v>#N/A</v>
      </c>
      <c r="Q29" s="8" t="e">
        <f>VLOOKUP($A29, All!$A$2:$AB$273,17,0)</f>
        <v>#N/A</v>
      </c>
      <c r="R29" s="8" t="e">
        <f>VLOOKUP($A29, All!$A$2:$AB$273,18,0)</f>
        <v>#N/A</v>
      </c>
      <c r="S29" s="8" t="e">
        <f>VLOOKUP($A29, All!$A$2:$AB$273,19,0)</f>
        <v>#N/A</v>
      </c>
      <c r="T29" s="8" t="e">
        <f>VLOOKUP($A29, All!$A$2:$AB$273,20,0)</f>
        <v>#N/A</v>
      </c>
      <c r="U29" s="8" t="e">
        <f>VLOOKUP($A29, All!$A$2:$AB$273,21,0)</f>
        <v>#N/A</v>
      </c>
      <c r="V29" s="8" t="e">
        <f>VLOOKUP($A29, All!$A$2:$AB$273,22,0)</f>
        <v>#N/A</v>
      </c>
      <c r="W29" s="8" t="e">
        <f>VLOOKUP($A29, All!$A$2:$AB$273,23,0)</f>
        <v>#N/A</v>
      </c>
      <c r="X29" s="8" t="e">
        <f>VLOOKUP($A29, All!$A$2:$AB$273,24,0)</f>
        <v>#N/A</v>
      </c>
      <c r="Y29" s="8" t="e">
        <f>VLOOKUP($A29, All!$A$2:$AB$273,25,0)</f>
        <v>#N/A</v>
      </c>
    </row>
    <row r="30" spans="1:25">
      <c r="A30" s="6"/>
      <c r="B30" s="8" t="e">
        <f>VLOOKUP($A30, All!$A$2:$AB$273,2,0)</f>
        <v>#N/A</v>
      </c>
      <c r="C30" s="8" t="e">
        <f>VLOOKUP($A30, All!$A$2:$AB$273,3,0)</f>
        <v>#N/A</v>
      </c>
      <c r="D30" s="8" t="e">
        <f>VLOOKUP($A30, All!$A$2:$AB$273,4,0)</f>
        <v>#N/A</v>
      </c>
      <c r="E30" s="8" t="e">
        <f>VLOOKUP($A30, All!$A$2:$AB$273,5,0)</f>
        <v>#N/A</v>
      </c>
      <c r="F30" s="8" t="e">
        <f>VLOOKUP($A30, All!$A$2:$AB$273,6,0)</f>
        <v>#N/A</v>
      </c>
      <c r="G30" s="8" t="e">
        <f>VLOOKUP($A30, All!$A$2:$AB$273,7,0)</f>
        <v>#N/A</v>
      </c>
      <c r="H30" s="8" t="e">
        <f>VLOOKUP($A30, All!$A$2:$AB$273,8,0)</f>
        <v>#N/A</v>
      </c>
      <c r="I30" s="8" t="e">
        <f>VLOOKUP($A30, All!$A$2:$AB$273,9,0)</f>
        <v>#N/A</v>
      </c>
      <c r="J30" s="8" t="e">
        <f>VLOOKUP($A30, All!$A$2:$AB$273,10,0)</f>
        <v>#N/A</v>
      </c>
      <c r="K30" s="8" t="e">
        <f>VLOOKUP($A30, All!$A$2:$AB$273,11,0)</f>
        <v>#N/A</v>
      </c>
      <c r="L30" s="8" t="e">
        <f>VLOOKUP($A30, All!$A$2:$AB$273,12,0)</f>
        <v>#N/A</v>
      </c>
      <c r="M30" s="8" t="e">
        <f>VLOOKUP($A30, All!$A$2:$AB$273,13,0)</f>
        <v>#N/A</v>
      </c>
      <c r="N30" s="8" t="e">
        <f>VLOOKUP($A30, All!$A$2:$AB$273,14,0)</f>
        <v>#N/A</v>
      </c>
      <c r="O30" s="8" t="e">
        <f>VLOOKUP($A30, All!$A$2:$AB$273,15,0)</f>
        <v>#N/A</v>
      </c>
      <c r="P30" s="8" t="e">
        <f>VLOOKUP($A30, All!$A$2:$AB$273,16,0)</f>
        <v>#N/A</v>
      </c>
      <c r="Q30" s="8" t="e">
        <f>VLOOKUP($A30, All!$A$2:$AB$273,17,0)</f>
        <v>#N/A</v>
      </c>
      <c r="R30" s="8" t="e">
        <f>VLOOKUP($A30, All!$A$2:$AB$273,18,0)</f>
        <v>#N/A</v>
      </c>
      <c r="S30" s="8" t="e">
        <f>VLOOKUP($A30, All!$A$2:$AB$273,19,0)</f>
        <v>#N/A</v>
      </c>
      <c r="T30" s="8" t="e">
        <f>VLOOKUP($A30, All!$A$2:$AB$273,20,0)</f>
        <v>#N/A</v>
      </c>
      <c r="U30" s="8" t="e">
        <f>VLOOKUP($A30, All!$A$2:$AB$273,21,0)</f>
        <v>#N/A</v>
      </c>
      <c r="V30" s="8" t="e">
        <f>VLOOKUP($A30, All!$A$2:$AB$273,22,0)</f>
        <v>#N/A</v>
      </c>
      <c r="W30" s="8" t="e">
        <f>VLOOKUP($A30, All!$A$2:$AB$273,23,0)</f>
        <v>#N/A</v>
      </c>
      <c r="X30" s="8" t="e">
        <f>VLOOKUP($A30, All!$A$2:$AB$273,24,0)</f>
        <v>#N/A</v>
      </c>
      <c r="Y30" s="8" t="e">
        <f>VLOOKUP($A30, All!$A$2:$AB$273,25,0)</f>
        <v>#N/A</v>
      </c>
    </row>
    <row r="31" spans="1:25">
      <c r="A31" s="6"/>
      <c r="B31" s="8" t="e">
        <f>VLOOKUP($A31, All!$A$2:$AB$273,2,0)</f>
        <v>#N/A</v>
      </c>
      <c r="C31" s="8" t="e">
        <f>VLOOKUP($A31, All!$A$2:$AB$273,3,0)</f>
        <v>#N/A</v>
      </c>
      <c r="D31" s="8" t="e">
        <f>VLOOKUP($A31, All!$A$2:$AB$273,4,0)</f>
        <v>#N/A</v>
      </c>
      <c r="E31" s="8" t="e">
        <f>VLOOKUP($A31, All!$A$2:$AB$273,5,0)</f>
        <v>#N/A</v>
      </c>
      <c r="F31" s="8" t="e">
        <f>VLOOKUP($A31, All!$A$2:$AB$273,6,0)</f>
        <v>#N/A</v>
      </c>
      <c r="G31" s="8" t="e">
        <f>VLOOKUP($A31, All!$A$2:$AB$273,7,0)</f>
        <v>#N/A</v>
      </c>
      <c r="H31" s="8" t="e">
        <f>VLOOKUP($A31, All!$A$2:$AB$273,8,0)</f>
        <v>#N/A</v>
      </c>
      <c r="I31" s="8" t="e">
        <f>VLOOKUP($A31, All!$A$2:$AB$273,9,0)</f>
        <v>#N/A</v>
      </c>
      <c r="J31" s="8" t="e">
        <f>VLOOKUP($A31, All!$A$2:$AB$273,10,0)</f>
        <v>#N/A</v>
      </c>
      <c r="K31" s="8" t="e">
        <f>VLOOKUP($A31, All!$A$2:$AB$273,11,0)</f>
        <v>#N/A</v>
      </c>
      <c r="L31" s="8" t="e">
        <f>VLOOKUP($A31, All!$A$2:$AB$273,12,0)</f>
        <v>#N/A</v>
      </c>
      <c r="M31" s="8" t="e">
        <f>VLOOKUP($A31, All!$A$2:$AB$273,13,0)</f>
        <v>#N/A</v>
      </c>
      <c r="N31" s="8" t="e">
        <f>VLOOKUP($A31, All!$A$2:$AB$273,14,0)</f>
        <v>#N/A</v>
      </c>
      <c r="O31" s="8" t="e">
        <f>VLOOKUP($A31, All!$A$2:$AB$273,15,0)</f>
        <v>#N/A</v>
      </c>
      <c r="P31" s="8" t="e">
        <f>VLOOKUP($A31, All!$A$2:$AB$273,16,0)</f>
        <v>#N/A</v>
      </c>
      <c r="Q31" s="8" t="e">
        <f>VLOOKUP($A31, All!$A$2:$AB$273,17,0)</f>
        <v>#N/A</v>
      </c>
      <c r="R31" s="8" t="e">
        <f>VLOOKUP($A31, All!$A$2:$AB$273,18,0)</f>
        <v>#N/A</v>
      </c>
      <c r="S31" s="8" t="e">
        <f>VLOOKUP($A31, All!$A$2:$AB$273,19,0)</f>
        <v>#N/A</v>
      </c>
      <c r="T31" s="8" t="e">
        <f>VLOOKUP($A31, All!$A$2:$AB$273,20,0)</f>
        <v>#N/A</v>
      </c>
      <c r="U31" s="8" t="e">
        <f>VLOOKUP($A31, All!$A$2:$AB$273,21,0)</f>
        <v>#N/A</v>
      </c>
      <c r="V31" s="8" t="e">
        <f>VLOOKUP($A31, All!$A$2:$AB$273,22,0)</f>
        <v>#N/A</v>
      </c>
      <c r="W31" s="8" t="e">
        <f>VLOOKUP($A31, All!$A$2:$AB$273,23,0)</f>
        <v>#N/A</v>
      </c>
      <c r="X31" s="8" t="e">
        <f>VLOOKUP($A31, All!$A$2:$AB$273,24,0)</f>
        <v>#N/A</v>
      </c>
      <c r="Y31" s="8" t="e">
        <f>VLOOKUP($A31, All!$A$2:$AB$273,25,0)</f>
        <v>#N/A</v>
      </c>
    </row>
    <row r="35" spans="1:25">
      <c r="A35" s="30" t="s">
        <v>157</v>
      </c>
      <c r="B35" s="32" t="s">
        <v>156</v>
      </c>
      <c r="C35" s="32" t="s">
        <v>155</v>
      </c>
      <c r="D35" s="24" t="s">
        <v>3</v>
      </c>
      <c r="E35" s="24" t="s">
        <v>4</v>
      </c>
      <c r="F35" s="24" t="s">
        <v>5</v>
      </c>
      <c r="G35" s="24" t="s">
        <v>6</v>
      </c>
      <c r="H35" s="24" t="s">
        <v>7</v>
      </c>
      <c r="I35" s="24" t="s">
        <v>8</v>
      </c>
      <c r="J35" s="24" t="s">
        <v>9</v>
      </c>
      <c r="K35" s="24" t="s">
        <v>10</v>
      </c>
      <c r="L35" s="24" t="s">
        <v>11</v>
      </c>
      <c r="M35" s="12" t="s">
        <v>12</v>
      </c>
      <c r="N35" s="12" t="s">
        <v>13</v>
      </c>
      <c r="O35" s="12" t="s">
        <v>126</v>
      </c>
      <c r="P35" s="12" t="s">
        <v>127</v>
      </c>
      <c r="Q35" s="27" t="s">
        <v>144</v>
      </c>
      <c r="R35" s="28" t="s">
        <v>145</v>
      </c>
      <c r="S35" s="29" t="s">
        <v>146</v>
      </c>
      <c r="T35" s="29" t="s">
        <v>147</v>
      </c>
      <c r="U35" s="29" t="s">
        <v>148</v>
      </c>
      <c r="V35" s="29" t="s">
        <v>149</v>
      </c>
      <c r="W35" s="29" t="s">
        <v>150</v>
      </c>
      <c r="X35" s="29" t="s">
        <v>151</v>
      </c>
      <c r="Y35" s="29" t="s">
        <v>152</v>
      </c>
    </row>
    <row r="36" spans="1:25">
      <c r="A36" s="6"/>
      <c r="B36" s="6">
        <f>SUMIF(B4:B16,"&lt;&gt;#N/A")-SUMIF(B19:B31,"&lt;&gt;#N/A")</f>
        <v>-9</v>
      </c>
      <c r="C36" s="6">
        <f t="shared" ref="C36:Y36" si="0">SUMIF(C4:C16,"&lt;&gt;#N/A")-SUMIF(C19:C31,"&lt;&gt;#N/A")</f>
        <v>-80</v>
      </c>
      <c r="D36" s="15" t="e">
        <f>SUMIF(M4:M16,"&lt;&gt;#N/A")/SUMIF(N4:N16,"&lt;&gt;#N/A") - SUMIF(M19:M31,"&lt;&gt;#N/A")/SUMIF(N19:N31,"&lt;&gt;#N/A")</f>
        <v>#DIV/0!</v>
      </c>
      <c r="E36" s="6" t="e">
        <f>SUMIF(O4:O16,"&lt;&gt;#N/A")/SUMIF(P4:P16,"&lt;&gt;#N/A") - SUMIF(O19:O31,"&lt;&gt;#N/A")/SUMIF(P19:P31,"&lt;&gt;#N/A")</f>
        <v>#DIV/0!</v>
      </c>
      <c r="F36" s="6">
        <f t="shared" si="0"/>
        <v>-3.2</v>
      </c>
      <c r="G36" s="6">
        <f t="shared" si="0"/>
        <v>-3.8</v>
      </c>
      <c r="H36" s="6">
        <f t="shared" si="0"/>
        <v>-7</v>
      </c>
      <c r="I36" s="6">
        <f t="shared" si="0"/>
        <v>-1.1000000000000001</v>
      </c>
      <c r="J36" s="6">
        <f t="shared" si="0"/>
        <v>-0.4</v>
      </c>
      <c r="K36" s="6">
        <f t="shared" si="0"/>
        <v>-2.6</v>
      </c>
      <c r="L36" s="6">
        <f t="shared" si="0"/>
        <v>-27.6</v>
      </c>
      <c r="M36" s="6">
        <f t="shared" si="0"/>
        <v>-9.1</v>
      </c>
      <c r="N36" s="6">
        <f t="shared" si="0"/>
        <v>-20.399999999999999</v>
      </c>
      <c r="O36" s="6">
        <f t="shared" si="0"/>
        <v>-6.2</v>
      </c>
      <c r="P36" s="6">
        <f t="shared" si="0"/>
        <v>-6.8</v>
      </c>
      <c r="Q36" s="6">
        <f t="shared" si="0"/>
        <v>0.50556318992096039</v>
      </c>
      <c r="R36" s="6">
        <f t="shared" si="0"/>
        <v>-1.5728303942579092</v>
      </c>
      <c r="S36" s="6">
        <f t="shared" si="0"/>
        <v>-1.8815772073892234</v>
      </c>
      <c r="T36" s="6">
        <f t="shared" si="0"/>
        <v>0.78028266264374613</v>
      </c>
      <c r="U36" s="6">
        <f t="shared" si="0"/>
        <v>-1.8637660292764655</v>
      </c>
      <c r="V36" s="6">
        <f t="shared" si="0"/>
        <v>-0.34298678708959057</v>
      </c>
      <c r="W36" s="6">
        <f t="shared" si="0"/>
        <v>0.53563136395848565</v>
      </c>
      <c r="X36" s="6">
        <f t="shared" si="0"/>
        <v>1.1382922499316042</v>
      </c>
      <c r="Y36" s="6">
        <f t="shared" si="0"/>
        <v>-2.4755761751447931</v>
      </c>
    </row>
  </sheetData>
  <conditionalFormatting sqref="B34:Y34">
    <cfRule type="colorScale" priority="9">
      <colorScale>
        <cfvo type="min"/>
        <cfvo type="percentile" val="50"/>
        <cfvo type="max"/>
        <color rgb="FF63BE7B"/>
        <color rgb="FFFCFCFF"/>
        <color rgb="FFF8696B"/>
      </colorScale>
    </cfRule>
  </conditionalFormatting>
  <conditionalFormatting sqref="K34">
    <cfRule type="colorScale" priority="8">
      <colorScale>
        <cfvo type="min"/>
        <cfvo type="percentile" val="50"/>
        <cfvo type="max"/>
        <color rgb="FFF8696B"/>
        <color rgb="FFFCFCFF"/>
        <color rgb="FF63BE7B"/>
      </colorScale>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9AC03-3D4C-5045-87B2-33CD50CAB5D7}">
  <sheetPr codeName="Sheet18"/>
  <dimension ref="A1:P222"/>
  <sheetViews>
    <sheetView topLeftCell="A93" workbookViewId="0">
      <selection activeCell="C10" sqref="C10"/>
    </sheetView>
  </sheetViews>
  <sheetFormatPr baseColWidth="10" defaultRowHeight="16"/>
  <cols>
    <col min="1" max="1" width="16.6640625" bestFit="1" customWidth="1"/>
    <col min="2" max="2" width="80.6640625" bestFit="1" customWidth="1"/>
    <col min="3" max="3" width="18.83203125" bestFit="1" customWidth="1"/>
    <col min="4" max="4" width="10.5" bestFit="1" customWidth="1"/>
    <col min="5" max="5" width="9.83203125" bestFit="1" customWidth="1"/>
    <col min="6" max="6" width="10.1640625" bestFit="1" customWidth="1"/>
    <col min="7" max="7" width="13.6640625" bestFit="1" customWidth="1"/>
    <col min="8" max="8" width="11" bestFit="1" customWidth="1"/>
    <col min="9" max="9" width="5.33203125" bestFit="1" customWidth="1"/>
    <col min="10" max="10" width="5.83203125" bestFit="1" customWidth="1"/>
    <col min="11" max="11" width="6.6640625" bestFit="1" customWidth="1"/>
    <col min="12" max="12" width="5.1640625" bestFit="1" customWidth="1"/>
    <col min="13" max="13" width="4.83203125" bestFit="1" customWidth="1"/>
    <col min="14" max="14" width="5.33203125" bestFit="1" customWidth="1"/>
    <col min="15" max="15" width="4.6640625" bestFit="1" customWidth="1"/>
    <col min="16" max="16" width="7.6640625" bestFit="1" customWidth="1"/>
  </cols>
  <sheetData>
    <row r="1" spans="1:16" ht="17">
      <c r="A1" s="52" t="s">
        <v>172</v>
      </c>
      <c r="B1" s="52" t="s">
        <v>173</v>
      </c>
      <c r="C1" s="52" t="s">
        <v>673</v>
      </c>
      <c r="D1" s="52" t="s">
        <v>174</v>
      </c>
    </row>
    <row r="2" spans="1:16">
      <c r="A2" s="52"/>
      <c r="B2" s="52"/>
      <c r="C2" s="52"/>
      <c r="D2" s="52"/>
    </row>
    <row r="4" spans="1:16">
      <c r="A4" s="53" t="s">
        <v>674</v>
      </c>
      <c r="B4" s="53" t="s">
        <v>675</v>
      </c>
      <c r="C4" s="53" t="s">
        <v>676</v>
      </c>
      <c r="D4" s="53" t="s">
        <v>677</v>
      </c>
      <c r="E4" s="53" t="s">
        <v>678</v>
      </c>
      <c r="F4" s="53" t="s">
        <v>679</v>
      </c>
      <c r="G4" s="53" t="s">
        <v>680</v>
      </c>
      <c r="H4" s="53" t="s">
        <v>681</v>
      </c>
    </row>
    <row r="5" spans="1:16">
      <c r="A5" s="53" t="s">
        <v>682</v>
      </c>
      <c r="B5" s="53" t="s">
        <v>683</v>
      </c>
      <c r="C5" s="53" t="s">
        <v>684</v>
      </c>
      <c r="D5" s="53" t="s">
        <v>685</v>
      </c>
      <c r="E5" s="53" t="s">
        <v>686</v>
      </c>
      <c r="F5" s="53" t="s">
        <v>687</v>
      </c>
      <c r="G5" s="53" t="s">
        <v>688</v>
      </c>
      <c r="H5" s="53" t="s">
        <v>689</v>
      </c>
    </row>
    <row r="7" spans="1:16" ht="17">
      <c r="A7" s="54" t="s">
        <v>160</v>
      </c>
      <c r="B7" s="55" t="s">
        <v>161</v>
      </c>
      <c r="C7" s="55" t="s">
        <v>175</v>
      </c>
      <c r="D7" s="55" t="s">
        <v>176</v>
      </c>
      <c r="E7" s="55" t="s">
        <v>690</v>
      </c>
      <c r="F7" s="55" t="s">
        <v>177</v>
      </c>
      <c r="G7" s="55" t="s">
        <v>3</v>
      </c>
      <c r="H7" s="55" t="s">
        <v>4</v>
      </c>
      <c r="I7" s="55" t="s">
        <v>5</v>
      </c>
      <c r="J7" s="55" t="s">
        <v>11</v>
      </c>
      <c r="K7" s="55" t="s">
        <v>162</v>
      </c>
      <c r="L7" s="55" t="s">
        <v>7</v>
      </c>
      <c r="M7" s="55" t="s">
        <v>8</v>
      </c>
      <c r="N7" s="55" t="s">
        <v>9</v>
      </c>
      <c r="O7" s="55" t="s">
        <v>10</v>
      </c>
      <c r="P7" s="55" t="s">
        <v>178</v>
      </c>
    </row>
    <row r="8" spans="1:16" ht="51">
      <c r="A8" s="56">
        <v>1</v>
      </c>
      <c r="B8" s="56" t="s">
        <v>691</v>
      </c>
      <c r="C8" s="56" t="s">
        <v>179</v>
      </c>
      <c r="D8" s="56" t="s">
        <v>180</v>
      </c>
      <c r="E8" s="56">
        <v>74</v>
      </c>
      <c r="F8" s="56">
        <v>36</v>
      </c>
      <c r="G8" s="57" t="s">
        <v>181</v>
      </c>
      <c r="H8" s="58" t="s">
        <v>182</v>
      </c>
      <c r="I8" s="59">
        <v>1</v>
      </c>
      <c r="J8" s="58">
        <v>27.7</v>
      </c>
      <c r="K8" s="58">
        <v>11.3</v>
      </c>
      <c r="L8" s="56">
        <v>3.5</v>
      </c>
      <c r="M8" s="58">
        <v>1.7</v>
      </c>
      <c r="N8" s="57">
        <v>2.6</v>
      </c>
      <c r="O8" s="59">
        <v>2.2000000000000002</v>
      </c>
      <c r="P8" s="56">
        <v>15.28</v>
      </c>
    </row>
    <row r="9" spans="1:16" ht="51">
      <c r="A9" s="56">
        <v>2</v>
      </c>
      <c r="B9" s="56" t="s">
        <v>692</v>
      </c>
      <c r="C9" s="56" t="s">
        <v>183</v>
      </c>
      <c r="D9" s="56" t="s">
        <v>184</v>
      </c>
      <c r="E9" s="56">
        <v>78</v>
      </c>
      <c r="F9" s="56">
        <v>36</v>
      </c>
      <c r="G9" s="59" t="s">
        <v>185</v>
      </c>
      <c r="H9" s="57" t="s">
        <v>186</v>
      </c>
      <c r="I9" s="57">
        <v>3.9</v>
      </c>
      <c r="J9" s="57">
        <v>31.7</v>
      </c>
      <c r="K9" s="56">
        <v>5.6</v>
      </c>
      <c r="L9" s="58">
        <v>6.8</v>
      </c>
      <c r="M9" s="57">
        <v>2.1</v>
      </c>
      <c r="N9" s="56">
        <v>0.7</v>
      </c>
      <c r="O9" s="61">
        <v>4.4000000000000004</v>
      </c>
      <c r="P9" s="56">
        <v>14.79</v>
      </c>
    </row>
    <row r="10" spans="1:16" ht="51">
      <c r="A10" s="56">
        <v>3</v>
      </c>
      <c r="B10" s="56" t="s">
        <v>693</v>
      </c>
      <c r="C10" s="56" t="s">
        <v>183</v>
      </c>
      <c r="D10" s="56" t="s">
        <v>187</v>
      </c>
      <c r="E10" s="56">
        <v>76</v>
      </c>
      <c r="F10" s="56">
        <v>35</v>
      </c>
      <c r="G10" s="60" t="s">
        <v>188</v>
      </c>
      <c r="H10" s="57" t="s">
        <v>189</v>
      </c>
      <c r="I10" s="57">
        <v>5.6</v>
      </c>
      <c r="J10" s="57">
        <v>29.8</v>
      </c>
      <c r="K10" s="56">
        <v>5.9</v>
      </c>
      <c r="L10" s="58">
        <v>5.7</v>
      </c>
      <c r="M10" s="58">
        <v>1.5</v>
      </c>
      <c r="N10" s="59">
        <v>0.4</v>
      </c>
      <c r="O10" s="61">
        <v>2.9</v>
      </c>
      <c r="P10" s="56">
        <v>14.01</v>
      </c>
    </row>
    <row r="11" spans="1:16" ht="68">
      <c r="A11" s="56">
        <v>4</v>
      </c>
      <c r="B11" s="56" t="s">
        <v>694</v>
      </c>
      <c r="C11" s="56" t="s">
        <v>190</v>
      </c>
      <c r="D11" s="56" t="s">
        <v>191</v>
      </c>
      <c r="E11" s="56">
        <v>72</v>
      </c>
      <c r="F11" s="56">
        <v>33</v>
      </c>
      <c r="G11" s="57" t="s">
        <v>192</v>
      </c>
      <c r="H11" s="61" t="s">
        <v>193</v>
      </c>
      <c r="I11" s="59">
        <v>0.9</v>
      </c>
      <c r="J11" s="57">
        <v>28.7</v>
      </c>
      <c r="K11" s="57">
        <v>13.2</v>
      </c>
      <c r="L11" s="58">
        <v>6.2</v>
      </c>
      <c r="M11" s="60">
        <v>1.3</v>
      </c>
      <c r="N11" s="58">
        <v>1.6</v>
      </c>
      <c r="O11" s="61">
        <v>3.4</v>
      </c>
      <c r="P11" s="56">
        <v>12.82</v>
      </c>
    </row>
    <row r="12" spans="1:16" ht="51">
      <c r="A12" s="56">
        <v>5</v>
      </c>
      <c r="B12" s="56" t="s">
        <v>695</v>
      </c>
      <c r="C12" s="56" t="s">
        <v>194</v>
      </c>
      <c r="D12" s="56" t="s">
        <v>195</v>
      </c>
      <c r="E12" s="56">
        <v>79</v>
      </c>
      <c r="F12" s="56">
        <v>33</v>
      </c>
      <c r="G12" s="58" t="s">
        <v>196</v>
      </c>
      <c r="H12" s="58" t="s">
        <v>197</v>
      </c>
      <c r="I12" s="56">
        <v>1.9</v>
      </c>
      <c r="J12" s="58">
        <v>25.6</v>
      </c>
      <c r="K12" s="57">
        <v>12.4</v>
      </c>
      <c r="L12" s="60">
        <v>3.6</v>
      </c>
      <c r="M12" s="56">
        <v>0.9</v>
      </c>
      <c r="N12" s="58">
        <v>1.7</v>
      </c>
      <c r="O12" s="61">
        <v>3.1</v>
      </c>
      <c r="P12" s="56">
        <v>12.16</v>
      </c>
    </row>
    <row r="13" spans="1:16" ht="51">
      <c r="A13" s="56">
        <v>6</v>
      </c>
      <c r="B13" s="56" t="s">
        <v>696</v>
      </c>
      <c r="C13" s="56" t="s">
        <v>179</v>
      </c>
      <c r="D13" s="56" t="s">
        <v>198</v>
      </c>
      <c r="E13" s="56">
        <v>78</v>
      </c>
      <c r="F13" s="56">
        <v>32</v>
      </c>
      <c r="G13" s="58" t="s">
        <v>199</v>
      </c>
      <c r="H13" s="60" t="s">
        <v>200</v>
      </c>
      <c r="I13" s="59">
        <v>1.1000000000000001</v>
      </c>
      <c r="J13" s="60">
        <v>21.6</v>
      </c>
      <c r="K13" s="57">
        <v>11.7</v>
      </c>
      <c r="L13" s="57">
        <v>7.8</v>
      </c>
      <c r="M13" s="60">
        <v>1.4</v>
      </c>
      <c r="N13" s="56">
        <v>0.8</v>
      </c>
      <c r="O13" s="61">
        <v>3.2</v>
      </c>
      <c r="P13" s="56">
        <v>10.52</v>
      </c>
    </row>
    <row r="14" spans="1:16" ht="68">
      <c r="A14" s="56">
        <v>7</v>
      </c>
      <c r="B14" s="56" t="s">
        <v>697</v>
      </c>
      <c r="C14" s="56" t="s">
        <v>179</v>
      </c>
      <c r="D14" s="56" t="s">
        <v>201</v>
      </c>
      <c r="E14" s="56">
        <v>66</v>
      </c>
      <c r="F14" s="56">
        <v>32</v>
      </c>
      <c r="G14" s="60" t="s">
        <v>202</v>
      </c>
      <c r="H14" s="58" t="s">
        <v>203</v>
      </c>
      <c r="I14" s="59">
        <v>1.2</v>
      </c>
      <c r="J14" s="58">
        <v>27.6</v>
      </c>
      <c r="K14" s="57">
        <v>13.6</v>
      </c>
      <c r="L14" s="60">
        <v>3.7</v>
      </c>
      <c r="M14" s="59">
        <v>0.7</v>
      </c>
      <c r="N14" s="57">
        <v>1.9</v>
      </c>
      <c r="O14" s="61">
        <v>3.3</v>
      </c>
      <c r="P14" s="56">
        <v>10.51</v>
      </c>
    </row>
    <row r="15" spans="1:16" ht="85">
      <c r="A15" s="56">
        <v>8</v>
      </c>
      <c r="B15" s="56" t="s">
        <v>698</v>
      </c>
      <c r="C15" s="56" t="s">
        <v>205</v>
      </c>
      <c r="D15" s="56" t="s">
        <v>204</v>
      </c>
      <c r="E15" s="56">
        <v>69</v>
      </c>
      <c r="F15" s="56">
        <v>34</v>
      </c>
      <c r="G15" s="58" t="s">
        <v>206</v>
      </c>
      <c r="H15" s="57" t="s">
        <v>207</v>
      </c>
      <c r="I15" s="60">
        <v>2</v>
      </c>
      <c r="J15" s="58">
        <v>24.1</v>
      </c>
      <c r="K15" s="60">
        <v>7</v>
      </c>
      <c r="L15" s="56">
        <v>3.5</v>
      </c>
      <c r="M15" s="58">
        <v>1.8</v>
      </c>
      <c r="N15" s="56">
        <v>0.6</v>
      </c>
      <c r="O15" s="59">
        <v>2</v>
      </c>
      <c r="P15" s="56">
        <v>9.83</v>
      </c>
    </row>
    <row r="16" spans="1:16" ht="34">
      <c r="A16" s="56">
        <v>9</v>
      </c>
      <c r="B16" s="56" t="s">
        <v>699</v>
      </c>
      <c r="C16" s="56" t="s">
        <v>208</v>
      </c>
      <c r="D16" s="56" t="s">
        <v>209</v>
      </c>
      <c r="E16" s="56">
        <v>80</v>
      </c>
      <c r="F16" s="56">
        <v>36</v>
      </c>
      <c r="G16" s="59" t="s">
        <v>210</v>
      </c>
      <c r="H16" s="57" t="s">
        <v>211</v>
      </c>
      <c r="I16" s="58">
        <v>3.2</v>
      </c>
      <c r="J16" s="58">
        <v>27.6</v>
      </c>
      <c r="K16" s="59">
        <v>3.8</v>
      </c>
      <c r="L16" s="58">
        <v>7</v>
      </c>
      <c r="M16" s="60">
        <v>1.1000000000000001</v>
      </c>
      <c r="N16" s="59">
        <v>0.4</v>
      </c>
      <c r="O16" s="59">
        <v>2.6</v>
      </c>
      <c r="P16" s="56">
        <v>9.7200000000000006</v>
      </c>
    </row>
    <row r="17" spans="1:16" ht="51">
      <c r="A17" s="56">
        <v>10</v>
      </c>
      <c r="B17" s="56" t="s">
        <v>700</v>
      </c>
      <c r="C17" s="56" t="s">
        <v>190</v>
      </c>
      <c r="D17" s="56" t="s">
        <v>204</v>
      </c>
      <c r="E17" s="56">
        <v>60</v>
      </c>
      <c r="F17" s="56">
        <v>34</v>
      </c>
      <c r="G17" s="56" t="s">
        <v>701</v>
      </c>
      <c r="H17" s="58" t="s">
        <v>702</v>
      </c>
      <c r="I17" s="57">
        <v>3.7</v>
      </c>
      <c r="J17" s="58">
        <v>23.5</v>
      </c>
      <c r="K17" s="60">
        <v>7.9</v>
      </c>
      <c r="L17" s="60">
        <v>4</v>
      </c>
      <c r="M17" s="57">
        <v>1.9</v>
      </c>
      <c r="N17" s="59">
        <v>0.4</v>
      </c>
      <c r="O17" s="59">
        <v>2.5</v>
      </c>
      <c r="P17" s="56">
        <v>9.56</v>
      </c>
    </row>
    <row r="18" spans="1:16" ht="51">
      <c r="A18" s="56">
        <v>11</v>
      </c>
      <c r="B18" s="56" t="s">
        <v>703</v>
      </c>
      <c r="C18" s="56" t="s">
        <v>205</v>
      </c>
      <c r="D18" s="56" t="s">
        <v>212</v>
      </c>
      <c r="E18" s="56">
        <v>72</v>
      </c>
      <c r="F18" s="56">
        <v>33</v>
      </c>
      <c r="G18" s="56" t="s">
        <v>213</v>
      </c>
      <c r="H18" s="58" t="s">
        <v>214</v>
      </c>
      <c r="I18" s="56">
        <v>1.6</v>
      </c>
      <c r="J18" s="58">
        <v>22.2</v>
      </c>
      <c r="K18" s="56">
        <v>6.1</v>
      </c>
      <c r="L18" s="60">
        <v>5.0999999999999996</v>
      </c>
      <c r="M18" s="57">
        <v>1.9</v>
      </c>
      <c r="N18" s="56">
        <v>0.7</v>
      </c>
      <c r="O18" s="56">
        <v>1.4</v>
      </c>
      <c r="P18" s="56">
        <v>8.92</v>
      </c>
    </row>
    <row r="19" spans="1:16" ht="68">
      <c r="A19" s="56">
        <v>12</v>
      </c>
      <c r="B19" s="56" t="s">
        <v>704</v>
      </c>
      <c r="C19" s="56" t="s">
        <v>190</v>
      </c>
      <c r="D19" s="56" t="s">
        <v>180</v>
      </c>
      <c r="E19" s="56">
        <v>74</v>
      </c>
      <c r="F19" s="56">
        <v>36</v>
      </c>
      <c r="G19" s="58" t="s">
        <v>215</v>
      </c>
      <c r="H19" s="61" t="s">
        <v>216</v>
      </c>
      <c r="I19" s="60">
        <v>2.1</v>
      </c>
      <c r="J19" s="58">
        <v>26.9</v>
      </c>
      <c r="K19" s="60">
        <v>8.6999999999999993</v>
      </c>
      <c r="L19" s="57">
        <v>8.8000000000000007</v>
      </c>
      <c r="M19" s="60">
        <v>1.3</v>
      </c>
      <c r="N19" s="56">
        <v>0.6</v>
      </c>
      <c r="O19" s="61">
        <v>3.7</v>
      </c>
      <c r="P19" s="56">
        <v>8.7200000000000006</v>
      </c>
    </row>
    <row r="20" spans="1:16" ht="17">
      <c r="A20" s="62" t="s">
        <v>160</v>
      </c>
      <c r="B20" s="62" t="s">
        <v>161</v>
      </c>
      <c r="C20" s="62" t="s">
        <v>175</v>
      </c>
      <c r="D20" s="62" t="s">
        <v>176</v>
      </c>
      <c r="E20" s="62" t="s">
        <v>690</v>
      </c>
      <c r="F20" s="62" t="s">
        <v>177</v>
      </c>
      <c r="G20" s="62" t="s">
        <v>3</v>
      </c>
      <c r="H20" s="62" t="s">
        <v>4</v>
      </c>
      <c r="I20" s="62" t="s">
        <v>5</v>
      </c>
      <c r="J20" s="62" t="s">
        <v>11</v>
      </c>
      <c r="K20" s="62" t="s">
        <v>162</v>
      </c>
      <c r="L20" s="62" t="s">
        <v>7</v>
      </c>
      <c r="M20" s="62" t="s">
        <v>8</v>
      </c>
      <c r="N20" s="62" t="s">
        <v>9</v>
      </c>
      <c r="O20" s="62" t="s">
        <v>10</v>
      </c>
      <c r="P20" s="62" t="s">
        <v>178</v>
      </c>
    </row>
    <row r="21" spans="1:16" ht="51">
      <c r="A21" s="56">
        <v>13</v>
      </c>
      <c r="B21" s="56" t="s">
        <v>705</v>
      </c>
      <c r="C21" s="56" t="s">
        <v>183</v>
      </c>
      <c r="D21" s="56" t="s">
        <v>217</v>
      </c>
      <c r="E21" s="56">
        <v>68</v>
      </c>
      <c r="F21" s="56">
        <v>33</v>
      </c>
      <c r="G21" s="56" t="s">
        <v>218</v>
      </c>
      <c r="H21" s="58" t="s">
        <v>219</v>
      </c>
      <c r="I21" s="60">
        <v>2.7</v>
      </c>
      <c r="J21" s="58">
        <v>25.1</v>
      </c>
      <c r="K21" s="59">
        <v>3.9</v>
      </c>
      <c r="L21" s="57">
        <v>7.2</v>
      </c>
      <c r="M21" s="60">
        <v>1.4</v>
      </c>
      <c r="N21" s="59">
        <v>0.4</v>
      </c>
      <c r="O21" s="59">
        <v>2.6</v>
      </c>
      <c r="P21" s="56">
        <v>7.95</v>
      </c>
    </row>
    <row r="22" spans="1:16" ht="68">
      <c r="A22" s="56">
        <v>14</v>
      </c>
      <c r="B22" s="56" t="s">
        <v>706</v>
      </c>
      <c r="C22" s="56" t="s">
        <v>220</v>
      </c>
      <c r="D22" s="56" t="s">
        <v>221</v>
      </c>
      <c r="E22" s="56">
        <v>78</v>
      </c>
      <c r="F22" s="56">
        <v>35</v>
      </c>
      <c r="G22" s="60" t="s">
        <v>222</v>
      </c>
      <c r="H22" s="60" t="s">
        <v>223</v>
      </c>
      <c r="I22" s="60">
        <v>2.5</v>
      </c>
      <c r="J22" s="58">
        <v>26.7</v>
      </c>
      <c r="K22" s="56">
        <v>5.3</v>
      </c>
      <c r="L22" s="58">
        <v>5.5</v>
      </c>
      <c r="M22" s="60">
        <v>1.4</v>
      </c>
      <c r="N22" s="56">
        <v>0.7</v>
      </c>
      <c r="O22" s="59">
        <v>2.6</v>
      </c>
      <c r="P22" s="56">
        <v>7.63</v>
      </c>
    </row>
    <row r="23" spans="1:16" ht="68">
      <c r="A23" s="56">
        <v>15</v>
      </c>
      <c r="B23" s="56" t="s">
        <v>707</v>
      </c>
      <c r="C23" s="56" t="s">
        <v>179</v>
      </c>
      <c r="D23" s="56" t="s">
        <v>224</v>
      </c>
      <c r="E23" s="56">
        <v>78</v>
      </c>
      <c r="F23" s="56">
        <v>32</v>
      </c>
      <c r="G23" s="60" t="s">
        <v>225</v>
      </c>
      <c r="H23" s="56" t="s">
        <v>226</v>
      </c>
      <c r="I23" s="59">
        <v>1.2</v>
      </c>
      <c r="J23" s="60">
        <v>20.100000000000001</v>
      </c>
      <c r="K23" s="57">
        <v>12.1</v>
      </c>
      <c r="L23" s="60">
        <v>4.0999999999999996</v>
      </c>
      <c r="M23" s="56">
        <v>1</v>
      </c>
      <c r="N23" s="60">
        <v>1.2</v>
      </c>
      <c r="O23" s="59">
        <v>2</v>
      </c>
      <c r="P23" s="56">
        <v>7.09</v>
      </c>
    </row>
    <row r="24" spans="1:16" ht="51">
      <c r="A24" s="56">
        <v>16</v>
      </c>
      <c r="B24" s="56" t="s">
        <v>708</v>
      </c>
      <c r="C24" s="56" t="s">
        <v>208</v>
      </c>
      <c r="D24" s="56" t="s">
        <v>227</v>
      </c>
      <c r="E24" s="56">
        <v>80</v>
      </c>
      <c r="F24" s="56">
        <v>33</v>
      </c>
      <c r="G24" s="56" t="s">
        <v>228</v>
      </c>
      <c r="H24" s="58" t="s">
        <v>229</v>
      </c>
      <c r="I24" s="58">
        <v>3.2</v>
      </c>
      <c r="J24" s="58">
        <v>24.9</v>
      </c>
      <c r="K24" s="59">
        <v>4.0999999999999996</v>
      </c>
      <c r="L24" s="58">
        <v>5.9</v>
      </c>
      <c r="M24" s="60">
        <v>1.1000000000000001</v>
      </c>
      <c r="N24" s="59">
        <v>0.4</v>
      </c>
      <c r="O24" s="59">
        <v>2.5</v>
      </c>
      <c r="P24" s="56">
        <v>6.66</v>
      </c>
    </row>
    <row r="25" spans="1:16" ht="68">
      <c r="A25" s="56">
        <v>17</v>
      </c>
      <c r="B25" s="56" t="s">
        <v>709</v>
      </c>
      <c r="C25" s="56" t="s">
        <v>183</v>
      </c>
      <c r="D25" s="56" t="s">
        <v>230</v>
      </c>
      <c r="E25" s="56">
        <v>71</v>
      </c>
      <c r="F25" s="56">
        <v>35</v>
      </c>
      <c r="G25" s="60" t="s">
        <v>231</v>
      </c>
      <c r="H25" s="57" t="s">
        <v>232</v>
      </c>
      <c r="I25" s="60">
        <v>2.2000000000000002</v>
      </c>
      <c r="J25" s="58">
        <v>27.5</v>
      </c>
      <c r="K25" s="59">
        <v>4.3</v>
      </c>
      <c r="L25" s="58">
        <v>5.7</v>
      </c>
      <c r="M25" s="56">
        <v>0.9</v>
      </c>
      <c r="N25" s="59">
        <v>0.2</v>
      </c>
      <c r="O25" s="61">
        <v>3.7</v>
      </c>
      <c r="P25" s="56">
        <v>6.59</v>
      </c>
    </row>
    <row r="26" spans="1:16" ht="51">
      <c r="A26" s="56">
        <v>18</v>
      </c>
      <c r="B26" s="56" t="s">
        <v>710</v>
      </c>
      <c r="C26" s="56" t="s">
        <v>194</v>
      </c>
      <c r="D26" s="56" t="s">
        <v>233</v>
      </c>
      <c r="E26" s="56">
        <v>77</v>
      </c>
      <c r="F26" s="56">
        <v>32</v>
      </c>
      <c r="G26" s="57" t="s">
        <v>234</v>
      </c>
      <c r="H26" s="61" t="s">
        <v>235</v>
      </c>
      <c r="I26" s="61">
        <v>0</v>
      </c>
      <c r="J26" s="60">
        <v>16.899999999999999</v>
      </c>
      <c r="K26" s="57">
        <v>13.5</v>
      </c>
      <c r="L26" s="59">
        <v>2.1</v>
      </c>
      <c r="M26" s="56">
        <v>0.8</v>
      </c>
      <c r="N26" s="57">
        <v>2.4</v>
      </c>
      <c r="O26" s="56">
        <v>1.6</v>
      </c>
      <c r="P26" s="56">
        <v>6.38</v>
      </c>
    </row>
    <row r="27" spans="1:16" ht="51">
      <c r="A27" s="56">
        <v>19</v>
      </c>
      <c r="B27" s="56" t="s">
        <v>711</v>
      </c>
      <c r="C27" s="56" t="s">
        <v>183</v>
      </c>
      <c r="D27" s="56" t="s">
        <v>236</v>
      </c>
      <c r="E27" s="56">
        <v>73</v>
      </c>
      <c r="F27" s="56">
        <v>34</v>
      </c>
      <c r="G27" s="60" t="s">
        <v>237</v>
      </c>
      <c r="H27" s="56" t="s">
        <v>238</v>
      </c>
      <c r="I27" s="56">
        <v>1.8</v>
      </c>
      <c r="J27" s="58">
        <v>22.1</v>
      </c>
      <c r="K27" s="56">
        <v>5.0999999999999996</v>
      </c>
      <c r="L27" s="58">
        <v>6.5</v>
      </c>
      <c r="M27" s="58">
        <v>1.5</v>
      </c>
      <c r="N27" s="56">
        <v>0.8</v>
      </c>
      <c r="O27" s="61">
        <v>3</v>
      </c>
      <c r="P27" s="56">
        <v>6.14</v>
      </c>
    </row>
    <row r="28" spans="1:16" ht="51">
      <c r="A28" s="56">
        <v>20</v>
      </c>
      <c r="B28" s="56" t="s">
        <v>712</v>
      </c>
      <c r="C28" s="56" t="s">
        <v>179</v>
      </c>
      <c r="D28" s="56" t="s">
        <v>239</v>
      </c>
      <c r="E28" s="56">
        <v>78</v>
      </c>
      <c r="F28" s="56">
        <v>34</v>
      </c>
      <c r="G28" s="58" t="s">
        <v>240</v>
      </c>
      <c r="H28" s="61" t="s">
        <v>241</v>
      </c>
      <c r="I28" s="61">
        <v>0.1</v>
      </c>
      <c r="J28" s="60">
        <v>18.600000000000001</v>
      </c>
      <c r="K28" s="57">
        <v>16</v>
      </c>
      <c r="L28" s="59">
        <v>1.5</v>
      </c>
      <c r="M28" s="58">
        <v>1.7</v>
      </c>
      <c r="N28" s="57">
        <v>1.9</v>
      </c>
      <c r="O28" s="59">
        <v>2.2000000000000002</v>
      </c>
      <c r="P28" s="56">
        <v>6.06</v>
      </c>
    </row>
    <row r="29" spans="1:16" ht="68">
      <c r="A29" s="56">
        <v>21</v>
      </c>
      <c r="B29" s="56" t="s">
        <v>713</v>
      </c>
      <c r="C29" s="56" t="s">
        <v>194</v>
      </c>
      <c r="D29" s="56" t="s">
        <v>230</v>
      </c>
      <c r="E29" s="56">
        <v>72</v>
      </c>
      <c r="F29" s="56">
        <v>32</v>
      </c>
      <c r="G29" s="57" t="s">
        <v>242</v>
      </c>
      <c r="H29" s="56" t="s">
        <v>243</v>
      </c>
      <c r="I29" s="61">
        <v>0</v>
      </c>
      <c r="J29" s="60">
        <v>19.5</v>
      </c>
      <c r="K29" s="58">
        <v>11</v>
      </c>
      <c r="L29" s="59">
        <v>2</v>
      </c>
      <c r="M29" s="56">
        <v>0.9</v>
      </c>
      <c r="N29" s="60">
        <v>1.3</v>
      </c>
      <c r="O29" s="56">
        <v>1.9</v>
      </c>
      <c r="P29" s="56">
        <v>5.96</v>
      </c>
    </row>
    <row r="30" spans="1:16" ht="34">
      <c r="A30" s="56">
        <v>22</v>
      </c>
      <c r="B30" s="56" t="s">
        <v>714</v>
      </c>
      <c r="C30" s="56" t="s">
        <v>179</v>
      </c>
      <c r="D30" s="56" t="s">
        <v>244</v>
      </c>
      <c r="E30" s="56">
        <v>72</v>
      </c>
      <c r="F30" s="56">
        <v>32</v>
      </c>
      <c r="G30" s="57" t="s">
        <v>245</v>
      </c>
      <c r="H30" s="56" t="s">
        <v>246</v>
      </c>
      <c r="I30" s="59">
        <v>1</v>
      </c>
      <c r="J30" s="60">
        <v>21.8</v>
      </c>
      <c r="K30" s="58">
        <v>10.9</v>
      </c>
      <c r="L30" s="59">
        <v>2</v>
      </c>
      <c r="M30" s="59">
        <v>0.5</v>
      </c>
      <c r="N30" s="60">
        <v>1.1000000000000001</v>
      </c>
      <c r="O30" s="59">
        <v>2.4</v>
      </c>
      <c r="P30" s="56">
        <v>5.82</v>
      </c>
    </row>
    <row r="31" spans="1:16" ht="68">
      <c r="A31" s="56">
        <v>23</v>
      </c>
      <c r="B31" s="56" t="s">
        <v>715</v>
      </c>
      <c r="C31" s="56" t="s">
        <v>208</v>
      </c>
      <c r="D31" s="56" t="s">
        <v>184</v>
      </c>
      <c r="E31" s="56">
        <v>76</v>
      </c>
      <c r="F31" s="56">
        <v>36</v>
      </c>
      <c r="G31" s="59" t="s">
        <v>247</v>
      </c>
      <c r="H31" s="61" t="s">
        <v>248</v>
      </c>
      <c r="I31" s="56">
        <v>1.7</v>
      </c>
      <c r="J31" s="60">
        <v>21.2</v>
      </c>
      <c r="K31" s="60">
        <v>8.4</v>
      </c>
      <c r="L31" s="57">
        <v>8.1999999999999993</v>
      </c>
      <c r="M31" s="58">
        <v>1.9</v>
      </c>
      <c r="N31" s="56">
        <v>0.5</v>
      </c>
      <c r="O31" s="61">
        <v>4.0999999999999996</v>
      </c>
      <c r="P31" s="56">
        <v>5.64</v>
      </c>
    </row>
    <row r="32" spans="1:16" ht="68">
      <c r="A32" s="56">
        <v>24</v>
      </c>
      <c r="B32" s="56" t="s">
        <v>716</v>
      </c>
      <c r="C32" s="56" t="s">
        <v>208</v>
      </c>
      <c r="D32" s="56" t="s">
        <v>244</v>
      </c>
      <c r="E32" s="56">
        <v>78</v>
      </c>
      <c r="F32" s="56">
        <v>32</v>
      </c>
      <c r="G32" s="59" t="s">
        <v>249</v>
      </c>
      <c r="H32" s="58" t="s">
        <v>250</v>
      </c>
      <c r="I32" s="60">
        <v>2.4</v>
      </c>
      <c r="J32" s="58">
        <v>22.3</v>
      </c>
      <c r="K32" s="59">
        <v>4</v>
      </c>
      <c r="L32" s="57">
        <v>8.9</v>
      </c>
      <c r="M32" s="56">
        <v>1</v>
      </c>
      <c r="N32" s="59">
        <v>0.2</v>
      </c>
      <c r="O32" s="61">
        <v>3.9</v>
      </c>
      <c r="P32" s="56">
        <v>5.56</v>
      </c>
    </row>
    <row r="33" spans="1:16" ht="17">
      <c r="A33" s="62" t="s">
        <v>160</v>
      </c>
      <c r="B33" s="62" t="s">
        <v>161</v>
      </c>
      <c r="C33" s="62" t="s">
        <v>175</v>
      </c>
      <c r="D33" s="62" t="s">
        <v>176</v>
      </c>
      <c r="E33" s="62" t="s">
        <v>690</v>
      </c>
      <c r="F33" s="62" t="s">
        <v>177</v>
      </c>
      <c r="G33" s="62" t="s">
        <v>3</v>
      </c>
      <c r="H33" s="62" t="s">
        <v>4</v>
      </c>
      <c r="I33" s="62" t="s">
        <v>5</v>
      </c>
      <c r="J33" s="62" t="s">
        <v>11</v>
      </c>
      <c r="K33" s="62" t="s">
        <v>162</v>
      </c>
      <c r="L33" s="62" t="s">
        <v>7</v>
      </c>
      <c r="M33" s="62" t="s">
        <v>8</v>
      </c>
      <c r="N33" s="62" t="s">
        <v>9</v>
      </c>
      <c r="O33" s="62" t="s">
        <v>10</v>
      </c>
      <c r="P33" s="62" t="s">
        <v>178</v>
      </c>
    </row>
    <row r="34" spans="1:16" ht="68">
      <c r="A34" s="56">
        <v>25</v>
      </c>
      <c r="B34" s="56" t="s">
        <v>717</v>
      </c>
      <c r="C34" s="56" t="s">
        <v>179</v>
      </c>
      <c r="D34" s="56" t="s">
        <v>251</v>
      </c>
      <c r="E34" s="56">
        <v>76</v>
      </c>
      <c r="F34" s="56">
        <v>30</v>
      </c>
      <c r="G34" s="60" t="s">
        <v>252</v>
      </c>
      <c r="H34" s="59" t="s">
        <v>253</v>
      </c>
      <c r="I34" s="59">
        <v>1.1000000000000001</v>
      </c>
      <c r="J34" s="56">
        <v>14.6</v>
      </c>
      <c r="K34" s="60">
        <v>7.9</v>
      </c>
      <c r="L34" s="59">
        <v>1.8</v>
      </c>
      <c r="M34" s="56">
        <v>0.8</v>
      </c>
      <c r="N34" s="57">
        <v>2.8</v>
      </c>
      <c r="O34" s="56">
        <v>1.5</v>
      </c>
      <c r="P34" s="56">
        <v>5.35</v>
      </c>
    </row>
    <row r="35" spans="1:16" ht="51">
      <c r="A35" s="56">
        <v>26</v>
      </c>
      <c r="B35" s="56" t="s">
        <v>718</v>
      </c>
      <c r="C35" s="56" t="s">
        <v>208</v>
      </c>
      <c r="D35" s="56" t="s">
        <v>233</v>
      </c>
      <c r="E35" s="56">
        <v>70</v>
      </c>
      <c r="F35" s="56">
        <v>32</v>
      </c>
      <c r="G35" s="56" t="s">
        <v>255</v>
      </c>
      <c r="H35" s="58" t="s">
        <v>256</v>
      </c>
      <c r="I35" s="60">
        <v>2.2000000000000002</v>
      </c>
      <c r="J35" s="60">
        <v>19.3</v>
      </c>
      <c r="K35" s="59">
        <v>3.4</v>
      </c>
      <c r="L35" s="58">
        <v>6</v>
      </c>
      <c r="M35" s="60">
        <v>1.2</v>
      </c>
      <c r="N35" s="59">
        <v>0.3</v>
      </c>
      <c r="O35" s="56">
        <v>1.8</v>
      </c>
      <c r="P35" s="56">
        <v>5.03</v>
      </c>
    </row>
    <row r="36" spans="1:16" ht="51">
      <c r="A36" s="56">
        <v>27</v>
      </c>
      <c r="B36" s="56" t="s">
        <v>719</v>
      </c>
      <c r="C36" s="56" t="s">
        <v>208</v>
      </c>
      <c r="D36" s="56" t="s">
        <v>257</v>
      </c>
      <c r="E36" s="56">
        <v>64</v>
      </c>
      <c r="F36" s="56">
        <v>29</v>
      </c>
      <c r="G36" s="59" t="s">
        <v>258</v>
      </c>
      <c r="H36" s="60" t="s">
        <v>259</v>
      </c>
      <c r="I36" s="60">
        <v>2</v>
      </c>
      <c r="J36" s="56">
        <v>15.5</v>
      </c>
      <c r="K36" s="59">
        <v>3.8</v>
      </c>
      <c r="L36" s="57">
        <v>7.7</v>
      </c>
      <c r="M36" s="58">
        <v>1.6</v>
      </c>
      <c r="N36" s="59">
        <v>0.3</v>
      </c>
      <c r="O36" s="59">
        <v>2.6</v>
      </c>
      <c r="P36" s="56">
        <v>4.97</v>
      </c>
    </row>
    <row r="37" spans="1:16" ht="68">
      <c r="A37" s="56">
        <v>28</v>
      </c>
      <c r="B37" s="56" t="s">
        <v>720</v>
      </c>
      <c r="C37" s="56" t="s">
        <v>179</v>
      </c>
      <c r="D37" s="56" t="s">
        <v>187</v>
      </c>
      <c r="E37" s="56">
        <v>74</v>
      </c>
      <c r="F37" s="56">
        <v>33</v>
      </c>
      <c r="G37" s="56" t="s">
        <v>262</v>
      </c>
      <c r="H37" s="59" t="s">
        <v>263</v>
      </c>
      <c r="I37" s="59">
        <v>1</v>
      </c>
      <c r="J37" s="59">
        <v>10.3</v>
      </c>
      <c r="K37" s="60">
        <v>7.7</v>
      </c>
      <c r="L37" s="57">
        <v>7.6</v>
      </c>
      <c r="M37" s="60">
        <v>1.5</v>
      </c>
      <c r="N37" s="60">
        <v>1.2</v>
      </c>
      <c r="O37" s="61">
        <v>2.7</v>
      </c>
      <c r="P37" s="56">
        <v>4.71</v>
      </c>
    </row>
    <row r="38" spans="1:16" ht="51">
      <c r="A38" s="56">
        <v>29</v>
      </c>
      <c r="B38" s="56" t="s">
        <v>721</v>
      </c>
      <c r="C38" s="56" t="s">
        <v>179</v>
      </c>
      <c r="D38" s="56" t="s">
        <v>264</v>
      </c>
      <c r="E38" s="56">
        <v>76</v>
      </c>
      <c r="F38" s="56">
        <v>33</v>
      </c>
      <c r="G38" s="58" t="s">
        <v>265</v>
      </c>
      <c r="H38" s="58" t="s">
        <v>266</v>
      </c>
      <c r="I38" s="61">
        <v>0.1</v>
      </c>
      <c r="J38" s="60">
        <v>20.8</v>
      </c>
      <c r="K38" s="60">
        <v>8.9</v>
      </c>
      <c r="L38" s="59">
        <v>2.1</v>
      </c>
      <c r="M38" s="59">
        <v>0.5</v>
      </c>
      <c r="N38" s="60">
        <v>1.2</v>
      </c>
      <c r="O38" s="56">
        <v>1.8</v>
      </c>
      <c r="P38" s="56">
        <v>4.6500000000000004</v>
      </c>
    </row>
    <row r="39" spans="1:16" ht="68">
      <c r="A39" s="56">
        <v>30</v>
      </c>
      <c r="B39" s="56" t="s">
        <v>722</v>
      </c>
      <c r="C39" s="56" t="s">
        <v>267</v>
      </c>
      <c r="D39" s="56" t="s">
        <v>268</v>
      </c>
      <c r="E39" s="56">
        <v>78</v>
      </c>
      <c r="F39" s="56">
        <v>34</v>
      </c>
      <c r="G39" s="58" t="s">
        <v>269</v>
      </c>
      <c r="H39" s="56" t="s">
        <v>270</v>
      </c>
      <c r="I39" s="59">
        <v>1.1000000000000001</v>
      </c>
      <c r="J39" s="60">
        <v>18.8</v>
      </c>
      <c r="K39" s="60">
        <v>7.7</v>
      </c>
      <c r="L39" s="56">
        <v>3.5</v>
      </c>
      <c r="M39" s="56">
        <v>1</v>
      </c>
      <c r="N39" s="56">
        <v>0.7</v>
      </c>
      <c r="O39" s="59">
        <v>2</v>
      </c>
      <c r="P39" s="56">
        <v>4.62</v>
      </c>
    </row>
    <row r="40" spans="1:16" ht="51">
      <c r="A40" s="56">
        <v>31</v>
      </c>
      <c r="B40" s="56" t="s">
        <v>723</v>
      </c>
      <c r="C40" s="56" t="s">
        <v>190</v>
      </c>
      <c r="D40" s="56" t="s">
        <v>195</v>
      </c>
      <c r="E40" s="56">
        <v>66</v>
      </c>
      <c r="F40" s="56">
        <v>33</v>
      </c>
      <c r="G40" s="59" t="s">
        <v>271</v>
      </c>
      <c r="H40" s="56" t="s">
        <v>272</v>
      </c>
      <c r="I40" s="60">
        <v>2.4</v>
      </c>
      <c r="J40" s="56">
        <v>13.5</v>
      </c>
      <c r="K40" s="56">
        <v>5.5</v>
      </c>
      <c r="L40" s="59">
        <v>1.3</v>
      </c>
      <c r="M40" s="57">
        <v>2</v>
      </c>
      <c r="N40" s="58">
        <v>1.3</v>
      </c>
      <c r="O40" s="60">
        <v>1.2</v>
      </c>
      <c r="P40" s="56">
        <v>4.6100000000000003</v>
      </c>
    </row>
    <row r="41" spans="1:16" ht="102">
      <c r="A41" s="56">
        <v>32</v>
      </c>
      <c r="B41" s="56" t="s">
        <v>724</v>
      </c>
      <c r="C41" s="56" t="s">
        <v>267</v>
      </c>
      <c r="D41" s="56" t="s">
        <v>236</v>
      </c>
      <c r="E41" s="56">
        <v>60</v>
      </c>
      <c r="F41" s="56">
        <v>32</v>
      </c>
      <c r="G41" s="57" t="s">
        <v>725</v>
      </c>
      <c r="H41" s="61" t="s">
        <v>623</v>
      </c>
      <c r="I41" s="61">
        <v>0.5</v>
      </c>
      <c r="J41" s="60">
        <v>19.2</v>
      </c>
      <c r="K41" s="60">
        <v>8.6</v>
      </c>
      <c r="L41" s="56">
        <v>2.7</v>
      </c>
      <c r="M41" s="58">
        <v>1.6</v>
      </c>
      <c r="N41" s="60">
        <v>0.9</v>
      </c>
      <c r="O41" s="59">
        <v>2.4</v>
      </c>
      <c r="P41" s="56">
        <v>4.59</v>
      </c>
    </row>
    <row r="42" spans="1:16" ht="68">
      <c r="A42" s="56">
        <v>33</v>
      </c>
      <c r="B42" s="56" t="s">
        <v>726</v>
      </c>
      <c r="C42" s="56" t="s">
        <v>194</v>
      </c>
      <c r="D42" s="56" t="s">
        <v>254</v>
      </c>
      <c r="E42" s="56">
        <v>76</v>
      </c>
      <c r="F42" s="56">
        <v>25</v>
      </c>
      <c r="G42" s="57" t="s">
        <v>727</v>
      </c>
      <c r="H42" s="61" t="s">
        <v>728</v>
      </c>
      <c r="I42" s="61">
        <v>0</v>
      </c>
      <c r="J42" s="59">
        <v>10.9</v>
      </c>
      <c r="K42" s="58">
        <v>9.1</v>
      </c>
      <c r="L42" s="61">
        <v>0.8</v>
      </c>
      <c r="M42" s="56">
        <v>1</v>
      </c>
      <c r="N42" s="57">
        <v>2.7</v>
      </c>
      <c r="O42" s="60">
        <v>0.9</v>
      </c>
      <c r="P42" s="56">
        <v>4.59</v>
      </c>
    </row>
    <row r="43" spans="1:16" ht="51">
      <c r="A43" s="56">
        <v>34</v>
      </c>
      <c r="B43" s="56" t="s">
        <v>729</v>
      </c>
      <c r="C43" s="56" t="s">
        <v>179</v>
      </c>
      <c r="D43" s="56" t="s">
        <v>184</v>
      </c>
      <c r="E43" s="56">
        <v>72</v>
      </c>
      <c r="F43" s="56">
        <v>34</v>
      </c>
      <c r="G43" s="57" t="s">
        <v>625</v>
      </c>
      <c r="H43" s="61" t="s">
        <v>626</v>
      </c>
      <c r="I43" s="61">
        <v>0</v>
      </c>
      <c r="J43" s="56">
        <v>15.8</v>
      </c>
      <c r="K43" s="58">
        <v>11.1</v>
      </c>
      <c r="L43" s="59">
        <v>1.5</v>
      </c>
      <c r="M43" s="59">
        <v>0.7</v>
      </c>
      <c r="N43" s="57">
        <v>1.8</v>
      </c>
      <c r="O43" s="56">
        <v>1.4</v>
      </c>
      <c r="P43" s="56">
        <v>4.58</v>
      </c>
    </row>
    <row r="44" spans="1:16" ht="34">
      <c r="A44" s="56">
        <v>35</v>
      </c>
      <c r="B44" s="56" t="s">
        <v>730</v>
      </c>
      <c r="C44" s="56" t="s">
        <v>190</v>
      </c>
      <c r="D44" s="56" t="s">
        <v>260</v>
      </c>
      <c r="E44" s="56">
        <v>76</v>
      </c>
      <c r="F44" s="56">
        <v>33</v>
      </c>
      <c r="G44" s="60" t="s">
        <v>624</v>
      </c>
      <c r="H44" s="60" t="s">
        <v>261</v>
      </c>
      <c r="I44" s="60">
        <v>2.2000000000000002</v>
      </c>
      <c r="J44" s="60">
        <v>16.899999999999999</v>
      </c>
      <c r="K44" s="56">
        <v>5.7</v>
      </c>
      <c r="L44" s="56">
        <v>2.6</v>
      </c>
      <c r="M44" s="58">
        <v>1.5</v>
      </c>
      <c r="N44" s="56">
        <v>0.7</v>
      </c>
      <c r="O44" s="56">
        <v>1.3</v>
      </c>
      <c r="P44" s="56">
        <v>4.57</v>
      </c>
    </row>
    <row r="45" spans="1:16" ht="51">
      <c r="A45" s="56">
        <v>36</v>
      </c>
      <c r="B45" s="56" t="s">
        <v>731</v>
      </c>
      <c r="C45" s="56" t="s">
        <v>220</v>
      </c>
      <c r="D45" s="56" t="s">
        <v>273</v>
      </c>
      <c r="E45" s="56">
        <v>80</v>
      </c>
      <c r="F45" s="56">
        <v>32</v>
      </c>
      <c r="G45" s="56" t="s">
        <v>274</v>
      </c>
      <c r="H45" s="60" t="s">
        <v>275</v>
      </c>
      <c r="I45" s="58">
        <v>3.5</v>
      </c>
      <c r="J45" s="60">
        <v>21.8</v>
      </c>
      <c r="K45" s="56">
        <v>5.3</v>
      </c>
      <c r="L45" s="56">
        <v>2.6</v>
      </c>
      <c r="M45" s="56">
        <v>0.8</v>
      </c>
      <c r="N45" s="59">
        <v>0.4</v>
      </c>
      <c r="O45" s="56">
        <v>1.8</v>
      </c>
      <c r="P45" s="56">
        <v>4.5599999999999996</v>
      </c>
    </row>
    <row r="46" spans="1:16" ht="17">
      <c r="A46" s="62" t="s">
        <v>160</v>
      </c>
      <c r="B46" s="62" t="s">
        <v>161</v>
      </c>
      <c r="C46" s="62" t="s">
        <v>175</v>
      </c>
      <c r="D46" s="62" t="s">
        <v>176</v>
      </c>
      <c r="E46" s="62" t="s">
        <v>690</v>
      </c>
      <c r="F46" s="62" t="s">
        <v>177</v>
      </c>
      <c r="G46" s="62" t="s">
        <v>3</v>
      </c>
      <c r="H46" s="62" t="s">
        <v>4</v>
      </c>
      <c r="I46" s="62" t="s">
        <v>5</v>
      </c>
      <c r="J46" s="62" t="s">
        <v>11</v>
      </c>
      <c r="K46" s="62" t="s">
        <v>162</v>
      </c>
      <c r="L46" s="62" t="s">
        <v>7</v>
      </c>
      <c r="M46" s="62" t="s">
        <v>8</v>
      </c>
      <c r="N46" s="62" t="s">
        <v>9</v>
      </c>
      <c r="O46" s="62" t="s">
        <v>10</v>
      </c>
      <c r="P46" s="62" t="s">
        <v>178</v>
      </c>
    </row>
    <row r="47" spans="1:16" ht="85">
      <c r="A47" s="56">
        <v>37</v>
      </c>
      <c r="B47" s="56" t="s">
        <v>732</v>
      </c>
      <c r="C47" s="56" t="s">
        <v>183</v>
      </c>
      <c r="D47" s="56" t="s">
        <v>187</v>
      </c>
      <c r="E47" s="56">
        <v>78</v>
      </c>
      <c r="F47" s="56">
        <v>33</v>
      </c>
      <c r="G47" s="59" t="s">
        <v>276</v>
      </c>
      <c r="H47" s="56" t="s">
        <v>277</v>
      </c>
      <c r="I47" s="58">
        <v>3.3</v>
      </c>
      <c r="J47" s="60">
        <v>21.6</v>
      </c>
      <c r="K47" s="59">
        <v>4.2</v>
      </c>
      <c r="L47" s="60">
        <v>5.2</v>
      </c>
      <c r="M47" s="60">
        <v>1.3</v>
      </c>
      <c r="N47" s="59">
        <v>0.2</v>
      </c>
      <c r="O47" s="61">
        <v>2.8</v>
      </c>
      <c r="P47" s="56">
        <v>4.55</v>
      </c>
    </row>
    <row r="48" spans="1:16" ht="51">
      <c r="A48" s="56">
        <v>38</v>
      </c>
      <c r="B48" s="56" t="s">
        <v>733</v>
      </c>
      <c r="C48" s="56" t="s">
        <v>179</v>
      </c>
      <c r="D48" s="56" t="s">
        <v>284</v>
      </c>
      <c r="E48" s="56">
        <v>62</v>
      </c>
      <c r="F48" s="56">
        <v>30</v>
      </c>
      <c r="G48" s="56" t="s">
        <v>285</v>
      </c>
      <c r="H48" s="60" t="s">
        <v>223</v>
      </c>
      <c r="I48" s="56">
        <v>1.9</v>
      </c>
      <c r="J48" s="60">
        <v>19.899999999999999</v>
      </c>
      <c r="K48" s="60">
        <v>7.6</v>
      </c>
      <c r="L48" s="59">
        <v>1.2</v>
      </c>
      <c r="M48" s="59">
        <v>0.7</v>
      </c>
      <c r="N48" s="57">
        <v>1.9</v>
      </c>
      <c r="O48" s="56">
        <v>1.8</v>
      </c>
      <c r="P48" s="56">
        <v>4.55</v>
      </c>
    </row>
    <row r="49" spans="1:16" ht="51">
      <c r="A49" s="56">
        <v>39</v>
      </c>
      <c r="B49" s="56" t="s">
        <v>734</v>
      </c>
      <c r="C49" s="56" t="s">
        <v>205</v>
      </c>
      <c r="D49" s="56" t="s">
        <v>191</v>
      </c>
      <c r="E49" s="56">
        <v>76</v>
      </c>
      <c r="F49" s="56">
        <v>32</v>
      </c>
      <c r="G49" s="59" t="s">
        <v>278</v>
      </c>
      <c r="H49" s="60" t="s">
        <v>279</v>
      </c>
      <c r="I49" s="60">
        <v>2.5</v>
      </c>
      <c r="J49" s="60">
        <v>19.899999999999999</v>
      </c>
      <c r="K49" s="56">
        <v>6.4</v>
      </c>
      <c r="L49" s="60">
        <v>4.5999999999999996</v>
      </c>
      <c r="M49" s="60">
        <v>1.3</v>
      </c>
      <c r="N49" s="61">
        <v>0.1</v>
      </c>
      <c r="O49" s="59">
        <v>2.4</v>
      </c>
      <c r="P49" s="56">
        <v>4.54</v>
      </c>
    </row>
    <row r="50" spans="1:16" ht="51">
      <c r="A50" s="56">
        <v>40</v>
      </c>
      <c r="B50" s="56" t="s">
        <v>735</v>
      </c>
      <c r="C50" s="56" t="s">
        <v>208</v>
      </c>
      <c r="D50" s="56" t="s">
        <v>268</v>
      </c>
      <c r="E50" s="56">
        <v>68</v>
      </c>
      <c r="F50" s="56">
        <v>32</v>
      </c>
      <c r="G50" s="59" t="s">
        <v>282</v>
      </c>
      <c r="H50" s="60" t="s">
        <v>283</v>
      </c>
      <c r="I50" s="60">
        <v>2.5</v>
      </c>
      <c r="J50" s="60">
        <v>16.3</v>
      </c>
      <c r="K50" s="56">
        <v>4.7</v>
      </c>
      <c r="L50" s="58">
        <v>7.1</v>
      </c>
      <c r="M50" s="60">
        <v>1.3</v>
      </c>
      <c r="N50" s="56">
        <v>0.5</v>
      </c>
      <c r="O50" s="61">
        <v>2.7</v>
      </c>
      <c r="P50" s="56">
        <v>4.53</v>
      </c>
    </row>
    <row r="51" spans="1:16" ht="51">
      <c r="A51" s="56">
        <v>41</v>
      </c>
      <c r="B51" s="56" t="s">
        <v>736</v>
      </c>
      <c r="C51" s="56" t="s">
        <v>208</v>
      </c>
      <c r="D51" s="56" t="s">
        <v>201</v>
      </c>
      <c r="E51" s="56">
        <v>78</v>
      </c>
      <c r="F51" s="56">
        <v>34</v>
      </c>
      <c r="G51" s="57" t="s">
        <v>280</v>
      </c>
      <c r="H51" s="61" t="s">
        <v>281</v>
      </c>
      <c r="I51" s="61">
        <v>0</v>
      </c>
      <c r="J51" s="60">
        <v>17.8</v>
      </c>
      <c r="K51" s="60">
        <v>8.8000000000000007</v>
      </c>
      <c r="L51" s="57">
        <v>8.6999999999999993</v>
      </c>
      <c r="M51" s="60">
        <v>1.5</v>
      </c>
      <c r="N51" s="60">
        <v>0.9</v>
      </c>
      <c r="O51" s="61">
        <v>3.5</v>
      </c>
      <c r="P51" s="56">
        <v>4.5199999999999996</v>
      </c>
    </row>
    <row r="52" spans="1:16" ht="51">
      <c r="A52" s="56">
        <v>42</v>
      </c>
      <c r="B52" s="56" t="s">
        <v>737</v>
      </c>
      <c r="C52" s="56" t="s">
        <v>183</v>
      </c>
      <c r="D52" s="56" t="s">
        <v>260</v>
      </c>
      <c r="E52" s="56">
        <v>68</v>
      </c>
      <c r="F52" s="56">
        <v>34</v>
      </c>
      <c r="G52" s="56" t="s">
        <v>286</v>
      </c>
      <c r="H52" s="58" t="s">
        <v>287</v>
      </c>
      <c r="I52" s="60">
        <v>2</v>
      </c>
      <c r="J52" s="58">
        <v>23.6</v>
      </c>
      <c r="K52" s="56">
        <v>4.8</v>
      </c>
      <c r="L52" s="60">
        <v>4.7</v>
      </c>
      <c r="M52" s="56">
        <v>1</v>
      </c>
      <c r="N52" s="59">
        <v>0.4</v>
      </c>
      <c r="O52" s="61">
        <v>3.4</v>
      </c>
      <c r="P52" s="56">
        <v>4.4800000000000004</v>
      </c>
    </row>
    <row r="53" spans="1:16" ht="51">
      <c r="A53" s="56">
        <v>43</v>
      </c>
      <c r="B53" s="56" t="s">
        <v>738</v>
      </c>
      <c r="C53" s="56" t="s">
        <v>179</v>
      </c>
      <c r="D53" s="56" t="s">
        <v>288</v>
      </c>
      <c r="E53" s="56">
        <v>60</v>
      </c>
      <c r="F53" s="56">
        <v>28</v>
      </c>
      <c r="G53" s="59" t="s">
        <v>289</v>
      </c>
      <c r="H53" s="57" t="s">
        <v>290</v>
      </c>
      <c r="I53" s="60">
        <v>2.6</v>
      </c>
      <c r="J53" s="60">
        <v>18.2</v>
      </c>
      <c r="K53" s="58">
        <v>9.1999999999999993</v>
      </c>
      <c r="L53" s="56">
        <v>2.4</v>
      </c>
      <c r="M53" s="61">
        <v>0.3</v>
      </c>
      <c r="N53" s="59">
        <v>0.3</v>
      </c>
      <c r="O53" s="59">
        <v>2</v>
      </c>
      <c r="P53" s="56">
        <v>4.47</v>
      </c>
    </row>
    <row r="54" spans="1:16" ht="51">
      <c r="A54" s="56">
        <v>44</v>
      </c>
      <c r="B54" s="56" t="s">
        <v>739</v>
      </c>
      <c r="C54" s="56" t="s">
        <v>190</v>
      </c>
      <c r="D54" s="56" t="s">
        <v>201</v>
      </c>
      <c r="E54" s="56">
        <v>80</v>
      </c>
      <c r="F54" s="56">
        <v>34</v>
      </c>
      <c r="G54" s="56" t="s">
        <v>291</v>
      </c>
      <c r="H54" s="58" t="s">
        <v>292</v>
      </c>
      <c r="I54" s="60">
        <v>2</v>
      </c>
      <c r="J54" s="60">
        <v>19.399999999999999</v>
      </c>
      <c r="K54" s="60">
        <v>8</v>
      </c>
      <c r="L54" s="56">
        <v>2.9</v>
      </c>
      <c r="M54" s="59">
        <v>0.8</v>
      </c>
      <c r="N54" s="56">
        <v>0.5</v>
      </c>
      <c r="O54" s="56">
        <v>1.8</v>
      </c>
      <c r="P54" s="56">
        <v>4.46</v>
      </c>
    </row>
    <row r="55" spans="1:16" ht="51">
      <c r="A55" s="56">
        <v>45</v>
      </c>
      <c r="B55" s="56" t="s">
        <v>740</v>
      </c>
      <c r="C55" s="56" t="s">
        <v>190</v>
      </c>
      <c r="D55" s="56" t="s">
        <v>257</v>
      </c>
      <c r="E55" s="56">
        <v>68</v>
      </c>
      <c r="F55" s="56">
        <v>30</v>
      </c>
      <c r="G55" s="59" t="s">
        <v>293</v>
      </c>
      <c r="H55" s="57" t="s">
        <v>294</v>
      </c>
      <c r="I55" s="60">
        <v>2.2000000000000002</v>
      </c>
      <c r="J55" s="60">
        <v>20.100000000000001</v>
      </c>
      <c r="K55" s="60">
        <v>6.4</v>
      </c>
      <c r="L55" s="56">
        <v>2.2999999999999998</v>
      </c>
      <c r="M55" s="59">
        <v>0.7</v>
      </c>
      <c r="N55" s="59">
        <v>0.3</v>
      </c>
      <c r="O55" s="56">
        <v>1.7</v>
      </c>
      <c r="P55" s="56">
        <v>4.45</v>
      </c>
    </row>
    <row r="56" spans="1:16" ht="51">
      <c r="A56" s="56">
        <v>46</v>
      </c>
      <c r="B56" s="56" t="s">
        <v>741</v>
      </c>
      <c r="C56" s="56" t="s">
        <v>208</v>
      </c>
      <c r="D56" s="56" t="s">
        <v>284</v>
      </c>
      <c r="E56" s="56">
        <v>74</v>
      </c>
      <c r="F56" s="56">
        <v>34</v>
      </c>
      <c r="G56" s="59" t="s">
        <v>295</v>
      </c>
      <c r="H56" s="59" t="s">
        <v>296</v>
      </c>
      <c r="I56" s="60">
        <v>2.6</v>
      </c>
      <c r="J56" s="58">
        <v>23.5</v>
      </c>
      <c r="K56" s="60">
        <v>8.3000000000000007</v>
      </c>
      <c r="L56" s="58">
        <v>6.7</v>
      </c>
      <c r="M56" s="60">
        <v>1.2</v>
      </c>
      <c r="N56" s="59">
        <v>0.3</v>
      </c>
      <c r="O56" s="61">
        <v>3.6</v>
      </c>
      <c r="P56" s="56">
        <v>4.41</v>
      </c>
    </row>
    <row r="57" spans="1:16" ht="51">
      <c r="A57" s="56">
        <v>47</v>
      </c>
      <c r="B57" s="56" t="s">
        <v>742</v>
      </c>
      <c r="C57" s="56" t="s">
        <v>179</v>
      </c>
      <c r="D57" s="56" t="s">
        <v>212</v>
      </c>
      <c r="E57" s="56">
        <v>80</v>
      </c>
      <c r="F57" s="56">
        <v>30</v>
      </c>
      <c r="G57" s="58" t="s">
        <v>297</v>
      </c>
      <c r="H57" s="59" t="s">
        <v>298</v>
      </c>
      <c r="I57" s="61">
        <v>0</v>
      </c>
      <c r="J57" s="56">
        <v>14.4</v>
      </c>
      <c r="K57" s="58">
        <v>10.1</v>
      </c>
      <c r="L57" s="56">
        <v>3</v>
      </c>
      <c r="M57" s="60">
        <v>1.2</v>
      </c>
      <c r="N57" s="58">
        <v>1.3</v>
      </c>
      <c r="O57" s="59">
        <v>1.9</v>
      </c>
      <c r="P57" s="56">
        <v>4.33</v>
      </c>
    </row>
    <row r="58" spans="1:16" ht="34">
      <c r="A58" s="56">
        <v>48</v>
      </c>
      <c r="B58" s="56" t="s">
        <v>743</v>
      </c>
      <c r="C58" s="56" t="s">
        <v>208</v>
      </c>
      <c r="D58" s="56" t="s">
        <v>273</v>
      </c>
      <c r="E58" s="56">
        <v>78</v>
      </c>
      <c r="F58" s="56">
        <v>32</v>
      </c>
      <c r="G58" s="56" t="s">
        <v>299</v>
      </c>
      <c r="H58" s="59" t="s">
        <v>300</v>
      </c>
      <c r="I58" s="56">
        <v>1.3</v>
      </c>
      <c r="J58" s="60">
        <v>19</v>
      </c>
      <c r="K58" s="59">
        <v>4.2</v>
      </c>
      <c r="L58" s="57">
        <v>7.9</v>
      </c>
      <c r="M58" s="58">
        <v>1.6</v>
      </c>
      <c r="N58" s="56">
        <v>0.7</v>
      </c>
      <c r="O58" s="61">
        <v>2.9</v>
      </c>
      <c r="P58" s="56">
        <v>4.29</v>
      </c>
    </row>
    <row r="59" spans="1:16" ht="17">
      <c r="A59" s="62" t="s">
        <v>160</v>
      </c>
      <c r="B59" s="62" t="s">
        <v>161</v>
      </c>
      <c r="C59" s="62" t="s">
        <v>175</v>
      </c>
      <c r="D59" s="62" t="s">
        <v>176</v>
      </c>
      <c r="E59" s="62" t="s">
        <v>690</v>
      </c>
      <c r="F59" s="62" t="s">
        <v>177</v>
      </c>
      <c r="G59" s="62" t="s">
        <v>3</v>
      </c>
      <c r="H59" s="62" t="s">
        <v>4</v>
      </c>
      <c r="I59" s="62" t="s">
        <v>5</v>
      </c>
      <c r="J59" s="62" t="s">
        <v>11</v>
      </c>
      <c r="K59" s="62" t="s">
        <v>162</v>
      </c>
      <c r="L59" s="62" t="s">
        <v>7</v>
      </c>
      <c r="M59" s="62" t="s">
        <v>8</v>
      </c>
      <c r="N59" s="62" t="s">
        <v>9</v>
      </c>
      <c r="O59" s="62" t="s">
        <v>10</v>
      </c>
      <c r="P59" s="62" t="s">
        <v>178</v>
      </c>
    </row>
    <row r="60" spans="1:16" ht="68">
      <c r="A60" s="56">
        <v>49</v>
      </c>
      <c r="B60" s="56" t="s">
        <v>744</v>
      </c>
      <c r="C60" s="56" t="s">
        <v>183</v>
      </c>
      <c r="D60" s="56" t="s">
        <v>233</v>
      </c>
      <c r="E60" s="56">
        <v>78</v>
      </c>
      <c r="F60" s="56">
        <v>34</v>
      </c>
      <c r="G60" s="59" t="s">
        <v>301</v>
      </c>
      <c r="H60" s="60" t="s">
        <v>302</v>
      </c>
      <c r="I60" s="60">
        <v>2.6</v>
      </c>
      <c r="J60" s="58">
        <v>25.2</v>
      </c>
      <c r="K60" s="59">
        <v>4.3</v>
      </c>
      <c r="L60" s="60">
        <v>3.8</v>
      </c>
      <c r="M60" s="60">
        <v>1.4</v>
      </c>
      <c r="N60" s="59">
        <v>0.4</v>
      </c>
      <c r="O60" s="61">
        <v>2.8</v>
      </c>
      <c r="P60" s="56">
        <v>4.29</v>
      </c>
    </row>
    <row r="61" spans="1:16" ht="68">
      <c r="A61" s="56">
        <v>50</v>
      </c>
      <c r="B61" s="56" t="s">
        <v>745</v>
      </c>
      <c r="C61" s="56" t="s">
        <v>183</v>
      </c>
      <c r="D61" s="56" t="s">
        <v>251</v>
      </c>
      <c r="E61" s="56">
        <v>50</v>
      </c>
      <c r="F61" s="56">
        <v>30</v>
      </c>
      <c r="G61" s="59" t="s">
        <v>303</v>
      </c>
      <c r="H61" s="56" t="s">
        <v>304</v>
      </c>
      <c r="I61" s="60">
        <v>2.1</v>
      </c>
      <c r="J61" s="60">
        <v>19.399999999999999</v>
      </c>
      <c r="K61" s="56">
        <v>5.5</v>
      </c>
      <c r="L61" s="60">
        <v>5.0999999999999996</v>
      </c>
      <c r="M61" s="58">
        <v>1.6</v>
      </c>
      <c r="N61" s="59">
        <v>0.3</v>
      </c>
      <c r="O61" s="59">
        <v>2.2000000000000002</v>
      </c>
      <c r="P61" s="56">
        <v>4.2</v>
      </c>
    </row>
    <row r="62" spans="1:16" ht="68">
      <c r="A62" s="56">
        <v>51</v>
      </c>
      <c r="B62" s="56" t="s">
        <v>746</v>
      </c>
      <c r="C62" s="56" t="s">
        <v>183</v>
      </c>
      <c r="D62" s="56" t="s">
        <v>191</v>
      </c>
      <c r="E62" s="56">
        <v>76</v>
      </c>
      <c r="F62" s="56">
        <v>30</v>
      </c>
      <c r="G62" s="60" t="s">
        <v>305</v>
      </c>
      <c r="H62" s="56" t="s">
        <v>306</v>
      </c>
      <c r="I62" s="56">
        <v>1.7</v>
      </c>
      <c r="J62" s="56">
        <v>15.3</v>
      </c>
      <c r="K62" s="56">
        <v>5.0999999999999996</v>
      </c>
      <c r="L62" s="58">
        <v>6</v>
      </c>
      <c r="M62" s="58">
        <v>1.5</v>
      </c>
      <c r="N62" s="59">
        <v>0.4</v>
      </c>
      <c r="O62" s="59">
        <v>2.2000000000000002</v>
      </c>
      <c r="P62" s="56">
        <v>4.18</v>
      </c>
    </row>
    <row r="63" spans="1:16" ht="68">
      <c r="A63" s="56">
        <v>52</v>
      </c>
      <c r="B63" s="56" t="s">
        <v>747</v>
      </c>
      <c r="C63" s="56" t="s">
        <v>194</v>
      </c>
      <c r="D63" s="56" t="s">
        <v>221</v>
      </c>
      <c r="E63" s="56">
        <v>76</v>
      </c>
      <c r="F63" s="56">
        <v>30</v>
      </c>
      <c r="G63" s="57" t="s">
        <v>307</v>
      </c>
      <c r="H63" s="56" t="s">
        <v>277</v>
      </c>
      <c r="I63" s="59">
        <v>0.8</v>
      </c>
      <c r="J63" s="56">
        <v>15.1</v>
      </c>
      <c r="K63" s="58">
        <v>9.5</v>
      </c>
      <c r="L63" s="59">
        <v>2</v>
      </c>
      <c r="M63" s="61">
        <v>0.4</v>
      </c>
      <c r="N63" s="58">
        <v>1.4</v>
      </c>
      <c r="O63" s="60">
        <v>1.2</v>
      </c>
      <c r="P63" s="56">
        <v>4.16</v>
      </c>
    </row>
    <row r="64" spans="1:16" ht="68">
      <c r="A64" s="56">
        <v>53</v>
      </c>
      <c r="B64" s="56" t="s">
        <v>748</v>
      </c>
      <c r="C64" s="56" t="s">
        <v>179</v>
      </c>
      <c r="D64" s="56" t="s">
        <v>308</v>
      </c>
      <c r="E64" s="56">
        <v>70</v>
      </c>
      <c r="F64" s="56">
        <v>31</v>
      </c>
      <c r="G64" s="60" t="s">
        <v>309</v>
      </c>
      <c r="H64" s="56" t="s">
        <v>310</v>
      </c>
      <c r="I64" s="59">
        <v>1.1000000000000001</v>
      </c>
      <c r="J64" s="60">
        <v>17.100000000000001</v>
      </c>
      <c r="K64" s="60">
        <v>7.2</v>
      </c>
      <c r="L64" s="59">
        <v>1.4</v>
      </c>
      <c r="M64" s="60">
        <v>1.1000000000000001</v>
      </c>
      <c r="N64" s="57">
        <v>1.8</v>
      </c>
      <c r="O64" s="59">
        <v>2.1</v>
      </c>
      <c r="P64" s="56">
        <v>4.1500000000000004</v>
      </c>
    </row>
    <row r="65" spans="1:16" ht="68">
      <c r="A65" s="56">
        <v>54</v>
      </c>
      <c r="B65" s="56" t="s">
        <v>749</v>
      </c>
      <c r="C65" s="56" t="s">
        <v>194</v>
      </c>
      <c r="D65" s="56" t="s">
        <v>308</v>
      </c>
      <c r="E65" s="56">
        <v>72</v>
      </c>
      <c r="F65" s="56">
        <v>28</v>
      </c>
      <c r="G65" s="58" t="s">
        <v>311</v>
      </c>
      <c r="H65" s="60" t="s">
        <v>312</v>
      </c>
      <c r="I65" s="61">
        <v>0.4</v>
      </c>
      <c r="J65" s="60">
        <v>16.5</v>
      </c>
      <c r="K65" s="58">
        <v>9.6999999999999993</v>
      </c>
      <c r="L65" s="59">
        <v>1.8</v>
      </c>
      <c r="M65" s="59">
        <v>0.5</v>
      </c>
      <c r="N65" s="58">
        <v>1.5</v>
      </c>
      <c r="O65" s="59">
        <v>2.4</v>
      </c>
      <c r="P65" s="56">
        <v>4.08</v>
      </c>
    </row>
    <row r="66" spans="1:16" ht="51">
      <c r="A66" s="56">
        <v>55</v>
      </c>
      <c r="B66" s="56" t="s">
        <v>750</v>
      </c>
      <c r="C66" s="56" t="s">
        <v>205</v>
      </c>
      <c r="D66" s="56" t="s">
        <v>264</v>
      </c>
      <c r="E66" s="56">
        <v>76</v>
      </c>
      <c r="F66" s="56">
        <v>33</v>
      </c>
      <c r="G66" s="60" t="s">
        <v>313</v>
      </c>
      <c r="H66" s="60" t="s">
        <v>314</v>
      </c>
      <c r="I66" s="61">
        <v>0.4</v>
      </c>
      <c r="J66" s="60">
        <v>21.4</v>
      </c>
      <c r="K66" s="56">
        <v>6</v>
      </c>
      <c r="L66" s="60">
        <v>5.2</v>
      </c>
      <c r="M66" s="60">
        <v>1.1000000000000001</v>
      </c>
      <c r="N66" s="56">
        <v>0.5</v>
      </c>
      <c r="O66" s="59">
        <v>2.5</v>
      </c>
      <c r="P66" s="56">
        <v>4.01</v>
      </c>
    </row>
    <row r="67" spans="1:16" ht="51">
      <c r="A67" s="56">
        <v>56</v>
      </c>
      <c r="B67" s="56" t="s">
        <v>751</v>
      </c>
      <c r="C67" s="56" t="s">
        <v>179</v>
      </c>
      <c r="D67" s="56" t="s">
        <v>201</v>
      </c>
      <c r="E67" s="56">
        <v>70</v>
      </c>
      <c r="F67" s="56">
        <v>28</v>
      </c>
      <c r="G67" s="60" t="s">
        <v>315</v>
      </c>
      <c r="H67" s="60" t="s">
        <v>316</v>
      </c>
      <c r="I67" s="59">
        <v>1.1000000000000001</v>
      </c>
      <c r="J67" s="56">
        <v>12.8</v>
      </c>
      <c r="K67" s="60">
        <v>6.9</v>
      </c>
      <c r="L67" s="60">
        <v>3.8</v>
      </c>
      <c r="M67" s="56">
        <v>0.9</v>
      </c>
      <c r="N67" s="58">
        <v>1.3</v>
      </c>
      <c r="O67" s="56">
        <v>1.4</v>
      </c>
      <c r="P67" s="56">
        <v>3.98</v>
      </c>
    </row>
    <row r="68" spans="1:16" ht="51">
      <c r="A68" s="56">
        <v>57</v>
      </c>
      <c r="B68" s="56" t="s">
        <v>752</v>
      </c>
      <c r="C68" s="56" t="s">
        <v>205</v>
      </c>
      <c r="D68" s="56" t="s">
        <v>201</v>
      </c>
      <c r="E68" s="56">
        <v>75</v>
      </c>
      <c r="F68" s="56">
        <v>33</v>
      </c>
      <c r="G68" s="56" t="s">
        <v>317</v>
      </c>
      <c r="H68" s="60" t="s">
        <v>318</v>
      </c>
      <c r="I68" s="60">
        <v>2.4</v>
      </c>
      <c r="J68" s="56">
        <v>15.3</v>
      </c>
      <c r="K68" s="59">
        <v>3.6</v>
      </c>
      <c r="L68" s="56">
        <v>2.8</v>
      </c>
      <c r="M68" s="60">
        <v>1.5</v>
      </c>
      <c r="N68" s="60">
        <v>0.9</v>
      </c>
      <c r="O68" s="56">
        <v>1.4</v>
      </c>
      <c r="P68" s="56">
        <v>3.95</v>
      </c>
    </row>
    <row r="69" spans="1:16" ht="51">
      <c r="A69" s="56">
        <v>58</v>
      </c>
      <c r="B69" s="56" t="s">
        <v>753</v>
      </c>
      <c r="C69" s="56" t="s">
        <v>194</v>
      </c>
      <c r="D69" s="56" t="s">
        <v>191</v>
      </c>
      <c r="E69" s="56">
        <v>76</v>
      </c>
      <c r="F69" s="56">
        <v>28</v>
      </c>
      <c r="G69" s="56" t="s">
        <v>319</v>
      </c>
      <c r="H69" s="60" t="s">
        <v>320</v>
      </c>
      <c r="I69" s="60">
        <v>2.4</v>
      </c>
      <c r="J69" s="56">
        <v>12.9</v>
      </c>
      <c r="K69" s="56">
        <v>5</v>
      </c>
      <c r="L69" s="59">
        <v>1.2</v>
      </c>
      <c r="M69" s="59">
        <v>0.6</v>
      </c>
      <c r="N69" s="57">
        <v>2.2999999999999998</v>
      </c>
      <c r="O69" s="60">
        <v>1</v>
      </c>
      <c r="P69" s="56">
        <v>3.95</v>
      </c>
    </row>
    <row r="70" spans="1:16" ht="51">
      <c r="A70" s="56">
        <v>59</v>
      </c>
      <c r="B70" s="56" t="s">
        <v>754</v>
      </c>
      <c r="C70" s="56" t="s">
        <v>183</v>
      </c>
      <c r="D70" s="56" t="s">
        <v>251</v>
      </c>
      <c r="E70" s="56">
        <v>70</v>
      </c>
      <c r="F70" s="56">
        <v>32</v>
      </c>
      <c r="G70" s="60" t="s">
        <v>321</v>
      </c>
      <c r="H70" s="58" t="s">
        <v>322</v>
      </c>
      <c r="I70" s="56">
        <v>1.9</v>
      </c>
      <c r="J70" s="60">
        <v>17.399999999999999</v>
      </c>
      <c r="K70" s="56">
        <v>4.5999999999999996</v>
      </c>
      <c r="L70" s="60">
        <v>4.9000000000000004</v>
      </c>
      <c r="M70" s="59">
        <v>0.8</v>
      </c>
      <c r="N70" s="59">
        <v>0.2</v>
      </c>
      <c r="O70" s="56">
        <v>1.8</v>
      </c>
      <c r="P70" s="56">
        <v>3.85</v>
      </c>
    </row>
    <row r="71" spans="1:16" ht="68">
      <c r="A71" s="56">
        <v>60</v>
      </c>
      <c r="B71" s="56" t="s">
        <v>755</v>
      </c>
      <c r="C71" s="56" t="s">
        <v>267</v>
      </c>
      <c r="D71" s="56" t="s">
        <v>260</v>
      </c>
      <c r="E71" s="56">
        <v>68</v>
      </c>
      <c r="F71" s="56">
        <v>32</v>
      </c>
      <c r="G71" s="59" t="s">
        <v>323</v>
      </c>
      <c r="H71" s="58" t="s">
        <v>324</v>
      </c>
      <c r="I71" s="60">
        <v>2.4</v>
      </c>
      <c r="J71" s="60">
        <v>19.600000000000001</v>
      </c>
      <c r="K71" s="58">
        <v>9.5</v>
      </c>
      <c r="L71" s="59">
        <v>1.5</v>
      </c>
      <c r="M71" s="59">
        <v>0.7</v>
      </c>
      <c r="N71" s="56">
        <v>0.6</v>
      </c>
      <c r="O71" s="56">
        <v>1.6</v>
      </c>
      <c r="P71" s="56">
        <v>3.73</v>
      </c>
    </row>
    <row r="72" spans="1:16" ht="17">
      <c r="A72" s="62" t="s">
        <v>160</v>
      </c>
      <c r="B72" s="62" t="s">
        <v>161</v>
      </c>
      <c r="C72" s="62" t="s">
        <v>175</v>
      </c>
      <c r="D72" s="62" t="s">
        <v>176</v>
      </c>
      <c r="E72" s="62" t="s">
        <v>690</v>
      </c>
      <c r="F72" s="62" t="s">
        <v>177</v>
      </c>
      <c r="G72" s="62" t="s">
        <v>3</v>
      </c>
      <c r="H72" s="62" t="s">
        <v>4</v>
      </c>
      <c r="I72" s="62" t="s">
        <v>5</v>
      </c>
      <c r="J72" s="62" t="s">
        <v>11</v>
      </c>
      <c r="K72" s="62" t="s">
        <v>162</v>
      </c>
      <c r="L72" s="62" t="s">
        <v>7</v>
      </c>
      <c r="M72" s="62" t="s">
        <v>8</v>
      </c>
      <c r="N72" s="62" t="s">
        <v>9</v>
      </c>
      <c r="O72" s="62" t="s">
        <v>10</v>
      </c>
      <c r="P72" s="62" t="s">
        <v>178</v>
      </c>
    </row>
    <row r="73" spans="1:16" ht="51">
      <c r="A73" s="56">
        <v>61</v>
      </c>
      <c r="B73" s="56" t="s">
        <v>756</v>
      </c>
      <c r="C73" s="56" t="s">
        <v>208</v>
      </c>
      <c r="D73" s="56" t="s">
        <v>236</v>
      </c>
      <c r="E73" s="56">
        <v>66</v>
      </c>
      <c r="F73" s="56">
        <v>31</v>
      </c>
      <c r="G73" s="59" t="s">
        <v>335</v>
      </c>
      <c r="H73" s="61" t="s">
        <v>627</v>
      </c>
      <c r="I73" s="56">
        <v>1.7</v>
      </c>
      <c r="J73" s="56">
        <v>12.1</v>
      </c>
      <c r="K73" s="56">
        <v>5.7</v>
      </c>
      <c r="L73" s="57">
        <v>8.5</v>
      </c>
      <c r="M73" s="58">
        <v>1.7</v>
      </c>
      <c r="N73" s="59">
        <v>0.4</v>
      </c>
      <c r="O73" s="59">
        <v>2.2999999999999998</v>
      </c>
      <c r="P73" s="56">
        <v>3.72</v>
      </c>
    </row>
    <row r="74" spans="1:16" ht="34">
      <c r="A74" s="56">
        <v>62</v>
      </c>
      <c r="B74" s="56" t="s">
        <v>757</v>
      </c>
      <c r="C74" s="56" t="s">
        <v>183</v>
      </c>
      <c r="D74" s="56" t="s">
        <v>209</v>
      </c>
      <c r="E74" s="56">
        <v>76</v>
      </c>
      <c r="F74" s="56">
        <v>34</v>
      </c>
      <c r="G74" s="56" t="s">
        <v>325</v>
      </c>
      <c r="H74" s="60" t="s">
        <v>326</v>
      </c>
      <c r="I74" s="60">
        <v>2.5</v>
      </c>
      <c r="J74" s="58">
        <v>22.3</v>
      </c>
      <c r="K74" s="59">
        <v>4.3</v>
      </c>
      <c r="L74" s="56">
        <v>3.2</v>
      </c>
      <c r="M74" s="56">
        <v>0.8</v>
      </c>
      <c r="N74" s="59">
        <v>0.4</v>
      </c>
      <c r="O74" s="56">
        <v>1.5</v>
      </c>
      <c r="P74" s="56">
        <v>3.49</v>
      </c>
    </row>
    <row r="75" spans="1:16" ht="68">
      <c r="A75" s="56">
        <v>63</v>
      </c>
      <c r="B75" s="56" t="s">
        <v>758</v>
      </c>
      <c r="C75" s="56" t="s">
        <v>179</v>
      </c>
      <c r="D75" s="56" t="s">
        <v>239</v>
      </c>
      <c r="E75" s="56">
        <v>70</v>
      </c>
      <c r="F75" s="56">
        <v>34</v>
      </c>
      <c r="G75" s="56" t="s">
        <v>327</v>
      </c>
      <c r="H75" s="59" t="s">
        <v>328</v>
      </c>
      <c r="I75" s="60">
        <v>2.4</v>
      </c>
      <c r="J75" s="58">
        <v>24.4</v>
      </c>
      <c r="K75" s="60">
        <v>7.7</v>
      </c>
      <c r="L75" s="58">
        <v>5.5</v>
      </c>
      <c r="M75" s="59">
        <v>0.7</v>
      </c>
      <c r="N75" s="59">
        <v>0.4</v>
      </c>
      <c r="O75" s="61">
        <v>3.3</v>
      </c>
      <c r="P75" s="56">
        <v>3.44</v>
      </c>
    </row>
    <row r="76" spans="1:16" ht="51">
      <c r="A76" s="56">
        <v>64</v>
      </c>
      <c r="B76" s="56" t="s">
        <v>759</v>
      </c>
      <c r="C76" s="56" t="s">
        <v>194</v>
      </c>
      <c r="D76" s="56" t="s">
        <v>209</v>
      </c>
      <c r="E76" s="56">
        <v>69</v>
      </c>
      <c r="F76" s="56">
        <v>28</v>
      </c>
      <c r="G76" s="58" t="s">
        <v>329</v>
      </c>
      <c r="H76" s="61" t="s">
        <v>330</v>
      </c>
      <c r="I76" s="61">
        <v>0</v>
      </c>
      <c r="J76" s="56">
        <v>14</v>
      </c>
      <c r="K76" s="57">
        <v>11.6</v>
      </c>
      <c r="L76" s="59">
        <v>1</v>
      </c>
      <c r="M76" s="59">
        <v>0.7</v>
      </c>
      <c r="N76" s="57">
        <v>2.2999999999999998</v>
      </c>
      <c r="O76" s="56">
        <v>1.6</v>
      </c>
      <c r="P76" s="56">
        <v>3.36</v>
      </c>
    </row>
    <row r="77" spans="1:16" ht="51">
      <c r="A77" s="56">
        <v>65</v>
      </c>
      <c r="B77" s="56" t="s">
        <v>760</v>
      </c>
      <c r="C77" s="56" t="s">
        <v>190</v>
      </c>
      <c r="D77" s="56" t="s">
        <v>227</v>
      </c>
      <c r="E77" s="56">
        <v>78</v>
      </c>
      <c r="F77" s="56">
        <v>32</v>
      </c>
      <c r="G77" s="56" t="s">
        <v>331</v>
      </c>
      <c r="H77" s="60" t="s">
        <v>332</v>
      </c>
      <c r="I77" s="56">
        <v>1.6</v>
      </c>
      <c r="J77" s="60">
        <v>17</v>
      </c>
      <c r="K77" s="60">
        <v>6.5</v>
      </c>
      <c r="L77" s="56">
        <v>2.2999999999999998</v>
      </c>
      <c r="M77" s="60">
        <v>1.1000000000000001</v>
      </c>
      <c r="N77" s="56">
        <v>0.8</v>
      </c>
      <c r="O77" s="56">
        <v>1.5</v>
      </c>
      <c r="P77" s="56">
        <v>3.23</v>
      </c>
    </row>
    <row r="78" spans="1:16" ht="85">
      <c r="A78" s="56">
        <v>66</v>
      </c>
      <c r="B78" s="56" t="s">
        <v>761</v>
      </c>
      <c r="C78" s="56" t="s">
        <v>183</v>
      </c>
      <c r="D78" s="56" t="s">
        <v>339</v>
      </c>
      <c r="E78" s="56">
        <v>78</v>
      </c>
      <c r="F78" s="56">
        <v>34</v>
      </c>
      <c r="G78" s="61" t="s">
        <v>628</v>
      </c>
      <c r="H78" s="56" t="s">
        <v>340</v>
      </c>
      <c r="I78" s="60">
        <v>2.4</v>
      </c>
      <c r="J78" s="60">
        <v>17.899999999999999</v>
      </c>
      <c r="K78" s="56">
        <v>6.1</v>
      </c>
      <c r="L78" s="58">
        <v>5.4</v>
      </c>
      <c r="M78" s="60">
        <v>1.3</v>
      </c>
      <c r="N78" s="59">
        <v>0.5</v>
      </c>
      <c r="O78" s="56">
        <v>1.9</v>
      </c>
      <c r="P78" s="56">
        <v>3.14</v>
      </c>
    </row>
    <row r="79" spans="1:16" ht="68">
      <c r="A79" s="56">
        <v>67</v>
      </c>
      <c r="B79" s="56" t="s">
        <v>762</v>
      </c>
      <c r="C79" s="56" t="s">
        <v>183</v>
      </c>
      <c r="D79" s="56" t="s">
        <v>257</v>
      </c>
      <c r="E79" s="56">
        <v>78</v>
      </c>
      <c r="F79" s="56">
        <v>32</v>
      </c>
      <c r="G79" s="60" t="s">
        <v>333</v>
      </c>
      <c r="H79" s="60" t="s">
        <v>334</v>
      </c>
      <c r="I79" s="59">
        <v>1.1000000000000001</v>
      </c>
      <c r="J79" s="56">
        <v>15.8</v>
      </c>
      <c r="K79" s="59">
        <v>3.6</v>
      </c>
      <c r="L79" s="60">
        <v>4.7</v>
      </c>
      <c r="M79" s="58">
        <v>1.5</v>
      </c>
      <c r="N79" s="56">
        <v>0.6</v>
      </c>
      <c r="O79" s="59">
        <v>2.1</v>
      </c>
      <c r="P79" s="56">
        <v>3.08</v>
      </c>
    </row>
    <row r="80" spans="1:16" ht="51">
      <c r="A80" s="56">
        <v>68</v>
      </c>
      <c r="B80" s="56" t="s">
        <v>763</v>
      </c>
      <c r="C80" s="56" t="s">
        <v>267</v>
      </c>
      <c r="D80" s="56" t="s">
        <v>273</v>
      </c>
      <c r="E80" s="56">
        <v>73</v>
      </c>
      <c r="F80" s="56">
        <v>31</v>
      </c>
      <c r="G80" s="58" t="s">
        <v>336</v>
      </c>
      <c r="H80" s="61" t="s">
        <v>300</v>
      </c>
      <c r="I80" s="61">
        <v>0.6</v>
      </c>
      <c r="J80" s="60">
        <v>20.2</v>
      </c>
      <c r="K80" s="58">
        <v>10.3</v>
      </c>
      <c r="L80" s="59">
        <v>1.5</v>
      </c>
      <c r="M80" s="59">
        <v>0.6</v>
      </c>
      <c r="N80" s="60">
        <v>1.3</v>
      </c>
      <c r="O80" s="59">
        <v>2</v>
      </c>
      <c r="P80" s="56">
        <v>2.87</v>
      </c>
    </row>
    <row r="81" spans="1:16" ht="68">
      <c r="A81" s="56">
        <v>69</v>
      </c>
      <c r="B81" s="56" t="s">
        <v>764</v>
      </c>
      <c r="C81" s="56" t="s">
        <v>179</v>
      </c>
      <c r="D81" s="56" t="s">
        <v>288</v>
      </c>
      <c r="E81" s="56">
        <v>68</v>
      </c>
      <c r="F81" s="56">
        <v>28</v>
      </c>
      <c r="G81" s="60" t="s">
        <v>337</v>
      </c>
      <c r="H81" s="59" t="s">
        <v>338</v>
      </c>
      <c r="I81" s="61">
        <v>0.6</v>
      </c>
      <c r="J81" s="59">
        <v>10.3</v>
      </c>
      <c r="K81" s="58">
        <v>9</v>
      </c>
      <c r="L81" s="56">
        <v>3.5</v>
      </c>
      <c r="M81" s="58">
        <v>1.6</v>
      </c>
      <c r="N81" s="56">
        <v>0.7</v>
      </c>
      <c r="O81" s="56">
        <v>1.5</v>
      </c>
      <c r="P81" s="56">
        <v>2.85</v>
      </c>
    </row>
    <row r="82" spans="1:16" ht="51">
      <c r="A82" s="56">
        <v>70</v>
      </c>
      <c r="B82" s="56" t="s">
        <v>765</v>
      </c>
      <c r="C82" s="56" t="s">
        <v>190</v>
      </c>
      <c r="D82" s="56" t="s">
        <v>224</v>
      </c>
      <c r="E82" s="56">
        <v>76</v>
      </c>
      <c r="F82" s="56">
        <v>30</v>
      </c>
      <c r="G82" s="59" t="s">
        <v>271</v>
      </c>
      <c r="H82" s="56" t="s">
        <v>345</v>
      </c>
      <c r="I82" s="56">
        <v>1.4</v>
      </c>
      <c r="J82" s="56">
        <v>12.5</v>
      </c>
      <c r="K82" s="60">
        <v>6.7</v>
      </c>
      <c r="L82" s="59">
        <v>1.4</v>
      </c>
      <c r="M82" s="60">
        <v>1.2</v>
      </c>
      <c r="N82" s="58">
        <v>1.5</v>
      </c>
      <c r="O82" s="60">
        <v>1.2</v>
      </c>
      <c r="P82" s="56">
        <v>2.75</v>
      </c>
    </row>
    <row r="83" spans="1:16" ht="51">
      <c r="A83" s="56">
        <v>71</v>
      </c>
      <c r="B83" s="56" t="s">
        <v>766</v>
      </c>
      <c r="C83" s="56" t="s">
        <v>208</v>
      </c>
      <c r="D83" s="56" t="s">
        <v>230</v>
      </c>
      <c r="E83" s="56">
        <v>70</v>
      </c>
      <c r="F83" s="56">
        <v>28</v>
      </c>
      <c r="G83" s="59" t="s">
        <v>341</v>
      </c>
      <c r="H83" s="60" t="s">
        <v>342</v>
      </c>
      <c r="I83" s="59">
        <v>1.3</v>
      </c>
      <c r="J83" s="56">
        <v>12.4</v>
      </c>
      <c r="K83" s="59">
        <v>3.8</v>
      </c>
      <c r="L83" s="57">
        <v>8.4</v>
      </c>
      <c r="M83" s="60">
        <v>1.4</v>
      </c>
      <c r="N83" s="61">
        <v>0.1</v>
      </c>
      <c r="O83" s="59">
        <v>2.6</v>
      </c>
      <c r="P83" s="56">
        <v>2.75</v>
      </c>
    </row>
    <row r="84" spans="1:16" ht="68">
      <c r="A84" s="56">
        <v>72</v>
      </c>
      <c r="B84" s="56" t="s">
        <v>767</v>
      </c>
      <c r="C84" s="56" t="s">
        <v>208</v>
      </c>
      <c r="D84" s="56" t="s">
        <v>308</v>
      </c>
      <c r="E84" s="56">
        <v>74</v>
      </c>
      <c r="F84" s="56">
        <v>32</v>
      </c>
      <c r="G84" s="59" t="s">
        <v>343</v>
      </c>
      <c r="H84" s="56" t="s">
        <v>344</v>
      </c>
      <c r="I84" s="56">
        <v>1.5</v>
      </c>
      <c r="J84" s="60">
        <v>16.399999999999999</v>
      </c>
      <c r="K84" s="59">
        <v>4</v>
      </c>
      <c r="L84" s="57">
        <v>7.9</v>
      </c>
      <c r="M84" s="60">
        <v>1.2</v>
      </c>
      <c r="N84" s="59">
        <v>0.4</v>
      </c>
      <c r="O84" s="61">
        <v>3.1</v>
      </c>
      <c r="P84" s="56">
        <v>2.74</v>
      </c>
    </row>
    <row r="85" spans="1:16" ht="17">
      <c r="A85" s="62" t="s">
        <v>160</v>
      </c>
      <c r="B85" s="62" t="s">
        <v>161</v>
      </c>
      <c r="C85" s="62" t="s">
        <v>175</v>
      </c>
      <c r="D85" s="62" t="s">
        <v>176</v>
      </c>
      <c r="E85" s="62" t="s">
        <v>690</v>
      </c>
      <c r="F85" s="62" t="s">
        <v>177</v>
      </c>
      <c r="G85" s="62" t="s">
        <v>3</v>
      </c>
      <c r="H85" s="62" t="s">
        <v>4</v>
      </c>
      <c r="I85" s="62" t="s">
        <v>5</v>
      </c>
      <c r="J85" s="62" t="s">
        <v>11</v>
      </c>
      <c r="K85" s="62" t="s">
        <v>162</v>
      </c>
      <c r="L85" s="62" t="s">
        <v>7</v>
      </c>
      <c r="M85" s="62" t="s">
        <v>8</v>
      </c>
      <c r="N85" s="62" t="s">
        <v>9</v>
      </c>
      <c r="O85" s="62" t="s">
        <v>10</v>
      </c>
      <c r="P85" s="62" t="s">
        <v>178</v>
      </c>
    </row>
    <row r="86" spans="1:16" ht="68">
      <c r="A86" s="56">
        <v>73</v>
      </c>
      <c r="B86" s="56" t="s">
        <v>768</v>
      </c>
      <c r="C86" s="56" t="s">
        <v>183</v>
      </c>
      <c r="D86" s="56" t="s">
        <v>198</v>
      </c>
      <c r="E86" s="56">
        <v>76</v>
      </c>
      <c r="F86" s="56">
        <v>33</v>
      </c>
      <c r="G86" s="59" t="s">
        <v>346</v>
      </c>
      <c r="H86" s="60" t="s">
        <v>318</v>
      </c>
      <c r="I86" s="60">
        <v>2.1</v>
      </c>
      <c r="J86" s="60">
        <v>19.3</v>
      </c>
      <c r="K86" s="56">
        <v>4.5999999999999996</v>
      </c>
      <c r="L86" s="60">
        <v>5.0999999999999996</v>
      </c>
      <c r="M86" s="56">
        <v>0.9</v>
      </c>
      <c r="N86" s="59">
        <v>0.4</v>
      </c>
      <c r="O86" s="59">
        <v>2.1</v>
      </c>
      <c r="P86" s="56">
        <v>2.7</v>
      </c>
    </row>
    <row r="87" spans="1:16" ht="51">
      <c r="A87" s="56">
        <v>74</v>
      </c>
      <c r="B87" s="56" t="s">
        <v>769</v>
      </c>
      <c r="C87" s="56" t="s">
        <v>179</v>
      </c>
      <c r="D87" s="56" t="s">
        <v>254</v>
      </c>
      <c r="E87" s="56">
        <v>76</v>
      </c>
      <c r="F87" s="56">
        <v>32</v>
      </c>
      <c r="G87" s="60" t="s">
        <v>347</v>
      </c>
      <c r="H87" s="61" t="s">
        <v>348</v>
      </c>
      <c r="I87" s="59">
        <v>1</v>
      </c>
      <c r="J87" s="60">
        <v>21</v>
      </c>
      <c r="K87" s="58">
        <v>9</v>
      </c>
      <c r="L87" s="60">
        <v>3.8</v>
      </c>
      <c r="M87" s="59">
        <v>0.7</v>
      </c>
      <c r="N87" s="56">
        <v>0.7</v>
      </c>
      <c r="O87" s="61">
        <v>2.9</v>
      </c>
      <c r="P87" s="56">
        <v>2.54</v>
      </c>
    </row>
    <row r="88" spans="1:16" ht="34">
      <c r="A88" s="56">
        <v>75</v>
      </c>
      <c r="B88" s="56" t="s">
        <v>770</v>
      </c>
      <c r="C88" s="56" t="s">
        <v>183</v>
      </c>
      <c r="D88" s="56" t="s">
        <v>227</v>
      </c>
      <c r="E88" s="56">
        <v>76</v>
      </c>
      <c r="F88" s="56">
        <v>30</v>
      </c>
      <c r="G88" s="59" t="s">
        <v>349</v>
      </c>
      <c r="H88" s="56" t="s">
        <v>350</v>
      </c>
      <c r="I88" s="56">
        <v>1.8</v>
      </c>
      <c r="J88" s="59">
        <v>10.199999999999999</v>
      </c>
      <c r="K88" s="59">
        <v>3.3</v>
      </c>
      <c r="L88" s="60">
        <v>4.5999999999999996</v>
      </c>
      <c r="M88" s="57">
        <v>2</v>
      </c>
      <c r="N88" s="59">
        <v>0.5</v>
      </c>
      <c r="O88" s="56">
        <v>1.6</v>
      </c>
      <c r="P88" s="56">
        <v>2.52</v>
      </c>
    </row>
    <row r="89" spans="1:16" ht="51">
      <c r="A89" s="56">
        <v>76</v>
      </c>
      <c r="B89" s="56" t="s">
        <v>771</v>
      </c>
      <c r="C89" s="56" t="s">
        <v>179</v>
      </c>
      <c r="D89" s="56" t="s">
        <v>236</v>
      </c>
      <c r="E89" s="56">
        <v>76</v>
      </c>
      <c r="F89" s="56">
        <v>28</v>
      </c>
      <c r="G89" s="58" t="s">
        <v>772</v>
      </c>
      <c r="H89" s="61" t="s">
        <v>773</v>
      </c>
      <c r="I89" s="61">
        <v>0.3</v>
      </c>
      <c r="J89" s="56">
        <v>14.6</v>
      </c>
      <c r="K89" s="58">
        <v>9</v>
      </c>
      <c r="L89" s="59">
        <v>1.5</v>
      </c>
      <c r="M89" s="56">
        <v>0.9</v>
      </c>
      <c r="N89" s="58">
        <v>1.6</v>
      </c>
      <c r="O89" s="56">
        <v>1.6</v>
      </c>
      <c r="P89" s="56">
        <v>2.46</v>
      </c>
    </row>
    <row r="90" spans="1:16" ht="51">
      <c r="A90" s="56">
        <v>77</v>
      </c>
      <c r="B90" s="56" t="s">
        <v>774</v>
      </c>
      <c r="C90" s="56" t="s">
        <v>194</v>
      </c>
      <c r="D90" s="56" t="s">
        <v>273</v>
      </c>
      <c r="E90" s="56">
        <v>66</v>
      </c>
      <c r="F90" s="56">
        <v>25</v>
      </c>
      <c r="G90" s="60" t="s">
        <v>355</v>
      </c>
      <c r="H90" s="56" t="s">
        <v>356</v>
      </c>
      <c r="I90" s="56">
        <v>1.4</v>
      </c>
      <c r="J90" s="59">
        <v>10.8</v>
      </c>
      <c r="K90" s="60">
        <v>7.6</v>
      </c>
      <c r="L90" s="59">
        <v>1.5</v>
      </c>
      <c r="M90" s="56">
        <v>1.1000000000000001</v>
      </c>
      <c r="N90" s="60">
        <v>1.2</v>
      </c>
      <c r="O90" s="60">
        <v>1.3</v>
      </c>
      <c r="P90" s="56">
        <v>2.46</v>
      </c>
    </row>
    <row r="91" spans="1:16" ht="51">
      <c r="A91" s="56">
        <v>78</v>
      </c>
      <c r="B91" s="56" t="s">
        <v>775</v>
      </c>
      <c r="C91" s="56" t="s">
        <v>179</v>
      </c>
      <c r="D91" s="56" t="s">
        <v>251</v>
      </c>
      <c r="E91" s="56">
        <v>76</v>
      </c>
      <c r="F91" s="56">
        <v>30</v>
      </c>
      <c r="G91" s="58" t="s">
        <v>351</v>
      </c>
      <c r="H91" s="59" t="s">
        <v>352</v>
      </c>
      <c r="I91" s="61">
        <v>0.1</v>
      </c>
      <c r="J91" s="56">
        <v>16</v>
      </c>
      <c r="K91" s="58">
        <v>10.8</v>
      </c>
      <c r="L91" s="60">
        <v>3.7</v>
      </c>
      <c r="M91" s="56">
        <v>0.8</v>
      </c>
      <c r="N91" s="56">
        <v>0.5</v>
      </c>
      <c r="O91" s="61">
        <v>2.7</v>
      </c>
      <c r="P91" s="56">
        <v>2.4300000000000002</v>
      </c>
    </row>
    <row r="92" spans="1:16" ht="51">
      <c r="A92" s="56">
        <v>79</v>
      </c>
      <c r="B92" s="56" t="s">
        <v>776</v>
      </c>
      <c r="C92" s="56" t="s">
        <v>205</v>
      </c>
      <c r="D92" s="56" t="s">
        <v>187</v>
      </c>
      <c r="E92" s="56">
        <v>30</v>
      </c>
      <c r="F92" s="56">
        <v>28</v>
      </c>
      <c r="G92" s="56" t="s">
        <v>353</v>
      </c>
      <c r="H92" s="60" t="s">
        <v>354</v>
      </c>
      <c r="I92" s="60">
        <v>2.7</v>
      </c>
      <c r="J92" s="60">
        <v>18.8</v>
      </c>
      <c r="K92" s="59">
        <v>3.4</v>
      </c>
      <c r="L92" s="59">
        <v>2.1</v>
      </c>
      <c r="M92" s="56">
        <v>0.9</v>
      </c>
      <c r="N92" s="56">
        <v>0.5</v>
      </c>
      <c r="O92" s="60">
        <v>1.2</v>
      </c>
      <c r="P92" s="56">
        <v>2.4300000000000002</v>
      </c>
    </row>
    <row r="93" spans="1:16" ht="51">
      <c r="A93" s="56">
        <v>80</v>
      </c>
      <c r="B93" s="56" t="s">
        <v>777</v>
      </c>
      <c r="C93" s="56" t="s">
        <v>205</v>
      </c>
      <c r="D93" s="56" t="s">
        <v>227</v>
      </c>
      <c r="E93" s="56">
        <v>72</v>
      </c>
      <c r="F93" s="56">
        <v>30</v>
      </c>
      <c r="G93" s="60" t="s">
        <v>357</v>
      </c>
      <c r="H93" s="60" t="s">
        <v>318</v>
      </c>
      <c r="I93" s="56">
        <v>1.3</v>
      </c>
      <c r="J93" s="56">
        <v>15.1</v>
      </c>
      <c r="K93" s="56">
        <v>5.5</v>
      </c>
      <c r="L93" s="60">
        <v>4.4000000000000004</v>
      </c>
      <c r="M93" s="56">
        <v>0.9</v>
      </c>
      <c r="N93" s="59">
        <v>0.4</v>
      </c>
      <c r="O93" s="56">
        <v>1.7</v>
      </c>
      <c r="P93" s="56">
        <v>2.41</v>
      </c>
    </row>
    <row r="94" spans="1:16" ht="85">
      <c r="A94" s="56">
        <v>81</v>
      </c>
      <c r="B94" s="56" t="s">
        <v>778</v>
      </c>
      <c r="C94" s="56" t="s">
        <v>358</v>
      </c>
      <c r="D94" s="56" t="s">
        <v>339</v>
      </c>
      <c r="E94" s="56">
        <v>79</v>
      </c>
      <c r="F94" s="56">
        <v>32</v>
      </c>
      <c r="G94" s="60" t="s">
        <v>359</v>
      </c>
      <c r="H94" s="56" t="s">
        <v>340</v>
      </c>
      <c r="I94" s="59">
        <v>1.3</v>
      </c>
      <c r="J94" s="60">
        <v>16.399999999999999</v>
      </c>
      <c r="K94" s="56">
        <v>6.3</v>
      </c>
      <c r="L94" s="59">
        <v>1.9</v>
      </c>
      <c r="M94" s="56">
        <v>1.1000000000000001</v>
      </c>
      <c r="N94" s="60">
        <v>1</v>
      </c>
      <c r="O94" s="60">
        <v>0.9</v>
      </c>
      <c r="P94" s="56">
        <v>2.35</v>
      </c>
    </row>
    <row r="95" spans="1:16" ht="51">
      <c r="A95" s="56">
        <v>82</v>
      </c>
      <c r="B95" s="56" t="s">
        <v>779</v>
      </c>
      <c r="C95" s="56" t="s">
        <v>358</v>
      </c>
      <c r="D95" s="56" t="s">
        <v>230</v>
      </c>
      <c r="E95" s="56">
        <v>72</v>
      </c>
      <c r="F95" s="56">
        <v>28</v>
      </c>
      <c r="G95" s="59" t="s">
        <v>360</v>
      </c>
      <c r="H95" s="56" t="s">
        <v>361</v>
      </c>
      <c r="I95" s="56">
        <v>1.9</v>
      </c>
      <c r="J95" s="60">
        <v>16.899999999999999</v>
      </c>
      <c r="K95" s="56">
        <v>4.9000000000000004</v>
      </c>
      <c r="L95" s="59">
        <v>1.5</v>
      </c>
      <c r="M95" s="60">
        <v>1.5</v>
      </c>
      <c r="N95" s="60">
        <v>0.9</v>
      </c>
      <c r="O95" s="56">
        <v>1.5</v>
      </c>
      <c r="P95" s="56">
        <v>2.33</v>
      </c>
    </row>
    <row r="96" spans="1:16" ht="34">
      <c r="A96" s="56">
        <v>83</v>
      </c>
      <c r="B96" s="56" t="s">
        <v>780</v>
      </c>
      <c r="C96" s="56" t="s">
        <v>205</v>
      </c>
      <c r="D96" s="56" t="s">
        <v>251</v>
      </c>
      <c r="E96" s="56">
        <v>77</v>
      </c>
      <c r="F96" s="56">
        <v>29</v>
      </c>
      <c r="G96" s="56" t="s">
        <v>362</v>
      </c>
      <c r="H96" s="58" t="s">
        <v>363</v>
      </c>
      <c r="I96" s="56">
        <v>1.6</v>
      </c>
      <c r="J96" s="56">
        <v>15</v>
      </c>
      <c r="K96" s="56">
        <v>5.0999999999999996</v>
      </c>
      <c r="L96" s="56">
        <v>2.4</v>
      </c>
      <c r="M96" s="60">
        <v>1.1000000000000001</v>
      </c>
      <c r="N96" s="59">
        <v>0.4</v>
      </c>
      <c r="O96" s="60">
        <v>1</v>
      </c>
      <c r="P96" s="56">
        <v>2.16</v>
      </c>
    </row>
    <row r="97" spans="1:16" ht="68">
      <c r="A97" s="56">
        <v>84</v>
      </c>
      <c r="B97" s="56" t="s">
        <v>781</v>
      </c>
      <c r="C97" s="56" t="s">
        <v>179</v>
      </c>
      <c r="D97" s="56" t="s">
        <v>187</v>
      </c>
      <c r="E97" s="56">
        <v>74</v>
      </c>
      <c r="F97" s="56">
        <v>29</v>
      </c>
      <c r="G97" s="57" t="s">
        <v>366</v>
      </c>
      <c r="H97" s="61" t="s">
        <v>367</v>
      </c>
      <c r="I97" s="61">
        <v>0</v>
      </c>
      <c r="J97" s="59">
        <v>10.7</v>
      </c>
      <c r="K97" s="60">
        <v>8.6999999999999993</v>
      </c>
      <c r="L97" s="56">
        <v>2.5</v>
      </c>
      <c r="M97" s="56">
        <v>0.9</v>
      </c>
      <c r="N97" s="60">
        <v>1.2</v>
      </c>
      <c r="O97" s="60">
        <v>0.9</v>
      </c>
      <c r="P97" s="56">
        <v>2.13</v>
      </c>
    </row>
    <row r="98" spans="1:16" ht="17">
      <c r="A98" s="62" t="s">
        <v>160</v>
      </c>
      <c r="B98" s="62" t="s">
        <v>161</v>
      </c>
      <c r="C98" s="62" t="s">
        <v>175</v>
      </c>
      <c r="D98" s="62" t="s">
        <v>176</v>
      </c>
      <c r="E98" s="62" t="s">
        <v>690</v>
      </c>
      <c r="F98" s="62" t="s">
        <v>177</v>
      </c>
      <c r="G98" s="62" t="s">
        <v>3</v>
      </c>
      <c r="H98" s="62" t="s">
        <v>4</v>
      </c>
      <c r="I98" s="62" t="s">
        <v>5</v>
      </c>
      <c r="J98" s="62" t="s">
        <v>11</v>
      </c>
      <c r="K98" s="62" t="s">
        <v>162</v>
      </c>
      <c r="L98" s="62" t="s">
        <v>7</v>
      </c>
      <c r="M98" s="62" t="s">
        <v>8</v>
      </c>
      <c r="N98" s="62" t="s">
        <v>9</v>
      </c>
      <c r="O98" s="62" t="s">
        <v>10</v>
      </c>
      <c r="P98" s="62" t="s">
        <v>178</v>
      </c>
    </row>
    <row r="99" spans="1:16" ht="51">
      <c r="A99" s="56">
        <v>85</v>
      </c>
      <c r="B99" s="56" t="s">
        <v>782</v>
      </c>
      <c r="C99" s="56" t="s">
        <v>179</v>
      </c>
      <c r="D99" s="56" t="s">
        <v>284</v>
      </c>
      <c r="E99" s="56">
        <v>76</v>
      </c>
      <c r="F99" s="56">
        <v>26</v>
      </c>
      <c r="G99" s="57" t="s">
        <v>364</v>
      </c>
      <c r="H99" s="56" t="s">
        <v>365</v>
      </c>
      <c r="I99" s="61">
        <v>0.6</v>
      </c>
      <c r="J99" s="56">
        <v>13.5</v>
      </c>
      <c r="K99" s="60">
        <v>6.7</v>
      </c>
      <c r="L99" s="59">
        <v>1.9</v>
      </c>
      <c r="M99" s="59">
        <v>0.7</v>
      </c>
      <c r="N99" s="60">
        <v>0.9</v>
      </c>
      <c r="O99" s="60">
        <v>1.1000000000000001</v>
      </c>
      <c r="P99" s="56">
        <v>2.12</v>
      </c>
    </row>
    <row r="100" spans="1:16" ht="68">
      <c r="A100" s="56">
        <v>86</v>
      </c>
      <c r="B100" s="56" t="s">
        <v>783</v>
      </c>
      <c r="C100" s="56" t="s">
        <v>194</v>
      </c>
      <c r="D100" s="56" t="s">
        <v>260</v>
      </c>
      <c r="E100" s="56">
        <v>70</v>
      </c>
      <c r="F100" s="56">
        <v>29</v>
      </c>
      <c r="G100" s="60" t="s">
        <v>368</v>
      </c>
      <c r="H100" s="56" t="s">
        <v>226</v>
      </c>
      <c r="I100" s="61">
        <v>0.1</v>
      </c>
      <c r="J100" s="56">
        <v>12.5</v>
      </c>
      <c r="K100" s="60">
        <v>8.5</v>
      </c>
      <c r="L100" s="56">
        <v>2.2000000000000002</v>
      </c>
      <c r="M100" s="59">
        <v>0.7</v>
      </c>
      <c r="N100" s="58">
        <v>1.6</v>
      </c>
      <c r="O100" s="56">
        <v>1.7</v>
      </c>
      <c r="P100" s="56">
        <v>2.09</v>
      </c>
    </row>
    <row r="101" spans="1:16" ht="51">
      <c r="A101" s="56">
        <v>87</v>
      </c>
      <c r="B101" s="56" t="s">
        <v>784</v>
      </c>
      <c r="C101" s="56" t="s">
        <v>179</v>
      </c>
      <c r="D101" s="56" t="s">
        <v>204</v>
      </c>
      <c r="E101" s="56">
        <v>78</v>
      </c>
      <c r="F101" s="56">
        <v>28</v>
      </c>
      <c r="G101" s="57" t="s">
        <v>369</v>
      </c>
      <c r="H101" s="61" t="s">
        <v>370</v>
      </c>
      <c r="I101" s="61">
        <v>0</v>
      </c>
      <c r="J101" s="60">
        <v>16.399999999999999</v>
      </c>
      <c r="K101" s="60">
        <v>6.9</v>
      </c>
      <c r="L101" s="56">
        <v>2.2000000000000002</v>
      </c>
      <c r="M101" s="56">
        <v>1</v>
      </c>
      <c r="N101" s="58">
        <v>1.5</v>
      </c>
      <c r="O101" s="56">
        <v>1.7</v>
      </c>
      <c r="P101" s="56">
        <v>2.0299999999999998</v>
      </c>
    </row>
    <row r="102" spans="1:16" ht="34">
      <c r="A102" s="56">
        <v>88</v>
      </c>
      <c r="B102" s="56" t="s">
        <v>785</v>
      </c>
      <c r="C102" s="56" t="s">
        <v>190</v>
      </c>
      <c r="D102" s="56" t="s">
        <v>251</v>
      </c>
      <c r="E102" s="56">
        <v>66</v>
      </c>
      <c r="F102" s="56">
        <v>30</v>
      </c>
      <c r="G102" s="60" t="s">
        <v>371</v>
      </c>
      <c r="H102" s="56" t="s">
        <v>277</v>
      </c>
      <c r="I102" s="56">
        <v>1.6</v>
      </c>
      <c r="J102" s="60">
        <v>16.100000000000001</v>
      </c>
      <c r="K102" s="59">
        <v>4</v>
      </c>
      <c r="L102" s="59">
        <v>1.5</v>
      </c>
      <c r="M102" s="60">
        <v>1.1000000000000001</v>
      </c>
      <c r="N102" s="56">
        <v>0.7</v>
      </c>
      <c r="O102" s="60">
        <v>1.1000000000000001</v>
      </c>
      <c r="P102" s="56">
        <v>1.94</v>
      </c>
    </row>
    <row r="103" spans="1:16" ht="51">
      <c r="A103" s="56">
        <v>89</v>
      </c>
      <c r="B103" s="56" t="s">
        <v>786</v>
      </c>
      <c r="C103" s="56" t="s">
        <v>183</v>
      </c>
      <c r="D103" s="56" t="s">
        <v>284</v>
      </c>
      <c r="E103" s="56">
        <v>72</v>
      </c>
      <c r="F103" s="56">
        <v>29</v>
      </c>
      <c r="G103" s="56" t="s">
        <v>372</v>
      </c>
      <c r="H103" s="56" t="s">
        <v>373</v>
      </c>
      <c r="I103" s="59">
        <v>0.9</v>
      </c>
      <c r="J103" s="56">
        <v>12.6</v>
      </c>
      <c r="K103" s="56">
        <v>4.7</v>
      </c>
      <c r="L103" s="60">
        <v>4.4000000000000004</v>
      </c>
      <c r="M103" s="58">
        <v>1.5</v>
      </c>
      <c r="N103" s="56">
        <v>0.5</v>
      </c>
      <c r="O103" s="60">
        <v>1.3</v>
      </c>
      <c r="P103" s="56">
        <v>1.84</v>
      </c>
    </row>
    <row r="104" spans="1:16" ht="34">
      <c r="A104" s="56">
        <v>90</v>
      </c>
      <c r="B104" s="56" t="s">
        <v>787</v>
      </c>
      <c r="C104" s="56" t="s">
        <v>205</v>
      </c>
      <c r="D104" s="56" t="s">
        <v>198</v>
      </c>
      <c r="E104" s="56">
        <v>66</v>
      </c>
      <c r="F104" s="56">
        <v>30</v>
      </c>
      <c r="G104" s="56" t="s">
        <v>374</v>
      </c>
      <c r="H104" s="56" t="s">
        <v>373</v>
      </c>
      <c r="I104" s="60">
        <v>2</v>
      </c>
      <c r="J104" s="60">
        <v>16.600000000000001</v>
      </c>
      <c r="K104" s="59">
        <v>3.1</v>
      </c>
      <c r="L104" s="56">
        <v>2.4</v>
      </c>
      <c r="M104" s="60">
        <v>1.4</v>
      </c>
      <c r="N104" s="59">
        <v>0.3</v>
      </c>
      <c r="O104" s="60">
        <v>1.3</v>
      </c>
      <c r="P104" s="56">
        <v>1.79</v>
      </c>
    </row>
    <row r="105" spans="1:16" ht="51">
      <c r="A105" s="56">
        <v>91</v>
      </c>
      <c r="B105" s="56" t="s">
        <v>788</v>
      </c>
      <c r="C105" s="56" t="s">
        <v>208</v>
      </c>
      <c r="D105" s="56" t="s">
        <v>268</v>
      </c>
      <c r="E105" s="56">
        <v>70</v>
      </c>
      <c r="F105" s="56">
        <v>29</v>
      </c>
      <c r="G105" s="59" t="s">
        <v>375</v>
      </c>
      <c r="H105" s="60" t="s">
        <v>376</v>
      </c>
      <c r="I105" s="60">
        <v>2.5</v>
      </c>
      <c r="J105" s="56">
        <v>15.4</v>
      </c>
      <c r="K105" s="59">
        <v>2.9</v>
      </c>
      <c r="L105" s="60">
        <v>5.3</v>
      </c>
      <c r="M105" s="56">
        <v>0.9</v>
      </c>
      <c r="N105" s="59">
        <v>0.3</v>
      </c>
      <c r="O105" s="56">
        <v>1.4</v>
      </c>
      <c r="P105" s="56">
        <v>1.77</v>
      </c>
    </row>
    <row r="106" spans="1:16" ht="34">
      <c r="A106" s="56">
        <v>92</v>
      </c>
      <c r="B106" s="56" t="s">
        <v>789</v>
      </c>
      <c r="C106" s="56" t="s">
        <v>194</v>
      </c>
      <c r="D106" s="56" t="s">
        <v>180</v>
      </c>
      <c r="E106" s="56">
        <v>76</v>
      </c>
      <c r="F106" s="56">
        <v>24</v>
      </c>
      <c r="G106" s="57" t="s">
        <v>377</v>
      </c>
      <c r="H106" s="61" t="s">
        <v>378</v>
      </c>
      <c r="I106" s="61">
        <v>0</v>
      </c>
      <c r="J106" s="59">
        <v>11.3</v>
      </c>
      <c r="K106" s="60">
        <v>7.4</v>
      </c>
      <c r="L106" s="59">
        <v>0.8</v>
      </c>
      <c r="M106" s="59">
        <v>0.6</v>
      </c>
      <c r="N106" s="57">
        <v>1.9</v>
      </c>
      <c r="O106" s="56">
        <v>1.5</v>
      </c>
      <c r="P106" s="56">
        <v>1.74</v>
      </c>
    </row>
    <row r="107" spans="1:16" ht="68">
      <c r="A107" s="56">
        <v>93</v>
      </c>
      <c r="B107" s="56" t="s">
        <v>790</v>
      </c>
      <c r="C107" s="56" t="s">
        <v>190</v>
      </c>
      <c r="D107" s="56" t="s">
        <v>224</v>
      </c>
      <c r="E107" s="56">
        <v>78</v>
      </c>
      <c r="F107" s="56">
        <v>32</v>
      </c>
      <c r="G107" s="56" t="s">
        <v>379</v>
      </c>
      <c r="H107" s="56" t="s">
        <v>243</v>
      </c>
      <c r="I107" s="56">
        <v>1.6</v>
      </c>
      <c r="J107" s="60">
        <v>16.100000000000001</v>
      </c>
      <c r="K107" s="60">
        <v>7.4</v>
      </c>
      <c r="L107" s="56">
        <v>3.5</v>
      </c>
      <c r="M107" s="59">
        <v>0.8</v>
      </c>
      <c r="N107" s="56">
        <v>0.8</v>
      </c>
      <c r="O107" s="59">
        <v>2</v>
      </c>
      <c r="P107" s="56">
        <v>1.7</v>
      </c>
    </row>
    <row r="108" spans="1:16" ht="51">
      <c r="A108" s="56">
        <v>94</v>
      </c>
      <c r="B108" s="56" t="s">
        <v>791</v>
      </c>
      <c r="C108" s="56" t="s">
        <v>205</v>
      </c>
      <c r="D108" s="56" t="s">
        <v>217</v>
      </c>
      <c r="E108" s="56">
        <v>68</v>
      </c>
      <c r="F108" s="56">
        <v>30</v>
      </c>
      <c r="G108" s="56" t="s">
        <v>380</v>
      </c>
      <c r="H108" s="59" t="s">
        <v>381</v>
      </c>
      <c r="I108" s="56">
        <v>1.5</v>
      </c>
      <c r="J108" s="60">
        <v>17.399999999999999</v>
      </c>
      <c r="K108" s="56">
        <v>4.5</v>
      </c>
      <c r="L108" s="60">
        <v>4.5999999999999996</v>
      </c>
      <c r="M108" s="60">
        <v>1.3</v>
      </c>
      <c r="N108" s="56">
        <v>0.6</v>
      </c>
      <c r="O108" s="59">
        <v>1.9</v>
      </c>
      <c r="P108" s="56">
        <v>1.61</v>
      </c>
    </row>
    <row r="109" spans="1:16" ht="51">
      <c r="A109" s="56">
        <v>95</v>
      </c>
      <c r="B109" s="56" t="s">
        <v>792</v>
      </c>
      <c r="C109" s="56" t="s">
        <v>179</v>
      </c>
      <c r="D109" s="56" t="s">
        <v>339</v>
      </c>
      <c r="E109" s="56">
        <v>64</v>
      </c>
      <c r="F109" s="56">
        <v>26</v>
      </c>
      <c r="G109" s="58" t="s">
        <v>383</v>
      </c>
      <c r="H109" s="56" t="s">
        <v>334</v>
      </c>
      <c r="I109" s="61">
        <v>0.1</v>
      </c>
      <c r="J109" s="59">
        <v>11</v>
      </c>
      <c r="K109" s="60">
        <v>7.2</v>
      </c>
      <c r="L109" s="56">
        <v>2.2999999999999998</v>
      </c>
      <c r="M109" s="56">
        <v>0.8</v>
      </c>
      <c r="N109" s="60">
        <v>1</v>
      </c>
      <c r="O109" s="60">
        <v>1.2</v>
      </c>
      <c r="P109" s="56">
        <v>1.47</v>
      </c>
    </row>
    <row r="110" spans="1:16" ht="34">
      <c r="A110" s="56">
        <v>96</v>
      </c>
      <c r="B110" s="56" t="s">
        <v>793</v>
      </c>
      <c r="C110" s="56" t="s">
        <v>194</v>
      </c>
      <c r="D110" s="56" t="s">
        <v>257</v>
      </c>
      <c r="E110" s="56">
        <v>78</v>
      </c>
      <c r="F110" s="56">
        <v>33</v>
      </c>
      <c r="G110" s="57" t="s">
        <v>384</v>
      </c>
      <c r="H110" s="61" t="s">
        <v>385</v>
      </c>
      <c r="I110" s="61">
        <v>0</v>
      </c>
      <c r="J110" s="56">
        <v>14.4</v>
      </c>
      <c r="K110" s="58">
        <v>11.3</v>
      </c>
      <c r="L110" s="59">
        <v>1.7</v>
      </c>
      <c r="M110" s="60">
        <v>1.5</v>
      </c>
      <c r="N110" s="60">
        <v>1</v>
      </c>
      <c r="O110" s="56">
        <v>1.7</v>
      </c>
      <c r="P110" s="56">
        <v>1.31</v>
      </c>
    </row>
    <row r="111" spans="1:16" ht="17">
      <c r="A111" s="62" t="s">
        <v>160</v>
      </c>
      <c r="B111" s="62" t="s">
        <v>161</v>
      </c>
      <c r="C111" s="62" t="s">
        <v>175</v>
      </c>
      <c r="D111" s="62" t="s">
        <v>176</v>
      </c>
      <c r="E111" s="62" t="s">
        <v>690</v>
      </c>
      <c r="F111" s="62" t="s">
        <v>177</v>
      </c>
      <c r="G111" s="62" t="s">
        <v>3</v>
      </c>
      <c r="H111" s="62" t="s">
        <v>4</v>
      </c>
      <c r="I111" s="62" t="s">
        <v>5</v>
      </c>
      <c r="J111" s="62" t="s">
        <v>11</v>
      </c>
      <c r="K111" s="62" t="s">
        <v>162</v>
      </c>
      <c r="L111" s="62" t="s">
        <v>7</v>
      </c>
      <c r="M111" s="62" t="s">
        <v>8</v>
      </c>
      <c r="N111" s="62" t="s">
        <v>9</v>
      </c>
      <c r="O111" s="62" t="s">
        <v>10</v>
      </c>
      <c r="P111" s="62" t="s">
        <v>178</v>
      </c>
    </row>
    <row r="112" spans="1:16" ht="34">
      <c r="A112" s="56">
        <v>97</v>
      </c>
      <c r="B112" s="56" t="s">
        <v>794</v>
      </c>
      <c r="C112" s="56" t="s">
        <v>205</v>
      </c>
      <c r="D112" s="56" t="s">
        <v>180</v>
      </c>
      <c r="E112" s="56">
        <v>74</v>
      </c>
      <c r="F112" s="56">
        <v>28</v>
      </c>
      <c r="G112" s="56" t="s">
        <v>386</v>
      </c>
      <c r="H112" s="56" t="s">
        <v>387</v>
      </c>
      <c r="I112" s="60">
        <v>2.7</v>
      </c>
      <c r="J112" s="59">
        <v>11.1</v>
      </c>
      <c r="K112" s="59">
        <v>4.2</v>
      </c>
      <c r="L112" s="59">
        <v>1.7</v>
      </c>
      <c r="M112" s="56">
        <v>0.9</v>
      </c>
      <c r="N112" s="56">
        <v>0.7</v>
      </c>
      <c r="O112" s="60">
        <v>0.9</v>
      </c>
      <c r="P112" s="56">
        <v>1.3</v>
      </c>
    </row>
    <row r="113" spans="1:16" ht="51">
      <c r="A113" s="56">
        <v>98</v>
      </c>
      <c r="B113" s="56" t="s">
        <v>795</v>
      </c>
      <c r="C113" s="56" t="s">
        <v>205</v>
      </c>
      <c r="D113" s="56" t="s">
        <v>230</v>
      </c>
      <c r="E113" s="56">
        <v>78</v>
      </c>
      <c r="F113" s="56">
        <v>31</v>
      </c>
      <c r="G113" s="56" t="s">
        <v>388</v>
      </c>
      <c r="H113" s="56" t="s">
        <v>389</v>
      </c>
      <c r="I113" s="56">
        <v>1.5</v>
      </c>
      <c r="J113" s="59">
        <v>10.1</v>
      </c>
      <c r="K113" s="59">
        <v>3.7</v>
      </c>
      <c r="L113" s="56">
        <v>2.2999999999999998</v>
      </c>
      <c r="M113" s="58">
        <v>1.7</v>
      </c>
      <c r="N113" s="56">
        <v>0.6</v>
      </c>
      <c r="O113" s="60">
        <v>0.9</v>
      </c>
      <c r="P113" s="56">
        <v>1.25</v>
      </c>
    </row>
    <row r="114" spans="1:16" ht="34">
      <c r="A114" s="56">
        <v>99</v>
      </c>
      <c r="B114" s="56" t="s">
        <v>796</v>
      </c>
      <c r="C114" s="56" t="s">
        <v>194</v>
      </c>
      <c r="D114" s="56" t="s">
        <v>268</v>
      </c>
      <c r="E114" s="56">
        <v>74</v>
      </c>
      <c r="F114" s="56">
        <v>25</v>
      </c>
      <c r="G114" s="56" t="s">
        <v>390</v>
      </c>
      <c r="H114" s="56" t="s">
        <v>391</v>
      </c>
      <c r="I114" s="59">
        <v>1.1000000000000001</v>
      </c>
      <c r="J114" s="56">
        <v>11.6</v>
      </c>
      <c r="K114" s="60">
        <v>6.7</v>
      </c>
      <c r="L114" s="60">
        <v>3.8</v>
      </c>
      <c r="M114" s="56">
        <v>0.9</v>
      </c>
      <c r="N114" s="60">
        <v>0.9</v>
      </c>
      <c r="O114" s="60">
        <v>1</v>
      </c>
      <c r="P114" s="56">
        <v>1.1499999999999999</v>
      </c>
    </row>
    <row r="115" spans="1:16" ht="68">
      <c r="A115" s="56">
        <v>100</v>
      </c>
      <c r="B115" s="56" t="s">
        <v>797</v>
      </c>
      <c r="C115" s="56" t="s">
        <v>179</v>
      </c>
      <c r="D115" s="56" t="s">
        <v>209</v>
      </c>
      <c r="E115" s="56">
        <v>74</v>
      </c>
      <c r="F115" s="56">
        <v>29</v>
      </c>
      <c r="G115" s="56" t="s">
        <v>396</v>
      </c>
      <c r="H115" s="56" t="s">
        <v>397</v>
      </c>
      <c r="I115" s="59">
        <v>1.2</v>
      </c>
      <c r="J115" s="56">
        <v>12.7</v>
      </c>
      <c r="K115" s="60">
        <v>7.3</v>
      </c>
      <c r="L115" s="59">
        <v>1.6</v>
      </c>
      <c r="M115" s="61">
        <v>0.5</v>
      </c>
      <c r="N115" s="58">
        <v>1.6</v>
      </c>
      <c r="O115" s="56">
        <v>1.6</v>
      </c>
      <c r="P115" s="56">
        <v>1.1399999999999999</v>
      </c>
    </row>
    <row r="116" spans="1:16" ht="68">
      <c r="A116" s="56">
        <v>101</v>
      </c>
      <c r="B116" s="56" t="s">
        <v>798</v>
      </c>
      <c r="C116" s="56" t="s">
        <v>194</v>
      </c>
      <c r="D116" s="56" t="s">
        <v>227</v>
      </c>
      <c r="E116" s="56">
        <v>70</v>
      </c>
      <c r="F116" s="56">
        <v>26</v>
      </c>
      <c r="G116" s="58" t="s">
        <v>392</v>
      </c>
      <c r="H116" s="56" t="s">
        <v>393</v>
      </c>
      <c r="I116" s="61">
        <v>0.1</v>
      </c>
      <c r="J116" s="56">
        <v>13.9</v>
      </c>
      <c r="K116" s="58">
        <v>9.6</v>
      </c>
      <c r="L116" s="59">
        <v>1.9</v>
      </c>
      <c r="M116" s="59">
        <v>0.5</v>
      </c>
      <c r="N116" s="59">
        <v>0.4</v>
      </c>
      <c r="O116" s="59">
        <v>1.9</v>
      </c>
      <c r="P116" s="56">
        <v>1.1100000000000001</v>
      </c>
    </row>
    <row r="117" spans="1:16" ht="68">
      <c r="A117" s="56">
        <v>102</v>
      </c>
      <c r="B117" s="56" t="s">
        <v>799</v>
      </c>
      <c r="C117" s="56" t="s">
        <v>208</v>
      </c>
      <c r="D117" s="56" t="s">
        <v>195</v>
      </c>
      <c r="E117" s="56">
        <v>68</v>
      </c>
      <c r="F117" s="56">
        <v>30</v>
      </c>
      <c r="G117" s="59" t="s">
        <v>394</v>
      </c>
      <c r="H117" s="60" t="s">
        <v>395</v>
      </c>
      <c r="I117" s="59">
        <v>0.8</v>
      </c>
      <c r="J117" s="56">
        <v>12.7</v>
      </c>
      <c r="K117" s="59">
        <v>2.6</v>
      </c>
      <c r="L117" s="57">
        <v>8.6</v>
      </c>
      <c r="M117" s="56">
        <v>1</v>
      </c>
      <c r="N117" s="59">
        <v>0.4</v>
      </c>
      <c r="O117" s="59">
        <v>2.2999999999999998</v>
      </c>
      <c r="P117" s="56">
        <v>1.1100000000000001</v>
      </c>
    </row>
    <row r="118" spans="1:16" ht="34">
      <c r="A118" s="56">
        <v>103</v>
      </c>
      <c r="B118" s="56" t="s">
        <v>800</v>
      </c>
      <c r="C118" s="56" t="s">
        <v>179</v>
      </c>
      <c r="D118" s="56" t="s">
        <v>212</v>
      </c>
      <c r="E118" s="56">
        <v>78</v>
      </c>
      <c r="F118" s="56">
        <v>27</v>
      </c>
      <c r="G118" s="56" t="s">
        <v>398</v>
      </c>
      <c r="H118" s="60" t="s">
        <v>326</v>
      </c>
      <c r="I118" s="56">
        <v>1.7</v>
      </c>
      <c r="J118" s="56">
        <v>12.3</v>
      </c>
      <c r="K118" s="56">
        <v>5.8</v>
      </c>
      <c r="L118" s="56">
        <v>2.2000000000000002</v>
      </c>
      <c r="M118" s="56">
        <v>0.8</v>
      </c>
      <c r="N118" s="56">
        <v>0.6</v>
      </c>
      <c r="O118" s="56">
        <v>1.7</v>
      </c>
      <c r="P118" s="56">
        <v>1.08</v>
      </c>
    </row>
    <row r="119" spans="1:16" ht="68">
      <c r="A119" s="56">
        <v>104</v>
      </c>
      <c r="B119" s="56" t="s">
        <v>801</v>
      </c>
      <c r="C119" s="56" t="s">
        <v>179</v>
      </c>
      <c r="D119" s="56" t="s">
        <v>268</v>
      </c>
      <c r="E119" s="56">
        <v>72</v>
      </c>
      <c r="F119" s="56">
        <v>28</v>
      </c>
      <c r="G119" s="60" t="s">
        <v>399</v>
      </c>
      <c r="H119" s="56" t="s">
        <v>400</v>
      </c>
      <c r="I119" s="59">
        <v>0.8</v>
      </c>
      <c r="J119" s="56">
        <v>15.2</v>
      </c>
      <c r="K119" s="60">
        <v>8.1999999999999993</v>
      </c>
      <c r="L119" s="59">
        <v>1.1000000000000001</v>
      </c>
      <c r="M119" s="61">
        <v>0.4</v>
      </c>
      <c r="N119" s="58">
        <v>1.3</v>
      </c>
      <c r="O119" s="56">
        <v>1.5</v>
      </c>
      <c r="P119" s="56">
        <v>0.85</v>
      </c>
    </row>
    <row r="120" spans="1:16" ht="68">
      <c r="A120" s="56">
        <v>105</v>
      </c>
      <c r="B120" s="56" t="s">
        <v>802</v>
      </c>
      <c r="C120" s="56" t="s">
        <v>179</v>
      </c>
      <c r="D120" s="56" t="s">
        <v>198</v>
      </c>
      <c r="E120" s="56">
        <v>66</v>
      </c>
      <c r="F120" s="56">
        <v>26</v>
      </c>
      <c r="G120" s="60" t="s">
        <v>401</v>
      </c>
      <c r="H120" s="59" t="s">
        <v>402</v>
      </c>
      <c r="I120" s="59">
        <v>0.8</v>
      </c>
      <c r="J120" s="56">
        <v>12.8</v>
      </c>
      <c r="K120" s="60">
        <v>7.3</v>
      </c>
      <c r="L120" s="59">
        <v>2</v>
      </c>
      <c r="M120" s="60">
        <v>1.2</v>
      </c>
      <c r="N120" s="56">
        <v>0.8</v>
      </c>
      <c r="O120" s="56">
        <v>1.3</v>
      </c>
      <c r="P120" s="56">
        <v>0.81</v>
      </c>
    </row>
    <row r="121" spans="1:16" ht="68">
      <c r="A121" s="56">
        <v>106</v>
      </c>
      <c r="B121" s="56" t="s">
        <v>803</v>
      </c>
      <c r="C121" s="56" t="s">
        <v>205</v>
      </c>
      <c r="D121" s="56" t="s">
        <v>224</v>
      </c>
      <c r="E121" s="56">
        <v>74</v>
      </c>
      <c r="F121" s="56">
        <v>26</v>
      </c>
      <c r="G121" s="59" t="s">
        <v>403</v>
      </c>
      <c r="H121" s="60" t="s">
        <v>404</v>
      </c>
      <c r="I121" s="58">
        <v>2.8</v>
      </c>
      <c r="J121" s="56">
        <v>15.6</v>
      </c>
      <c r="K121" s="59">
        <v>3.5</v>
      </c>
      <c r="L121" s="59">
        <v>1.8</v>
      </c>
      <c r="M121" s="56">
        <v>0.9</v>
      </c>
      <c r="N121" s="59">
        <v>0.4</v>
      </c>
      <c r="O121" s="60">
        <v>1.1000000000000001</v>
      </c>
      <c r="P121" s="56">
        <v>0.79</v>
      </c>
    </row>
    <row r="122" spans="1:16" ht="51">
      <c r="A122" s="56">
        <v>107</v>
      </c>
      <c r="B122" s="56" t="s">
        <v>804</v>
      </c>
      <c r="C122" s="56" t="s">
        <v>183</v>
      </c>
      <c r="D122" s="56" t="s">
        <v>204</v>
      </c>
      <c r="E122" s="56">
        <v>76</v>
      </c>
      <c r="F122" s="56">
        <v>26</v>
      </c>
      <c r="G122" s="59" t="s">
        <v>405</v>
      </c>
      <c r="H122" s="57" t="s">
        <v>406</v>
      </c>
      <c r="I122" s="56">
        <v>1.4</v>
      </c>
      <c r="J122" s="60">
        <v>17.399999999999999</v>
      </c>
      <c r="K122" s="59">
        <v>3</v>
      </c>
      <c r="L122" s="60">
        <v>3.9</v>
      </c>
      <c r="M122" s="59">
        <v>0.7</v>
      </c>
      <c r="N122" s="61">
        <v>0.1</v>
      </c>
      <c r="O122" s="59">
        <v>2.2999999999999998</v>
      </c>
      <c r="P122" s="56">
        <v>0.76</v>
      </c>
    </row>
    <row r="123" spans="1:16" ht="68">
      <c r="A123" s="56">
        <v>108</v>
      </c>
      <c r="B123" s="56" t="s">
        <v>805</v>
      </c>
      <c r="C123" s="56" t="s">
        <v>183</v>
      </c>
      <c r="D123" s="56" t="s">
        <v>264</v>
      </c>
      <c r="E123" s="56">
        <v>68</v>
      </c>
      <c r="F123" s="56">
        <v>27</v>
      </c>
      <c r="G123" s="56" t="s">
        <v>806</v>
      </c>
      <c r="H123" s="56" t="s">
        <v>495</v>
      </c>
      <c r="I123" s="59">
        <v>1</v>
      </c>
      <c r="J123" s="56">
        <v>11.9</v>
      </c>
      <c r="K123" s="59">
        <v>4.0999999999999996</v>
      </c>
      <c r="L123" s="56">
        <v>3.4</v>
      </c>
      <c r="M123" s="60">
        <v>1.1000000000000001</v>
      </c>
      <c r="N123" s="56">
        <v>0.8</v>
      </c>
      <c r="O123" s="56">
        <v>1.5</v>
      </c>
      <c r="P123" s="56">
        <v>0.74</v>
      </c>
    </row>
    <row r="124" spans="1:16" ht="17">
      <c r="A124" s="62" t="s">
        <v>160</v>
      </c>
      <c r="B124" s="62" t="s">
        <v>161</v>
      </c>
      <c r="C124" s="62" t="s">
        <v>175</v>
      </c>
      <c r="D124" s="62" t="s">
        <v>176</v>
      </c>
      <c r="E124" s="62" t="s">
        <v>690</v>
      </c>
      <c r="F124" s="62" t="s">
        <v>177</v>
      </c>
      <c r="G124" s="62" t="s">
        <v>3</v>
      </c>
      <c r="H124" s="62" t="s">
        <v>4</v>
      </c>
      <c r="I124" s="62" t="s">
        <v>5</v>
      </c>
      <c r="J124" s="62" t="s">
        <v>11</v>
      </c>
      <c r="K124" s="62" t="s">
        <v>162</v>
      </c>
      <c r="L124" s="62" t="s">
        <v>7</v>
      </c>
      <c r="M124" s="62" t="s">
        <v>8</v>
      </c>
      <c r="N124" s="62" t="s">
        <v>9</v>
      </c>
      <c r="O124" s="62" t="s">
        <v>10</v>
      </c>
      <c r="P124" s="62" t="s">
        <v>178</v>
      </c>
    </row>
    <row r="125" spans="1:16" ht="68">
      <c r="A125" s="56">
        <v>109</v>
      </c>
      <c r="B125" s="56" t="s">
        <v>807</v>
      </c>
      <c r="C125" s="56" t="s">
        <v>194</v>
      </c>
      <c r="D125" s="56" t="s">
        <v>217</v>
      </c>
      <c r="E125" s="56">
        <v>76</v>
      </c>
      <c r="F125" s="56">
        <v>25</v>
      </c>
      <c r="G125" s="58" t="s">
        <v>407</v>
      </c>
      <c r="H125" s="59" t="s">
        <v>408</v>
      </c>
      <c r="I125" s="61">
        <v>0</v>
      </c>
      <c r="J125" s="59">
        <v>9.6999999999999993</v>
      </c>
      <c r="K125" s="58">
        <v>10.5</v>
      </c>
      <c r="L125" s="59">
        <v>2</v>
      </c>
      <c r="M125" s="59">
        <v>0.5</v>
      </c>
      <c r="N125" s="60">
        <v>1</v>
      </c>
      <c r="O125" s="56">
        <v>1.9</v>
      </c>
      <c r="P125" s="56">
        <v>0.7</v>
      </c>
    </row>
    <row r="126" spans="1:16" ht="68">
      <c r="A126" s="56">
        <v>110</v>
      </c>
      <c r="B126" s="56" t="s">
        <v>808</v>
      </c>
      <c r="C126" s="56" t="s">
        <v>205</v>
      </c>
      <c r="D126" s="56" t="s">
        <v>339</v>
      </c>
      <c r="E126" s="56">
        <v>70</v>
      </c>
      <c r="F126" s="56">
        <v>30</v>
      </c>
      <c r="G126" s="59" t="s">
        <v>409</v>
      </c>
      <c r="H126" s="56" t="s">
        <v>410</v>
      </c>
      <c r="I126" s="56">
        <v>1.5</v>
      </c>
      <c r="J126" s="56">
        <v>11.7</v>
      </c>
      <c r="K126" s="56">
        <v>5.0999999999999996</v>
      </c>
      <c r="L126" s="60">
        <v>4.5999999999999996</v>
      </c>
      <c r="M126" s="56">
        <v>0.9</v>
      </c>
      <c r="N126" s="56">
        <v>0.6</v>
      </c>
      <c r="O126" s="56">
        <v>1.5</v>
      </c>
      <c r="P126" s="56">
        <v>0.64</v>
      </c>
    </row>
    <row r="127" spans="1:16" ht="51">
      <c r="A127" s="56">
        <v>111</v>
      </c>
      <c r="B127" s="56" t="s">
        <v>809</v>
      </c>
      <c r="C127" s="56" t="s">
        <v>190</v>
      </c>
      <c r="D127" s="56" t="s">
        <v>264</v>
      </c>
      <c r="E127" s="56">
        <v>66</v>
      </c>
      <c r="F127" s="56">
        <v>26</v>
      </c>
      <c r="G127" s="60" t="s">
        <v>411</v>
      </c>
      <c r="H127" s="56" t="s">
        <v>382</v>
      </c>
      <c r="I127" s="59">
        <v>1.1000000000000001</v>
      </c>
      <c r="J127" s="56">
        <v>13.3</v>
      </c>
      <c r="K127" s="60">
        <v>7</v>
      </c>
      <c r="L127" s="56">
        <v>2.7</v>
      </c>
      <c r="M127" s="59">
        <v>0.8</v>
      </c>
      <c r="N127" s="56">
        <v>0.5</v>
      </c>
      <c r="O127" s="56">
        <v>1.6</v>
      </c>
      <c r="P127" s="56">
        <v>0.55000000000000004</v>
      </c>
    </row>
    <row r="128" spans="1:16" ht="51">
      <c r="A128" s="56">
        <v>112</v>
      </c>
      <c r="B128" s="56" t="s">
        <v>810</v>
      </c>
      <c r="C128" s="56" t="s">
        <v>179</v>
      </c>
      <c r="D128" s="56" t="s">
        <v>221</v>
      </c>
      <c r="E128" s="56">
        <v>74</v>
      </c>
      <c r="F128" s="56">
        <v>28</v>
      </c>
      <c r="G128" s="56" t="s">
        <v>412</v>
      </c>
      <c r="H128" s="60" t="s">
        <v>413</v>
      </c>
      <c r="I128" s="60">
        <v>2.6</v>
      </c>
      <c r="J128" s="59">
        <v>11</v>
      </c>
      <c r="K128" s="56">
        <v>4.8</v>
      </c>
      <c r="L128" s="59">
        <v>1.8</v>
      </c>
      <c r="M128" s="59">
        <v>0.7</v>
      </c>
      <c r="N128" s="56">
        <v>0.5</v>
      </c>
      <c r="O128" s="60">
        <v>0.8</v>
      </c>
      <c r="P128" s="56">
        <v>0.45</v>
      </c>
    </row>
    <row r="129" spans="1:16" ht="85">
      <c r="A129" s="56">
        <v>113</v>
      </c>
      <c r="B129" s="56" t="s">
        <v>811</v>
      </c>
      <c r="C129" s="56" t="s">
        <v>179</v>
      </c>
      <c r="D129" s="56" t="s">
        <v>244</v>
      </c>
      <c r="E129" s="56">
        <v>76</v>
      </c>
      <c r="F129" s="56">
        <v>25</v>
      </c>
      <c r="G129" s="60" t="s">
        <v>414</v>
      </c>
      <c r="H129" s="61" t="s">
        <v>408</v>
      </c>
      <c r="I129" s="56">
        <v>1.3</v>
      </c>
      <c r="J129" s="56">
        <v>14.7</v>
      </c>
      <c r="K129" s="60">
        <v>7.3</v>
      </c>
      <c r="L129" s="59">
        <v>1.4</v>
      </c>
      <c r="M129" s="59">
        <v>0.5</v>
      </c>
      <c r="N129" s="60">
        <v>1.2</v>
      </c>
      <c r="O129" s="56">
        <v>1.6</v>
      </c>
      <c r="P129" s="56">
        <v>0.44</v>
      </c>
    </row>
    <row r="130" spans="1:16" ht="51">
      <c r="A130" s="56">
        <v>114</v>
      </c>
      <c r="B130" s="56" t="s">
        <v>812</v>
      </c>
      <c r="C130" s="56" t="s">
        <v>179</v>
      </c>
      <c r="D130" s="56" t="s">
        <v>217</v>
      </c>
      <c r="E130" s="56">
        <v>80</v>
      </c>
      <c r="F130" s="56">
        <v>24</v>
      </c>
      <c r="G130" s="58" t="s">
        <v>415</v>
      </c>
      <c r="H130" s="59" t="s">
        <v>408</v>
      </c>
      <c r="I130" s="61">
        <v>0.1</v>
      </c>
      <c r="J130" s="59">
        <v>10.1</v>
      </c>
      <c r="K130" s="60">
        <v>8.1</v>
      </c>
      <c r="L130" s="59">
        <v>1.3</v>
      </c>
      <c r="M130" s="61">
        <v>0.5</v>
      </c>
      <c r="N130" s="58">
        <v>1.4</v>
      </c>
      <c r="O130" s="60">
        <v>1.2</v>
      </c>
      <c r="P130" s="56">
        <v>0.41</v>
      </c>
    </row>
    <row r="131" spans="1:16" ht="51">
      <c r="A131" s="56">
        <v>115</v>
      </c>
      <c r="B131" s="56" t="s">
        <v>813</v>
      </c>
      <c r="C131" s="56" t="s">
        <v>205</v>
      </c>
      <c r="D131" s="56" t="s">
        <v>233</v>
      </c>
      <c r="E131" s="56">
        <v>80</v>
      </c>
      <c r="F131" s="56">
        <v>28</v>
      </c>
      <c r="G131" s="56" t="s">
        <v>416</v>
      </c>
      <c r="H131" s="56" t="s">
        <v>417</v>
      </c>
      <c r="I131" s="60">
        <v>2.2000000000000002</v>
      </c>
      <c r="J131" s="56">
        <v>11.5</v>
      </c>
      <c r="K131" s="59">
        <v>3.8</v>
      </c>
      <c r="L131" s="60">
        <v>4.7</v>
      </c>
      <c r="M131" s="56">
        <v>1.1000000000000001</v>
      </c>
      <c r="N131" s="59">
        <v>0.2</v>
      </c>
      <c r="O131" s="59">
        <v>2.1</v>
      </c>
      <c r="P131" s="56">
        <v>0.28999999999999998</v>
      </c>
    </row>
    <row r="132" spans="1:16" ht="51">
      <c r="A132" s="56">
        <v>116</v>
      </c>
      <c r="B132" s="56" t="s">
        <v>814</v>
      </c>
      <c r="C132" s="56" t="s">
        <v>220</v>
      </c>
      <c r="D132" s="56" t="s">
        <v>236</v>
      </c>
      <c r="E132" s="56">
        <v>72</v>
      </c>
      <c r="F132" s="56">
        <v>27</v>
      </c>
      <c r="G132" s="59" t="s">
        <v>418</v>
      </c>
      <c r="H132" s="58" t="s">
        <v>419</v>
      </c>
      <c r="I132" s="58">
        <v>3</v>
      </c>
      <c r="J132" s="56">
        <v>15.5</v>
      </c>
      <c r="K132" s="61">
        <v>2.2999999999999998</v>
      </c>
      <c r="L132" s="56">
        <v>2.4</v>
      </c>
      <c r="M132" s="61">
        <v>0.3</v>
      </c>
      <c r="N132" s="59">
        <v>0.2</v>
      </c>
      <c r="O132" s="60">
        <v>1.1000000000000001</v>
      </c>
      <c r="P132" s="56">
        <v>0.25</v>
      </c>
    </row>
    <row r="133" spans="1:16" ht="51">
      <c r="A133" s="56">
        <v>117</v>
      </c>
      <c r="B133" s="56" t="s">
        <v>815</v>
      </c>
      <c r="C133" s="56" t="s">
        <v>358</v>
      </c>
      <c r="D133" s="56" t="s">
        <v>217</v>
      </c>
      <c r="E133" s="56">
        <v>76</v>
      </c>
      <c r="F133" s="56">
        <v>28</v>
      </c>
      <c r="G133" s="56" t="s">
        <v>420</v>
      </c>
      <c r="H133" s="56" t="s">
        <v>421</v>
      </c>
      <c r="I133" s="60">
        <v>2.2999999999999998</v>
      </c>
      <c r="J133" s="56">
        <v>14.1</v>
      </c>
      <c r="K133" s="59">
        <v>4</v>
      </c>
      <c r="L133" s="56">
        <v>2.2000000000000002</v>
      </c>
      <c r="M133" s="56">
        <v>1</v>
      </c>
      <c r="N133" s="59">
        <v>0.3</v>
      </c>
      <c r="O133" s="56">
        <v>1.8</v>
      </c>
      <c r="P133" s="56">
        <v>0.24</v>
      </c>
    </row>
    <row r="134" spans="1:16" ht="34">
      <c r="A134" s="56">
        <v>118</v>
      </c>
      <c r="B134" s="56" t="s">
        <v>816</v>
      </c>
      <c r="C134" s="56" t="s">
        <v>220</v>
      </c>
      <c r="D134" s="56" t="s">
        <v>244</v>
      </c>
      <c r="E134" s="56">
        <v>76</v>
      </c>
      <c r="F134" s="56">
        <v>29</v>
      </c>
      <c r="G134" s="59" t="s">
        <v>422</v>
      </c>
      <c r="H134" s="56" t="s">
        <v>423</v>
      </c>
      <c r="I134" s="60">
        <v>2.4</v>
      </c>
      <c r="J134" s="56">
        <v>13.8</v>
      </c>
      <c r="K134" s="59">
        <v>3.7</v>
      </c>
      <c r="L134" s="56">
        <v>3.2</v>
      </c>
      <c r="M134" s="56">
        <v>1.1000000000000001</v>
      </c>
      <c r="N134" s="59">
        <v>0.3</v>
      </c>
      <c r="O134" s="56">
        <v>1.6</v>
      </c>
      <c r="P134" s="56">
        <v>0.2</v>
      </c>
    </row>
    <row r="135" spans="1:16" ht="34">
      <c r="A135" s="56">
        <v>119</v>
      </c>
      <c r="B135" s="56" t="s">
        <v>817</v>
      </c>
      <c r="C135" s="56" t="s">
        <v>208</v>
      </c>
      <c r="D135" s="56" t="s">
        <v>264</v>
      </c>
      <c r="E135" s="56">
        <v>68</v>
      </c>
      <c r="F135" s="56">
        <v>28</v>
      </c>
      <c r="G135" s="56" t="s">
        <v>424</v>
      </c>
      <c r="H135" s="59" t="s">
        <v>425</v>
      </c>
      <c r="I135" s="61">
        <v>0.1</v>
      </c>
      <c r="J135" s="56">
        <v>13</v>
      </c>
      <c r="K135" s="56">
        <v>6.3</v>
      </c>
      <c r="L135" s="60">
        <v>4</v>
      </c>
      <c r="M135" s="60">
        <v>1.4</v>
      </c>
      <c r="N135" s="56">
        <v>0.5</v>
      </c>
      <c r="O135" s="59">
        <v>2.2000000000000002</v>
      </c>
      <c r="P135" s="56">
        <v>0.17</v>
      </c>
    </row>
    <row r="136" spans="1:16" ht="68">
      <c r="A136" s="56">
        <v>120</v>
      </c>
      <c r="B136" s="56" t="s">
        <v>818</v>
      </c>
      <c r="C136" s="56" t="s">
        <v>267</v>
      </c>
      <c r="D136" s="56" t="s">
        <v>308</v>
      </c>
      <c r="E136" s="56">
        <v>70</v>
      </c>
      <c r="F136" s="56">
        <v>22</v>
      </c>
      <c r="G136" s="60" t="s">
        <v>428</v>
      </c>
      <c r="H136" s="59" t="s">
        <v>429</v>
      </c>
      <c r="I136" s="61">
        <v>0.2</v>
      </c>
      <c r="J136" s="59">
        <v>10.6</v>
      </c>
      <c r="K136" s="56">
        <v>6</v>
      </c>
      <c r="L136" s="59">
        <v>1.4</v>
      </c>
      <c r="M136" s="59">
        <v>0.7</v>
      </c>
      <c r="N136" s="58">
        <v>1.5</v>
      </c>
      <c r="O136" s="60">
        <v>0.9</v>
      </c>
      <c r="P136" s="56">
        <v>0.14000000000000001</v>
      </c>
    </row>
    <row r="137" spans="1:16" ht="17">
      <c r="A137" s="62" t="s">
        <v>160</v>
      </c>
      <c r="B137" s="62" t="s">
        <v>161</v>
      </c>
      <c r="C137" s="62" t="s">
        <v>175</v>
      </c>
      <c r="D137" s="62" t="s">
        <v>176</v>
      </c>
      <c r="E137" s="62" t="s">
        <v>690</v>
      </c>
      <c r="F137" s="62" t="s">
        <v>177</v>
      </c>
      <c r="G137" s="62" t="s">
        <v>3</v>
      </c>
      <c r="H137" s="62" t="s">
        <v>4</v>
      </c>
      <c r="I137" s="62" t="s">
        <v>5</v>
      </c>
      <c r="J137" s="62" t="s">
        <v>11</v>
      </c>
      <c r="K137" s="62" t="s">
        <v>162</v>
      </c>
      <c r="L137" s="62" t="s">
        <v>7</v>
      </c>
      <c r="M137" s="62" t="s">
        <v>8</v>
      </c>
      <c r="N137" s="62" t="s">
        <v>9</v>
      </c>
      <c r="O137" s="62" t="s">
        <v>10</v>
      </c>
      <c r="P137" s="62" t="s">
        <v>178</v>
      </c>
    </row>
    <row r="138" spans="1:16" ht="34">
      <c r="A138" s="56">
        <v>121</v>
      </c>
      <c r="B138" s="56" t="s">
        <v>819</v>
      </c>
      <c r="C138" s="56" t="s">
        <v>190</v>
      </c>
      <c r="D138" s="56" t="s">
        <v>260</v>
      </c>
      <c r="E138" s="56">
        <v>74</v>
      </c>
      <c r="F138" s="56">
        <v>26</v>
      </c>
      <c r="G138" s="58" t="s">
        <v>426</v>
      </c>
      <c r="H138" s="59" t="s">
        <v>427</v>
      </c>
      <c r="I138" s="61">
        <v>0.5</v>
      </c>
      <c r="J138" s="59">
        <v>11.3</v>
      </c>
      <c r="K138" s="56">
        <v>5.8</v>
      </c>
      <c r="L138" s="56">
        <v>2.2000000000000002</v>
      </c>
      <c r="M138" s="60">
        <v>1.3</v>
      </c>
      <c r="N138" s="59">
        <v>0.4</v>
      </c>
      <c r="O138" s="60">
        <v>1.3</v>
      </c>
      <c r="P138" s="56">
        <v>0.14000000000000001</v>
      </c>
    </row>
    <row r="139" spans="1:16" ht="68">
      <c r="A139" s="56">
        <v>122</v>
      </c>
      <c r="B139" s="56" t="s">
        <v>820</v>
      </c>
      <c r="C139" s="56" t="s">
        <v>190</v>
      </c>
      <c r="D139" s="56" t="s">
        <v>198</v>
      </c>
      <c r="E139" s="56">
        <v>76</v>
      </c>
      <c r="F139" s="56">
        <v>29</v>
      </c>
      <c r="G139" s="60" t="s">
        <v>430</v>
      </c>
      <c r="H139" s="59" t="s">
        <v>431</v>
      </c>
      <c r="I139" s="56">
        <v>1.3</v>
      </c>
      <c r="J139" s="56">
        <v>12.7</v>
      </c>
      <c r="K139" s="56">
        <v>4.8</v>
      </c>
      <c r="L139" s="59">
        <v>0.9</v>
      </c>
      <c r="M139" s="59">
        <v>0.7</v>
      </c>
      <c r="N139" s="60">
        <v>1.2</v>
      </c>
      <c r="O139" s="58">
        <v>0.7</v>
      </c>
      <c r="P139" s="56">
        <v>0.09</v>
      </c>
    </row>
    <row r="140" spans="1:16" ht="34">
      <c r="A140" s="56">
        <v>123</v>
      </c>
      <c r="B140" s="56" t="s">
        <v>821</v>
      </c>
      <c r="C140" s="56" t="s">
        <v>267</v>
      </c>
      <c r="D140" s="56" t="s">
        <v>284</v>
      </c>
      <c r="E140" s="56">
        <v>70</v>
      </c>
      <c r="F140" s="56">
        <v>25</v>
      </c>
      <c r="G140" s="56" t="s">
        <v>432</v>
      </c>
      <c r="H140" s="56" t="s">
        <v>410</v>
      </c>
      <c r="I140" s="56">
        <v>1.4</v>
      </c>
      <c r="J140" s="59">
        <v>8.6</v>
      </c>
      <c r="K140" s="56">
        <v>5.8</v>
      </c>
      <c r="L140" s="59">
        <v>1.2</v>
      </c>
      <c r="M140" s="59">
        <v>0.6</v>
      </c>
      <c r="N140" s="58">
        <v>1.4</v>
      </c>
      <c r="O140" s="60">
        <v>0.9</v>
      </c>
      <c r="P140" s="56">
        <v>0.09</v>
      </c>
    </row>
    <row r="141" spans="1:16" ht="68">
      <c r="A141" s="56">
        <v>124</v>
      </c>
      <c r="B141" s="56" t="s">
        <v>822</v>
      </c>
      <c r="C141" s="56" t="s">
        <v>205</v>
      </c>
      <c r="D141" s="56" t="s">
        <v>273</v>
      </c>
      <c r="E141" s="56">
        <v>74</v>
      </c>
      <c r="F141" s="56">
        <v>27</v>
      </c>
      <c r="G141" s="59" t="s">
        <v>433</v>
      </c>
      <c r="H141" s="60" t="s">
        <v>345</v>
      </c>
      <c r="I141" s="60">
        <v>1.9</v>
      </c>
      <c r="J141" s="56">
        <v>13.6</v>
      </c>
      <c r="K141" s="59">
        <v>3.6</v>
      </c>
      <c r="L141" s="60">
        <v>3.9</v>
      </c>
      <c r="M141" s="56">
        <v>1</v>
      </c>
      <c r="N141" s="59">
        <v>0.2</v>
      </c>
      <c r="O141" s="56">
        <v>1.7</v>
      </c>
      <c r="P141" s="56">
        <v>0.03</v>
      </c>
    </row>
    <row r="142" spans="1:16" ht="51">
      <c r="A142" s="56">
        <v>125</v>
      </c>
      <c r="B142" s="56" t="s">
        <v>823</v>
      </c>
      <c r="C142" s="56" t="s">
        <v>183</v>
      </c>
      <c r="D142" s="56" t="s">
        <v>260</v>
      </c>
      <c r="E142" s="56">
        <v>76</v>
      </c>
      <c r="F142" s="56">
        <v>27</v>
      </c>
      <c r="G142" s="56" t="s">
        <v>434</v>
      </c>
      <c r="H142" s="56" t="s">
        <v>382</v>
      </c>
      <c r="I142" s="59">
        <v>0.8</v>
      </c>
      <c r="J142" s="59">
        <v>11.4</v>
      </c>
      <c r="K142" s="59">
        <v>3.7</v>
      </c>
      <c r="L142" s="60">
        <v>5.3</v>
      </c>
      <c r="M142" s="56">
        <v>1</v>
      </c>
      <c r="N142" s="59">
        <v>0.2</v>
      </c>
      <c r="O142" s="56">
        <v>1.5</v>
      </c>
      <c r="P142" s="56">
        <v>0.01</v>
      </c>
    </row>
    <row r="143" spans="1:16" ht="51">
      <c r="A143" s="56">
        <v>126</v>
      </c>
      <c r="B143" s="56" t="s">
        <v>824</v>
      </c>
      <c r="C143" s="56" t="s">
        <v>205</v>
      </c>
      <c r="D143" s="56" t="s">
        <v>233</v>
      </c>
      <c r="E143" s="56">
        <v>78</v>
      </c>
      <c r="F143" s="56">
        <v>30</v>
      </c>
      <c r="G143" s="60" t="s">
        <v>435</v>
      </c>
      <c r="H143" s="56" t="s">
        <v>395</v>
      </c>
      <c r="I143" s="60">
        <v>2</v>
      </c>
      <c r="J143" s="56">
        <v>15.7</v>
      </c>
      <c r="K143" s="59">
        <v>4.0999999999999996</v>
      </c>
      <c r="L143" s="59">
        <v>2</v>
      </c>
      <c r="M143" s="56">
        <v>0.8</v>
      </c>
      <c r="N143" s="61">
        <v>0</v>
      </c>
      <c r="O143" s="56">
        <v>1.6</v>
      </c>
      <c r="P143" s="56">
        <v>-0.01</v>
      </c>
    </row>
    <row r="144" spans="1:16" ht="51">
      <c r="A144" s="56">
        <v>127</v>
      </c>
      <c r="B144" s="56" t="s">
        <v>825</v>
      </c>
      <c r="C144" s="56" t="s">
        <v>183</v>
      </c>
      <c r="D144" s="56" t="s">
        <v>204</v>
      </c>
      <c r="E144" s="56">
        <v>75</v>
      </c>
      <c r="F144" s="56">
        <v>30</v>
      </c>
      <c r="G144" s="59" t="s">
        <v>437</v>
      </c>
      <c r="H144" s="56" t="s">
        <v>438</v>
      </c>
      <c r="I144" s="56">
        <v>1.6</v>
      </c>
      <c r="J144" s="59">
        <v>8.8000000000000007</v>
      </c>
      <c r="K144" s="59">
        <v>4.0999999999999996</v>
      </c>
      <c r="L144" s="60">
        <v>4.3</v>
      </c>
      <c r="M144" s="56">
        <v>1</v>
      </c>
      <c r="N144" s="56">
        <v>0.7</v>
      </c>
      <c r="O144" s="60">
        <v>1.2</v>
      </c>
      <c r="P144" s="56">
        <v>-0.01</v>
      </c>
    </row>
    <row r="145" spans="1:16" ht="51">
      <c r="A145" s="56">
        <v>128</v>
      </c>
      <c r="B145" s="56" t="s">
        <v>826</v>
      </c>
      <c r="C145" s="56" t="s">
        <v>205</v>
      </c>
      <c r="D145" s="56" t="s">
        <v>217</v>
      </c>
      <c r="E145" s="56">
        <v>76</v>
      </c>
      <c r="F145" s="56">
        <v>30</v>
      </c>
      <c r="G145" s="60" t="s">
        <v>436</v>
      </c>
      <c r="H145" s="56" t="s">
        <v>356</v>
      </c>
      <c r="I145" s="60">
        <v>2.5</v>
      </c>
      <c r="J145" s="56">
        <v>14.2</v>
      </c>
      <c r="K145" s="59">
        <v>4</v>
      </c>
      <c r="L145" s="56">
        <v>2.5</v>
      </c>
      <c r="M145" s="59">
        <v>0.5</v>
      </c>
      <c r="N145" s="59">
        <v>0.2</v>
      </c>
      <c r="O145" s="56">
        <v>1.6</v>
      </c>
      <c r="P145" s="56">
        <v>-0.04</v>
      </c>
    </row>
    <row r="146" spans="1:16" ht="34">
      <c r="A146" s="56">
        <v>129</v>
      </c>
      <c r="B146" s="56" t="s">
        <v>827</v>
      </c>
      <c r="C146" s="56" t="s">
        <v>205</v>
      </c>
      <c r="D146" s="56" t="s">
        <v>209</v>
      </c>
      <c r="E146" s="56">
        <v>70</v>
      </c>
      <c r="F146" s="56">
        <v>28</v>
      </c>
      <c r="G146" s="59" t="s">
        <v>440</v>
      </c>
      <c r="H146" s="59" t="s">
        <v>441</v>
      </c>
      <c r="I146" s="56">
        <v>1.7</v>
      </c>
      <c r="J146" s="56">
        <v>13.3</v>
      </c>
      <c r="K146" s="59">
        <v>4.3</v>
      </c>
      <c r="L146" s="56">
        <v>2.5</v>
      </c>
      <c r="M146" s="60">
        <v>1.4</v>
      </c>
      <c r="N146" s="56">
        <v>0.7</v>
      </c>
      <c r="O146" s="59">
        <v>1.9</v>
      </c>
      <c r="P146" s="56">
        <v>-0.06</v>
      </c>
    </row>
    <row r="147" spans="1:16" ht="34">
      <c r="A147" s="56">
        <v>130</v>
      </c>
      <c r="B147" s="56" t="s">
        <v>828</v>
      </c>
      <c r="C147" s="56" t="s">
        <v>208</v>
      </c>
      <c r="D147" s="56" t="s">
        <v>224</v>
      </c>
      <c r="E147" s="56">
        <v>78</v>
      </c>
      <c r="F147" s="56">
        <v>28</v>
      </c>
      <c r="G147" s="56" t="s">
        <v>398</v>
      </c>
      <c r="H147" s="60" t="s">
        <v>439</v>
      </c>
      <c r="I147" s="56">
        <v>1.7</v>
      </c>
      <c r="J147" s="56">
        <v>12.2</v>
      </c>
      <c r="K147" s="59">
        <v>2.6</v>
      </c>
      <c r="L147" s="58">
        <v>5.6</v>
      </c>
      <c r="M147" s="59">
        <v>0.6</v>
      </c>
      <c r="N147" s="61">
        <v>0</v>
      </c>
      <c r="O147" s="56">
        <v>1.6</v>
      </c>
      <c r="P147" s="56">
        <v>-0.08</v>
      </c>
    </row>
    <row r="148" spans="1:16" ht="51">
      <c r="A148" s="56">
        <v>131</v>
      </c>
      <c r="B148" s="56" t="s">
        <v>829</v>
      </c>
      <c r="C148" s="56" t="s">
        <v>358</v>
      </c>
      <c r="D148" s="56" t="s">
        <v>254</v>
      </c>
      <c r="E148" s="56">
        <v>72</v>
      </c>
      <c r="F148" s="56">
        <v>32</v>
      </c>
      <c r="G148" s="59" t="s">
        <v>830</v>
      </c>
      <c r="H148" s="59" t="s">
        <v>831</v>
      </c>
      <c r="I148" s="60">
        <v>2.2000000000000002</v>
      </c>
      <c r="J148" s="60">
        <v>17.5</v>
      </c>
      <c r="K148" s="56">
        <v>5.7</v>
      </c>
      <c r="L148" s="60">
        <v>3.6</v>
      </c>
      <c r="M148" s="56">
        <v>0.8</v>
      </c>
      <c r="N148" s="59">
        <v>0.3</v>
      </c>
      <c r="O148" s="59">
        <v>2.1</v>
      </c>
      <c r="P148" s="56">
        <v>-0.12</v>
      </c>
    </row>
    <row r="149" spans="1:16" ht="68">
      <c r="A149" s="56">
        <v>132</v>
      </c>
      <c r="B149" s="56" t="s">
        <v>832</v>
      </c>
      <c r="C149" s="56" t="s">
        <v>205</v>
      </c>
      <c r="D149" s="56" t="s">
        <v>308</v>
      </c>
      <c r="E149" s="56">
        <v>70</v>
      </c>
      <c r="F149" s="56">
        <v>26</v>
      </c>
      <c r="G149" s="60" t="s">
        <v>442</v>
      </c>
      <c r="H149" s="59" t="s">
        <v>443</v>
      </c>
      <c r="I149" s="61">
        <v>0.2</v>
      </c>
      <c r="J149" s="59">
        <v>7.5</v>
      </c>
      <c r="K149" s="56">
        <v>5.3</v>
      </c>
      <c r="L149" s="56">
        <v>2.7</v>
      </c>
      <c r="M149" s="60">
        <v>1.1000000000000001</v>
      </c>
      <c r="N149" s="56">
        <v>0.8</v>
      </c>
      <c r="O149" s="60">
        <v>1.1000000000000001</v>
      </c>
      <c r="P149" s="56">
        <v>-0.21</v>
      </c>
    </row>
    <row r="150" spans="1:16" ht="17">
      <c r="A150" s="62" t="s">
        <v>160</v>
      </c>
      <c r="B150" s="62" t="s">
        <v>161</v>
      </c>
      <c r="C150" s="62" t="s">
        <v>175</v>
      </c>
      <c r="D150" s="62" t="s">
        <v>176</v>
      </c>
      <c r="E150" s="62" t="s">
        <v>690</v>
      </c>
      <c r="F150" s="62" t="s">
        <v>177</v>
      </c>
      <c r="G150" s="62" t="s">
        <v>3</v>
      </c>
      <c r="H150" s="62" t="s">
        <v>4</v>
      </c>
      <c r="I150" s="62" t="s">
        <v>5</v>
      </c>
      <c r="J150" s="62" t="s">
        <v>11</v>
      </c>
      <c r="K150" s="62" t="s">
        <v>162</v>
      </c>
      <c r="L150" s="62" t="s">
        <v>7</v>
      </c>
      <c r="M150" s="62" t="s">
        <v>8</v>
      </c>
      <c r="N150" s="62" t="s">
        <v>9</v>
      </c>
      <c r="O150" s="62" t="s">
        <v>10</v>
      </c>
      <c r="P150" s="62" t="s">
        <v>178</v>
      </c>
    </row>
    <row r="151" spans="1:16" ht="34">
      <c r="A151" s="56">
        <v>133</v>
      </c>
      <c r="B151" s="56" t="s">
        <v>833</v>
      </c>
      <c r="C151" s="56" t="s">
        <v>205</v>
      </c>
      <c r="D151" s="56" t="s">
        <v>224</v>
      </c>
      <c r="E151" s="56">
        <v>78</v>
      </c>
      <c r="F151" s="56">
        <v>31</v>
      </c>
      <c r="G151" s="59" t="s">
        <v>444</v>
      </c>
      <c r="H151" s="56" t="s">
        <v>421</v>
      </c>
      <c r="I151" s="60">
        <v>2</v>
      </c>
      <c r="J151" s="56">
        <v>15.8</v>
      </c>
      <c r="K151" s="59">
        <v>3.3</v>
      </c>
      <c r="L151" s="60">
        <v>3.7</v>
      </c>
      <c r="M151" s="56">
        <v>0.9</v>
      </c>
      <c r="N151" s="61">
        <v>0.1</v>
      </c>
      <c r="O151" s="56">
        <v>1.9</v>
      </c>
      <c r="P151" s="56">
        <v>-0.25</v>
      </c>
    </row>
    <row r="152" spans="1:16" ht="85">
      <c r="A152" s="56">
        <v>134</v>
      </c>
      <c r="B152" s="56" t="s">
        <v>834</v>
      </c>
      <c r="C152" s="56" t="s">
        <v>208</v>
      </c>
      <c r="D152" s="56" t="s">
        <v>288</v>
      </c>
      <c r="E152" s="56">
        <v>80</v>
      </c>
      <c r="F152" s="56">
        <v>33</v>
      </c>
      <c r="G152" s="59" t="s">
        <v>445</v>
      </c>
      <c r="H152" s="60" t="s">
        <v>446</v>
      </c>
      <c r="I152" s="56">
        <v>1.8</v>
      </c>
      <c r="J152" s="60">
        <v>18.5</v>
      </c>
      <c r="K152" s="59">
        <v>3.2</v>
      </c>
      <c r="L152" s="60">
        <v>4.2</v>
      </c>
      <c r="M152" s="59">
        <v>0.5</v>
      </c>
      <c r="N152" s="61">
        <v>0.1</v>
      </c>
      <c r="O152" s="59">
        <v>2.4</v>
      </c>
      <c r="P152" s="56">
        <v>-0.27</v>
      </c>
    </row>
    <row r="153" spans="1:16" ht="34">
      <c r="A153" s="56">
        <v>135</v>
      </c>
      <c r="B153" s="56" t="s">
        <v>835</v>
      </c>
      <c r="C153" s="56" t="s">
        <v>267</v>
      </c>
      <c r="D153" s="56" t="s">
        <v>212</v>
      </c>
      <c r="E153" s="56">
        <v>70</v>
      </c>
      <c r="F153" s="56">
        <v>31</v>
      </c>
      <c r="G153" s="59" t="s">
        <v>447</v>
      </c>
      <c r="H153" s="61" t="s">
        <v>448</v>
      </c>
      <c r="I153" s="56">
        <v>1.6</v>
      </c>
      <c r="J153" s="56">
        <v>13.9</v>
      </c>
      <c r="K153" s="56">
        <v>5.9</v>
      </c>
      <c r="L153" s="60">
        <v>4.7</v>
      </c>
      <c r="M153" s="60">
        <v>1.1000000000000001</v>
      </c>
      <c r="N153" s="59">
        <v>0.3</v>
      </c>
      <c r="O153" s="59">
        <v>2.2999999999999998</v>
      </c>
      <c r="P153" s="56">
        <v>-0.34</v>
      </c>
    </row>
    <row r="154" spans="1:16" ht="51">
      <c r="A154" s="56">
        <v>136</v>
      </c>
      <c r="B154" s="56" t="s">
        <v>836</v>
      </c>
      <c r="C154" s="56" t="s">
        <v>220</v>
      </c>
      <c r="D154" s="56" t="s">
        <v>184</v>
      </c>
      <c r="E154" s="56">
        <v>70</v>
      </c>
      <c r="F154" s="56">
        <v>30</v>
      </c>
      <c r="G154" s="59" t="s">
        <v>375</v>
      </c>
      <c r="H154" s="60" t="s">
        <v>421</v>
      </c>
      <c r="I154" s="58">
        <v>3.2</v>
      </c>
      <c r="J154" s="60">
        <v>16.2</v>
      </c>
      <c r="K154" s="61">
        <v>2.2000000000000002</v>
      </c>
      <c r="L154" s="59">
        <v>1.9</v>
      </c>
      <c r="M154" s="59">
        <v>0.6</v>
      </c>
      <c r="N154" s="59">
        <v>0.4</v>
      </c>
      <c r="O154" s="60">
        <v>1.2</v>
      </c>
      <c r="P154" s="56">
        <v>-0.36</v>
      </c>
    </row>
    <row r="155" spans="1:16" ht="51">
      <c r="A155" s="56">
        <v>137</v>
      </c>
      <c r="B155" s="56" t="s">
        <v>837</v>
      </c>
      <c r="C155" s="56" t="s">
        <v>208</v>
      </c>
      <c r="D155" s="56" t="s">
        <v>217</v>
      </c>
      <c r="E155" s="56">
        <v>72</v>
      </c>
      <c r="F155" s="56">
        <v>26</v>
      </c>
      <c r="G155" s="56" t="s">
        <v>335</v>
      </c>
      <c r="H155" s="60" t="s">
        <v>449</v>
      </c>
      <c r="I155" s="56">
        <v>1.8</v>
      </c>
      <c r="J155" s="56">
        <v>15.5</v>
      </c>
      <c r="K155" s="61">
        <v>2.4</v>
      </c>
      <c r="L155" s="60">
        <v>4.5</v>
      </c>
      <c r="M155" s="59">
        <v>0.6</v>
      </c>
      <c r="N155" s="59">
        <v>0.3</v>
      </c>
      <c r="O155" s="59">
        <v>2</v>
      </c>
      <c r="P155" s="56">
        <v>-0.41</v>
      </c>
    </row>
    <row r="156" spans="1:16" ht="51">
      <c r="A156" s="56">
        <v>138</v>
      </c>
      <c r="B156" s="56" t="s">
        <v>838</v>
      </c>
      <c r="C156" s="56" t="s">
        <v>205</v>
      </c>
      <c r="D156" s="56" t="s">
        <v>195</v>
      </c>
      <c r="E156" s="56">
        <v>70</v>
      </c>
      <c r="F156" s="56">
        <v>32</v>
      </c>
      <c r="G156" s="59" t="s">
        <v>450</v>
      </c>
      <c r="H156" s="59" t="s">
        <v>451</v>
      </c>
      <c r="I156" s="56">
        <v>1.5</v>
      </c>
      <c r="J156" s="60">
        <v>17.5</v>
      </c>
      <c r="K156" s="56">
        <v>4.5999999999999996</v>
      </c>
      <c r="L156" s="56">
        <v>2.4</v>
      </c>
      <c r="M156" s="56">
        <v>0.9</v>
      </c>
      <c r="N156" s="56">
        <v>0.7</v>
      </c>
      <c r="O156" s="56">
        <v>1.7</v>
      </c>
      <c r="P156" s="56">
        <v>-0.42</v>
      </c>
    </row>
    <row r="157" spans="1:16" ht="51">
      <c r="A157" s="56">
        <v>139</v>
      </c>
      <c r="B157" s="56" t="s">
        <v>839</v>
      </c>
      <c r="C157" s="56" t="s">
        <v>179</v>
      </c>
      <c r="D157" s="56" t="s">
        <v>257</v>
      </c>
      <c r="E157" s="56">
        <v>78</v>
      </c>
      <c r="F157" s="56">
        <v>16</v>
      </c>
      <c r="G157" s="60" t="s">
        <v>452</v>
      </c>
      <c r="H157" s="59" t="s">
        <v>453</v>
      </c>
      <c r="I157" s="61">
        <v>0</v>
      </c>
      <c r="J157" s="61">
        <v>6</v>
      </c>
      <c r="K157" s="56">
        <v>5.2</v>
      </c>
      <c r="L157" s="61">
        <v>0.7</v>
      </c>
      <c r="M157" s="56">
        <v>1.1000000000000001</v>
      </c>
      <c r="N157" s="58">
        <v>1.5</v>
      </c>
      <c r="O157" s="58">
        <v>0.7</v>
      </c>
      <c r="P157" s="56">
        <v>-0.44</v>
      </c>
    </row>
    <row r="158" spans="1:16" ht="51">
      <c r="A158" s="56">
        <v>140</v>
      </c>
      <c r="B158" s="56" t="s">
        <v>840</v>
      </c>
      <c r="C158" s="56" t="s">
        <v>190</v>
      </c>
      <c r="D158" s="56" t="s">
        <v>273</v>
      </c>
      <c r="E158" s="56">
        <v>74</v>
      </c>
      <c r="F158" s="56">
        <v>32</v>
      </c>
      <c r="G158" s="59" t="s">
        <v>454</v>
      </c>
      <c r="H158" s="60" t="s">
        <v>455</v>
      </c>
      <c r="I158" s="60">
        <v>2.4</v>
      </c>
      <c r="J158" s="60">
        <v>16.899999999999999</v>
      </c>
      <c r="K158" s="56">
        <v>4.7</v>
      </c>
      <c r="L158" s="59">
        <v>1.5</v>
      </c>
      <c r="M158" s="59">
        <v>0.6</v>
      </c>
      <c r="N158" s="59">
        <v>0.2</v>
      </c>
      <c r="O158" s="60">
        <v>1.3</v>
      </c>
      <c r="P158" s="56">
        <v>-0.49</v>
      </c>
    </row>
    <row r="159" spans="1:16" ht="68">
      <c r="A159" s="56">
        <v>141</v>
      </c>
      <c r="B159" s="56" t="s">
        <v>841</v>
      </c>
      <c r="C159" s="56" t="s">
        <v>358</v>
      </c>
      <c r="D159" s="56" t="s">
        <v>195</v>
      </c>
      <c r="E159" s="56">
        <v>72</v>
      </c>
      <c r="F159" s="56">
        <v>28</v>
      </c>
      <c r="G159" s="59" t="s">
        <v>456</v>
      </c>
      <c r="H159" s="59" t="s">
        <v>402</v>
      </c>
      <c r="I159" s="56">
        <v>1.5</v>
      </c>
      <c r="J159" s="56">
        <v>12.9</v>
      </c>
      <c r="K159" s="56">
        <v>5.0999999999999996</v>
      </c>
      <c r="L159" s="56">
        <v>3.2</v>
      </c>
      <c r="M159" s="60">
        <v>1.3</v>
      </c>
      <c r="N159" s="59">
        <v>0.3</v>
      </c>
      <c r="O159" s="56">
        <v>1.8</v>
      </c>
      <c r="P159" s="56">
        <v>-0.54</v>
      </c>
    </row>
    <row r="160" spans="1:16" ht="51">
      <c r="A160" s="56">
        <v>142</v>
      </c>
      <c r="B160" s="56" t="s">
        <v>842</v>
      </c>
      <c r="C160" s="56" t="s">
        <v>183</v>
      </c>
      <c r="D160" s="56" t="s">
        <v>239</v>
      </c>
      <c r="E160" s="56">
        <v>74</v>
      </c>
      <c r="F160" s="56">
        <v>26</v>
      </c>
      <c r="G160" s="59" t="s">
        <v>457</v>
      </c>
      <c r="H160" s="60" t="s">
        <v>458</v>
      </c>
      <c r="I160" s="60">
        <v>2.1</v>
      </c>
      <c r="J160" s="56">
        <v>15.1</v>
      </c>
      <c r="K160" s="61">
        <v>2.5</v>
      </c>
      <c r="L160" s="60">
        <v>4.0999999999999996</v>
      </c>
      <c r="M160" s="59">
        <v>0.7</v>
      </c>
      <c r="N160" s="61">
        <v>0.1</v>
      </c>
      <c r="O160" s="56">
        <v>1.7</v>
      </c>
      <c r="P160" s="56">
        <v>-0.55000000000000004</v>
      </c>
    </row>
    <row r="161" spans="1:16" ht="68">
      <c r="A161" s="56">
        <v>143</v>
      </c>
      <c r="B161" s="56" t="s">
        <v>843</v>
      </c>
      <c r="C161" s="56" t="s">
        <v>179</v>
      </c>
      <c r="D161" s="56" t="s">
        <v>230</v>
      </c>
      <c r="E161" s="56">
        <v>72</v>
      </c>
      <c r="F161" s="56">
        <v>28</v>
      </c>
      <c r="G161" s="56" t="s">
        <v>459</v>
      </c>
      <c r="H161" s="60" t="s">
        <v>460</v>
      </c>
      <c r="I161" s="56">
        <v>1.8</v>
      </c>
      <c r="J161" s="56">
        <v>12.6</v>
      </c>
      <c r="K161" s="60">
        <v>6.6</v>
      </c>
      <c r="L161" s="59">
        <v>1.9</v>
      </c>
      <c r="M161" s="59">
        <v>0.7</v>
      </c>
      <c r="N161" s="61">
        <v>0.1</v>
      </c>
      <c r="O161" s="56">
        <v>1.3</v>
      </c>
      <c r="P161" s="56">
        <v>-0.55000000000000004</v>
      </c>
    </row>
    <row r="162" spans="1:16" ht="17">
      <c r="A162" s="56">
        <v>144</v>
      </c>
      <c r="B162" s="56" t="s">
        <v>164</v>
      </c>
      <c r="C162" s="56" t="s">
        <v>190</v>
      </c>
      <c r="D162" s="56" t="s">
        <v>184</v>
      </c>
      <c r="E162" s="56">
        <v>80</v>
      </c>
      <c r="F162" s="56">
        <v>32</v>
      </c>
      <c r="G162" s="59" t="s">
        <v>462</v>
      </c>
      <c r="H162" s="56" t="s">
        <v>463</v>
      </c>
      <c r="I162" s="56">
        <v>1.8</v>
      </c>
      <c r="J162" s="59">
        <v>7.2</v>
      </c>
      <c r="K162" s="56">
        <v>5.8</v>
      </c>
      <c r="L162" s="59">
        <v>1.2</v>
      </c>
      <c r="M162" s="60">
        <v>1.5</v>
      </c>
      <c r="N162" s="56">
        <v>0.5</v>
      </c>
      <c r="O162" s="60">
        <v>0.7</v>
      </c>
      <c r="P162" s="56">
        <v>-0.55000000000000004</v>
      </c>
    </row>
    <row r="163" spans="1:16" ht="17">
      <c r="A163" s="62" t="s">
        <v>160</v>
      </c>
      <c r="B163" s="62" t="s">
        <v>161</v>
      </c>
      <c r="C163" s="62" t="s">
        <v>175</v>
      </c>
      <c r="D163" s="62" t="s">
        <v>176</v>
      </c>
      <c r="E163" s="62" t="s">
        <v>690</v>
      </c>
      <c r="F163" s="62" t="s">
        <v>177</v>
      </c>
      <c r="G163" s="62" t="s">
        <v>3</v>
      </c>
      <c r="H163" s="62" t="s">
        <v>4</v>
      </c>
      <c r="I163" s="62" t="s">
        <v>5</v>
      </c>
      <c r="J163" s="62" t="s">
        <v>11</v>
      </c>
      <c r="K163" s="62" t="s">
        <v>162</v>
      </c>
      <c r="L163" s="62" t="s">
        <v>7</v>
      </c>
      <c r="M163" s="62" t="s">
        <v>8</v>
      </c>
      <c r="N163" s="62" t="s">
        <v>9</v>
      </c>
      <c r="O163" s="62" t="s">
        <v>10</v>
      </c>
      <c r="P163" s="62" t="s">
        <v>178</v>
      </c>
    </row>
    <row r="164" spans="1:16" ht="51">
      <c r="A164" s="56">
        <v>145</v>
      </c>
      <c r="B164" s="56" t="s">
        <v>844</v>
      </c>
      <c r="C164" s="56" t="s">
        <v>205</v>
      </c>
      <c r="D164" s="56" t="s">
        <v>284</v>
      </c>
      <c r="E164" s="56">
        <v>66</v>
      </c>
      <c r="F164" s="56">
        <v>28</v>
      </c>
      <c r="G164" s="61" t="s">
        <v>461</v>
      </c>
      <c r="H164" s="58" t="s">
        <v>219</v>
      </c>
      <c r="I164" s="60">
        <v>2.2999999999999998</v>
      </c>
      <c r="J164" s="60">
        <v>16.899999999999999</v>
      </c>
      <c r="K164" s="59">
        <v>3.2</v>
      </c>
      <c r="L164" s="56">
        <v>2.2000000000000002</v>
      </c>
      <c r="M164" s="59">
        <v>0.7</v>
      </c>
      <c r="N164" s="61">
        <v>0.1</v>
      </c>
      <c r="O164" s="56">
        <v>1.4</v>
      </c>
      <c r="P164" s="56">
        <v>-0.55000000000000004</v>
      </c>
    </row>
    <row r="165" spans="1:16" ht="51">
      <c r="A165" s="56">
        <v>146</v>
      </c>
      <c r="B165" s="56" t="s">
        <v>845</v>
      </c>
      <c r="C165" s="56" t="s">
        <v>194</v>
      </c>
      <c r="D165" s="56" t="s">
        <v>204</v>
      </c>
      <c r="E165" s="56">
        <v>68</v>
      </c>
      <c r="F165" s="56">
        <v>23</v>
      </c>
      <c r="G165" s="60" t="s">
        <v>464</v>
      </c>
      <c r="H165" s="56" t="s">
        <v>465</v>
      </c>
      <c r="I165" s="61">
        <v>0</v>
      </c>
      <c r="J165" s="59">
        <v>10.1</v>
      </c>
      <c r="K165" s="60">
        <v>8.1999999999999993</v>
      </c>
      <c r="L165" s="59">
        <v>1.5</v>
      </c>
      <c r="M165" s="61">
        <v>0.4</v>
      </c>
      <c r="N165" s="60">
        <v>1</v>
      </c>
      <c r="O165" s="56">
        <v>1.6</v>
      </c>
      <c r="P165" s="56">
        <v>-0.56000000000000005</v>
      </c>
    </row>
    <row r="166" spans="1:16" ht="51">
      <c r="A166" s="56">
        <v>147</v>
      </c>
      <c r="B166" s="56" t="s">
        <v>846</v>
      </c>
      <c r="C166" s="56" t="s">
        <v>358</v>
      </c>
      <c r="D166" s="56" t="s">
        <v>244</v>
      </c>
      <c r="E166" s="56">
        <v>72</v>
      </c>
      <c r="F166" s="56">
        <v>30</v>
      </c>
      <c r="G166" s="56" t="s">
        <v>466</v>
      </c>
      <c r="H166" s="56" t="s">
        <v>243</v>
      </c>
      <c r="I166" s="56">
        <v>1.6</v>
      </c>
      <c r="J166" s="56">
        <v>12.1</v>
      </c>
      <c r="K166" s="56">
        <v>4.5999999999999996</v>
      </c>
      <c r="L166" s="56">
        <v>2.2000000000000002</v>
      </c>
      <c r="M166" s="60">
        <v>1.1000000000000001</v>
      </c>
      <c r="N166" s="59">
        <v>0.3</v>
      </c>
      <c r="O166" s="56">
        <v>1.3</v>
      </c>
      <c r="P166" s="56">
        <v>-0.6</v>
      </c>
    </row>
    <row r="167" spans="1:16" ht="34">
      <c r="A167" s="56">
        <v>148</v>
      </c>
      <c r="B167" s="56" t="s">
        <v>847</v>
      </c>
      <c r="C167" s="56" t="s">
        <v>179</v>
      </c>
      <c r="D167" s="56" t="s">
        <v>204</v>
      </c>
      <c r="E167" s="56">
        <v>68</v>
      </c>
      <c r="F167" s="56">
        <v>24</v>
      </c>
      <c r="G167" s="60" t="s">
        <v>467</v>
      </c>
      <c r="H167" s="56" t="s">
        <v>340</v>
      </c>
      <c r="I167" s="56">
        <v>1.3</v>
      </c>
      <c r="J167" s="59">
        <v>10.199999999999999</v>
      </c>
      <c r="K167" s="60">
        <v>7</v>
      </c>
      <c r="L167" s="59">
        <v>1</v>
      </c>
      <c r="M167" s="59">
        <v>0.8</v>
      </c>
      <c r="N167" s="56">
        <v>0.6</v>
      </c>
      <c r="O167" s="56">
        <v>1.5</v>
      </c>
      <c r="P167" s="56">
        <v>-0.63</v>
      </c>
    </row>
    <row r="168" spans="1:16" ht="51">
      <c r="A168" s="56">
        <v>149</v>
      </c>
      <c r="B168" s="56" t="s">
        <v>848</v>
      </c>
      <c r="C168" s="56" t="s">
        <v>194</v>
      </c>
      <c r="D168" s="56" t="s">
        <v>264</v>
      </c>
      <c r="E168" s="56">
        <v>70</v>
      </c>
      <c r="F168" s="56">
        <v>23</v>
      </c>
      <c r="G168" s="58" t="s">
        <v>281</v>
      </c>
      <c r="H168" s="61" t="s">
        <v>470</v>
      </c>
      <c r="I168" s="61">
        <v>0</v>
      </c>
      <c r="J168" s="59">
        <v>7.9</v>
      </c>
      <c r="K168" s="60">
        <v>8.3000000000000007</v>
      </c>
      <c r="L168" s="59">
        <v>1.8</v>
      </c>
      <c r="M168" s="59">
        <v>0.6</v>
      </c>
      <c r="N168" s="58">
        <v>1.3</v>
      </c>
      <c r="O168" s="60">
        <v>0.8</v>
      </c>
      <c r="P168" s="56">
        <v>-0.66</v>
      </c>
    </row>
    <row r="169" spans="1:16" ht="51">
      <c r="A169" s="56">
        <v>150</v>
      </c>
      <c r="B169" s="56" t="s">
        <v>849</v>
      </c>
      <c r="C169" s="56" t="s">
        <v>205</v>
      </c>
      <c r="D169" s="56" t="s">
        <v>236</v>
      </c>
      <c r="E169" s="56">
        <v>60</v>
      </c>
      <c r="F169" s="56">
        <v>31</v>
      </c>
      <c r="G169" s="60" t="s">
        <v>468</v>
      </c>
      <c r="H169" s="61" t="s">
        <v>469</v>
      </c>
      <c r="I169" s="61">
        <v>0.6</v>
      </c>
      <c r="J169" s="60">
        <v>17.399999999999999</v>
      </c>
      <c r="K169" s="56">
        <v>5.4</v>
      </c>
      <c r="L169" s="56">
        <v>3.3</v>
      </c>
      <c r="M169" s="56">
        <v>0.8</v>
      </c>
      <c r="N169" s="60">
        <v>0.9</v>
      </c>
      <c r="O169" s="59">
        <v>2.2999999999999998</v>
      </c>
      <c r="P169" s="56">
        <v>-0.67</v>
      </c>
    </row>
    <row r="170" spans="1:16" ht="17">
      <c r="A170" s="56">
        <v>151</v>
      </c>
      <c r="B170" s="56" t="s">
        <v>114</v>
      </c>
      <c r="C170" s="56" t="s">
        <v>205</v>
      </c>
      <c r="D170" s="56" t="s">
        <v>268</v>
      </c>
      <c r="E170" s="56">
        <v>68</v>
      </c>
      <c r="F170" s="56">
        <v>26</v>
      </c>
      <c r="G170" s="60" t="s">
        <v>471</v>
      </c>
      <c r="H170" s="56" t="s">
        <v>356</v>
      </c>
      <c r="I170" s="56">
        <v>1.6</v>
      </c>
      <c r="J170" s="56">
        <v>12.4</v>
      </c>
      <c r="K170" s="59">
        <v>3.5</v>
      </c>
      <c r="L170" s="56">
        <v>2.2000000000000002</v>
      </c>
      <c r="M170" s="56">
        <v>1</v>
      </c>
      <c r="N170" s="59">
        <v>0.3</v>
      </c>
      <c r="O170" s="56">
        <v>1.5</v>
      </c>
      <c r="P170" s="56">
        <v>-0.71</v>
      </c>
    </row>
    <row r="171" spans="1:16" ht="17">
      <c r="A171" s="56">
        <v>152</v>
      </c>
      <c r="B171" s="56" t="s">
        <v>165</v>
      </c>
      <c r="C171" s="56" t="s">
        <v>358</v>
      </c>
      <c r="D171" s="56" t="s">
        <v>204</v>
      </c>
      <c r="E171" s="56">
        <v>66</v>
      </c>
      <c r="F171" s="56">
        <v>26</v>
      </c>
      <c r="G171" s="56" t="s">
        <v>472</v>
      </c>
      <c r="H171" s="59" t="s">
        <v>473</v>
      </c>
      <c r="I171" s="59">
        <v>1</v>
      </c>
      <c r="J171" s="59">
        <v>9.3000000000000007</v>
      </c>
      <c r="K171" s="56">
        <v>5.0999999999999996</v>
      </c>
      <c r="L171" s="59">
        <v>1.4</v>
      </c>
      <c r="M171" s="56">
        <v>1</v>
      </c>
      <c r="N171" s="60">
        <v>0.9</v>
      </c>
      <c r="O171" s="60">
        <v>0.9</v>
      </c>
      <c r="P171" s="56">
        <v>-0.75</v>
      </c>
    </row>
    <row r="172" spans="1:16" ht="51">
      <c r="A172" s="56">
        <v>153</v>
      </c>
      <c r="B172" s="56" t="s">
        <v>850</v>
      </c>
      <c r="C172" s="56" t="s">
        <v>190</v>
      </c>
      <c r="D172" s="56" t="s">
        <v>180</v>
      </c>
      <c r="E172" s="56">
        <v>76</v>
      </c>
      <c r="F172" s="56">
        <v>29</v>
      </c>
      <c r="G172" s="56" t="s">
        <v>474</v>
      </c>
      <c r="H172" s="56" t="s">
        <v>475</v>
      </c>
      <c r="I172" s="56">
        <v>1.7</v>
      </c>
      <c r="J172" s="60">
        <v>17.3</v>
      </c>
      <c r="K172" s="56">
        <v>5.0999999999999996</v>
      </c>
      <c r="L172" s="56">
        <v>2.2999999999999998</v>
      </c>
      <c r="M172" s="59">
        <v>0.5</v>
      </c>
      <c r="N172" s="59">
        <v>0.4</v>
      </c>
      <c r="O172" s="56">
        <v>1.7</v>
      </c>
      <c r="P172" s="56">
        <v>-0.79</v>
      </c>
    </row>
    <row r="173" spans="1:16" ht="51">
      <c r="A173" s="56">
        <v>154</v>
      </c>
      <c r="B173" s="56" t="s">
        <v>851</v>
      </c>
      <c r="C173" s="56" t="s">
        <v>208</v>
      </c>
      <c r="D173" s="56" t="s">
        <v>239</v>
      </c>
      <c r="E173" s="56">
        <v>56</v>
      </c>
      <c r="F173" s="56">
        <v>26</v>
      </c>
      <c r="G173" s="59" t="s">
        <v>476</v>
      </c>
      <c r="H173" s="60" t="s">
        <v>477</v>
      </c>
      <c r="I173" s="59">
        <v>1.1000000000000001</v>
      </c>
      <c r="J173" s="56">
        <v>14.7</v>
      </c>
      <c r="K173" s="59">
        <v>2.7</v>
      </c>
      <c r="L173" s="60">
        <v>4.3</v>
      </c>
      <c r="M173" s="59">
        <v>0.6</v>
      </c>
      <c r="N173" s="59">
        <v>0.2</v>
      </c>
      <c r="O173" s="56">
        <v>1.5</v>
      </c>
      <c r="P173" s="56">
        <v>-0.81</v>
      </c>
    </row>
    <row r="174" spans="1:16" ht="51">
      <c r="A174" s="56">
        <v>155</v>
      </c>
      <c r="B174" s="56" t="s">
        <v>852</v>
      </c>
      <c r="C174" s="56" t="s">
        <v>220</v>
      </c>
      <c r="D174" s="56" t="s">
        <v>212</v>
      </c>
      <c r="E174" s="56">
        <v>74</v>
      </c>
      <c r="F174" s="56">
        <v>26</v>
      </c>
      <c r="G174" s="56" t="s">
        <v>853</v>
      </c>
      <c r="H174" s="60" t="s">
        <v>345</v>
      </c>
      <c r="I174" s="60">
        <v>1.9</v>
      </c>
      <c r="J174" s="56">
        <v>12.9</v>
      </c>
      <c r="K174" s="59">
        <v>3.5</v>
      </c>
      <c r="L174" s="59">
        <v>2</v>
      </c>
      <c r="M174" s="56">
        <v>0.8</v>
      </c>
      <c r="N174" s="59">
        <v>0.3</v>
      </c>
      <c r="O174" s="60">
        <v>1.2</v>
      </c>
      <c r="P174" s="56">
        <v>-0.81</v>
      </c>
    </row>
    <row r="175" spans="1:16" ht="68">
      <c r="A175" s="56">
        <v>156</v>
      </c>
      <c r="B175" s="56" t="s">
        <v>854</v>
      </c>
      <c r="C175" s="56" t="s">
        <v>183</v>
      </c>
      <c r="D175" s="56" t="s">
        <v>212</v>
      </c>
      <c r="E175" s="56">
        <v>68</v>
      </c>
      <c r="F175" s="56">
        <v>26</v>
      </c>
      <c r="G175" s="56" t="s">
        <v>855</v>
      </c>
      <c r="H175" s="56" t="s">
        <v>498</v>
      </c>
      <c r="I175" s="56">
        <v>1.6</v>
      </c>
      <c r="J175" s="56">
        <v>13.8</v>
      </c>
      <c r="K175" s="59">
        <v>3.1</v>
      </c>
      <c r="L175" s="60">
        <v>4.8</v>
      </c>
      <c r="M175" s="59">
        <v>0.8</v>
      </c>
      <c r="N175" s="61">
        <v>0.1</v>
      </c>
      <c r="O175" s="59">
        <v>1.9</v>
      </c>
      <c r="P175" s="56">
        <v>-0.84</v>
      </c>
    </row>
    <row r="176" spans="1:16" ht="17">
      <c r="A176" s="62" t="s">
        <v>160</v>
      </c>
      <c r="B176" s="62" t="s">
        <v>161</v>
      </c>
      <c r="C176" s="62" t="s">
        <v>175</v>
      </c>
      <c r="D176" s="62" t="s">
        <v>176</v>
      </c>
      <c r="E176" s="62" t="s">
        <v>690</v>
      </c>
      <c r="F176" s="62" t="s">
        <v>177</v>
      </c>
      <c r="G176" s="62" t="s">
        <v>3</v>
      </c>
      <c r="H176" s="62" t="s">
        <v>4</v>
      </c>
      <c r="I176" s="62" t="s">
        <v>5</v>
      </c>
      <c r="J176" s="62" t="s">
        <v>11</v>
      </c>
      <c r="K176" s="62" t="s">
        <v>162</v>
      </c>
      <c r="L176" s="62" t="s">
        <v>7</v>
      </c>
      <c r="M176" s="62" t="s">
        <v>8</v>
      </c>
      <c r="N176" s="62" t="s">
        <v>9</v>
      </c>
      <c r="O176" s="62" t="s">
        <v>10</v>
      </c>
      <c r="P176" s="62" t="s">
        <v>178</v>
      </c>
    </row>
    <row r="177" spans="1:16" ht="17">
      <c r="A177" s="56">
        <v>157</v>
      </c>
      <c r="B177" s="56" t="s">
        <v>115</v>
      </c>
      <c r="C177" s="56" t="s">
        <v>220</v>
      </c>
      <c r="D177" s="56" t="s">
        <v>184</v>
      </c>
      <c r="E177" s="56">
        <v>70</v>
      </c>
      <c r="F177" s="56">
        <v>28</v>
      </c>
      <c r="G177" s="56" t="s">
        <v>629</v>
      </c>
      <c r="H177" s="56" t="s">
        <v>630</v>
      </c>
      <c r="I177" s="60">
        <v>2.2000000000000002</v>
      </c>
      <c r="J177" s="56">
        <v>11.7</v>
      </c>
      <c r="K177" s="59">
        <v>4.5</v>
      </c>
      <c r="L177" s="59">
        <v>1.3</v>
      </c>
      <c r="M177" s="59">
        <v>0.6</v>
      </c>
      <c r="N177" s="59">
        <v>0.4</v>
      </c>
      <c r="O177" s="60">
        <v>1.1000000000000001</v>
      </c>
      <c r="P177" s="56">
        <v>-0.88</v>
      </c>
    </row>
    <row r="178" spans="1:16" ht="85">
      <c r="A178" s="56">
        <v>158</v>
      </c>
      <c r="B178" s="56" t="s">
        <v>856</v>
      </c>
      <c r="C178" s="56" t="s">
        <v>208</v>
      </c>
      <c r="D178" s="56" t="s">
        <v>288</v>
      </c>
      <c r="E178" s="56">
        <v>70</v>
      </c>
      <c r="F178" s="56">
        <v>30</v>
      </c>
      <c r="G178" s="56" t="s">
        <v>478</v>
      </c>
      <c r="H178" s="56" t="s">
        <v>479</v>
      </c>
      <c r="I178" s="60">
        <v>2.1</v>
      </c>
      <c r="J178" s="56">
        <v>15.1</v>
      </c>
      <c r="K178" s="59">
        <v>3.6</v>
      </c>
      <c r="L178" s="56">
        <v>2.9</v>
      </c>
      <c r="M178" s="59">
        <v>0.8</v>
      </c>
      <c r="N178" s="61">
        <v>0.1</v>
      </c>
      <c r="O178" s="59">
        <v>2.2999999999999998</v>
      </c>
      <c r="P178" s="56">
        <v>-0.92</v>
      </c>
    </row>
    <row r="179" spans="1:16" ht="17">
      <c r="A179" s="56">
        <v>159</v>
      </c>
      <c r="B179" s="56" t="s">
        <v>107</v>
      </c>
      <c r="C179" s="56" t="s">
        <v>190</v>
      </c>
      <c r="D179" s="56" t="s">
        <v>212</v>
      </c>
      <c r="E179" s="56">
        <v>70</v>
      </c>
      <c r="F179" s="56">
        <v>28</v>
      </c>
      <c r="G179" s="56" t="s">
        <v>480</v>
      </c>
      <c r="H179" s="59" t="s">
        <v>481</v>
      </c>
      <c r="I179" s="59">
        <v>1.3</v>
      </c>
      <c r="J179" s="59">
        <v>10.9</v>
      </c>
      <c r="K179" s="59">
        <v>4.4000000000000004</v>
      </c>
      <c r="L179" s="56">
        <v>3.5</v>
      </c>
      <c r="M179" s="59">
        <v>0.8</v>
      </c>
      <c r="N179" s="56">
        <v>0.7</v>
      </c>
      <c r="O179" s="56">
        <v>1.7</v>
      </c>
      <c r="P179" s="56">
        <v>-0.95</v>
      </c>
    </row>
    <row r="180" spans="1:16" ht="51">
      <c r="A180" s="56">
        <v>160</v>
      </c>
      <c r="B180" s="56" t="s">
        <v>857</v>
      </c>
      <c r="C180" s="56" t="s">
        <v>190</v>
      </c>
      <c r="D180" s="56" t="s">
        <v>339</v>
      </c>
      <c r="E180" s="56">
        <v>75</v>
      </c>
      <c r="F180" s="56">
        <v>25</v>
      </c>
      <c r="G180" s="59" t="s">
        <v>484</v>
      </c>
      <c r="H180" s="56" t="s">
        <v>485</v>
      </c>
      <c r="I180" s="56">
        <v>1.8</v>
      </c>
      <c r="J180" s="59">
        <v>9.5</v>
      </c>
      <c r="K180" s="56">
        <v>5</v>
      </c>
      <c r="L180" s="59">
        <v>1.1000000000000001</v>
      </c>
      <c r="M180" s="59">
        <v>0.8</v>
      </c>
      <c r="N180" s="56">
        <v>0.7</v>
      </c>
      <c r="O180" s="58">
        <v>0.5</v>
      </c>
      <c r="P180" s="56">
        <v>-0.96</v>
      </c>
    </row>
    <row r="181" spans="1:16" ht="51">
      <c r="A181" s="56">
        <v>161</v>
      </c>
      <c r="B181" s="56" t="s">
        <v>858</v>
      </c>
      <c r="C181" s="56" t="s">
        <v>190</v>
      </c>
      <c r="D181" s="56" t="s">
        <v>288</v>
      </c>
      <c r="E181" s="56">
        <v>76</v>
      </c>
      <c r="F181" s="56">
        <v>32</v>
      </c>
      <c r="G181" s="56" t="s">
        <v>418</v>
      </c>
      <c r="H181" s="56" t="s">
        <v>400</v>
      </c>
      <c r="I181" s="56">
        <v>1.8</v>
      </c>
      <c r="J181" s="56">
        <v>13.6</v>
      </c>
      <c r="K181" s="56">
        <v>4.9000000000000004</v>
      </c>
      <c r="L181" s="56">
        <v>2.7</v>
      </c>
      <c r="M181" s="59">
        <v>0.8</v>
      </c>
      <c r="N181" s="61">
        <v>0.1</v>
      </c>
      <c r="O181" s="56">
        <v>1.5</v>
      </c>
      <c r="P181" s="56">
        <v>-0.98</v>
      </c>
    </row>
    <row r="182" spans="1:16" ht="51">
      <c r="A182" s="56">
        <v>162</v>
      </c>
      <c r="B182" s="56" t="s">
        <v>859</v>
      </c>
      <c r="C182" s="56" t="s">
        <v>183</v>
      </c>
      <c r="D182" s="56" t="s">
        <v>284</v>
      </c>
      <c r="E182" s="56">
        <v>72</v>
      </c>
      <c r="F182" s="56">
        <v>28</v>
      </c>
      <c r="G182" s="56" t="s">
        <v>482</v>
      </c>
      <c r="H182" s="56" t="s">
        <v>483</v>
      </c>
      <c r="I182" s="60">
        <v>2.2999999999999998</v>
      </c>
      <c r="J182" s="56">
        <v>12.3</v>
      </c>
      <c r="K182" s="59">
        <v>2.6</v>
      </c>
      <c r="L182" s="59">
        <v>1.4</v>
      </c>
      <c r="M182" s="59">
        <v>0.7</v>
      </c>
      <c r="N182" s="59">
        <v>0.3</v>
      </c>
      <c r="O182" s="60">
        <v>1.2</v>
      </c>
      <c r="P182" s="56">
        <v>-0.98</v>
      </c>
    </row>
    <row r="183" spans="1:16" ht="51">
      <c r="A183" s="56">
        <v>163</v>
      </c>
      <c r="B183" s="56" t="s">
        <v>860</v>
      </c>
      <c r="C183" s="56" t="s">
        <v>205</v>
      </c>
      <c r="D183" s="56" t="s">
        <v>227</v>
      </c>
      <c r="E183" s="56">
        <v>72</v>
      </c>
      <c r="F183" s="56">
        <v>29</v>
      </c>
      <c r="G183" s="56" t="s">
        <v>486</v>
      </c>
      <c r="H183" s="61" t="s">
        <v>487</v>
      </c>
      <c r="I183" s="56">
        <v>1.5</v>
      </c>
      <c r="J183" s="56">
        <v>15.5</v>
      </c>
      <c r="K183" s="56">
        <v>4.9000000000000004</v>
      </c>
      <c r="L183" s="59">
        <v>1.6</v>
      </c>
      <c r="M183" s="56">
        <v>1</v>
      </c>
      <c r="N183" s="59">
        <v>0.5</v>
      </c>
      <c r="O183" s="56">
        <v>1.5</v>
      </c>
      <c r="P183" s="56">
        <v>-1.04</v>
      </c>
    </row>
    <row r="184" spans="1:16" ht="34">
      <c r="A184" s="56">
        <v>164</v>
      </c>
      <c r="B184" s="56" t="s">
        <v>861</v>
      </c>
      <c r="C184" s="56" t="s">
        <v>208</v>
      </c>
      <c r="D184" s="56" t="s">
        <v>308</v>
      </c>
      <c r="E184" s="56">
        <v>74</v>
      </c>
      <c r="F184" s="56">
        <v>24</v>
      </c>
      <c r="G184" s="56" t="s">
        <v>488</v>
      </c>
      <c r="H184" s="60" t="s">
        <v>413</v>
      </c>
      <c r="I184" s="59">
        <v>0.7</v>
      </c>
      <c r="J184" s="59">
        <v>8</v>
      </c>
      <c r="K184" s="61">
        <v>2.1</v>
      </c>
      <c r="L184" s="60">
        <v>5.0999999999999996</v>
      </c>
      <c r="M184" s="60">
        <v>1.3</v>
      </c>
      <c r="N184" s="61">
        <v>0.1</v>
      </c>
      <c r="O184" s="58">
        <v>0.7</v>
      </c>
      <c r="P184" s="56">
        <v>-1.0900000000000001</v>
      </c>
    </row>
    <row r="185" spans="1:16" ht="85">
      <c r="A185" s="56">
        <v>165</v>
      </c>
      <c r="B185" s="56" t="s">
        <v>862</v>
      </c>
      <c r="C185" s="56" t="s">
        <v>220</v>
      </c>
      <c r="D185" s="56" t="s">
        <v>339</v>
      </c>
      <c r="E185" s="56">
        <v>74</v>
      </c>
      <c r="F185" s="56">
        <v>25</v>
      </c>
      <c r="G185" s="61" t="s">
        <v>489</v>
      </c>
      <c r="H185" s="60" t="s">
        <v>490</v>
      </c>
      <c r="I185" s="60">
        <v>2.2999999999999998</v>
      </c>
      <c r="J185" s="56">
        <v>12.9</v>
      </c>
      <c r="K185" s="59">
        <v>2.7</v>
      </c>
      <c r="L185" s="56">
        <v>2.4</v>
      </c>
      <c r="M185" s="59">
        <v>0.7</v>
      </c>
      <c r="N185" s="59">
        <v>0.5</v>
      </c>
      <c r="O185" s="56">
        <v>1.7</v>
      </c>
      <c r="P185" s="56">
        <v>-1.1100000000000001</v>
      </c>
    </row>
    <row r="186" spans="1:16" ht="34">
      <c r="A186" s="56">
        <v>166</v>
      </c>
      <c r="B186" s="56" t="s">
        <v>863</v>
      </c>
      <c r="C186" s="56" t="s">
        <v>205</v>
      </c>
      <c r="D186" s="56" t="s">
        <v>191</v>
      </c>
      <c r="E186" s="56">
        <v>66</v>
      </c>
      <c r="F186" s="56">
        <v>28</v>
      </c>
      <c r="G186" s="59" t="s">
        <v>418</v>
      </c>
      <c r="H186" s="56" t="s">
        <v>345</v>
      </c>
      <c r="I186" s="60">
        <v>2.4</v>
      </c>
      <c r="J186" s="56">
        <v>14.1</v>
      </c>
      <c r="K186" s="61">
        <v>2.4</v>
      </c>
      <c r="L186" s="56">
        <v>2.2000000000000002</v>
      </c>
      <c r="M186" s="59">
        <v>0.7</v>
      </c>
      <c r="N186" s="59">
        <v>0.2</v>
      </c>
      <c r="O186" s="60">
        <v>1.2</v>
      </c>
      <c r="P186" s="56">
        <v>-1.1299999999999999</v>
      </c>
    </row>
    <row r="187" spans="1:16" ht="17">
      <c r="A187" s="56">
        <v>167</v>
      </c>
      <c r="B187" s="56" t="s">
        <v>119</v>
      </c>
      <c r="C187" s="56" t="s">
        <v>179</v>
      </c>
      <c r="D187" s="56" t="s">
        <v>227</v>
      </c>
      <c r="E187" s="56">
        <v>60</v>
      </c>
      <c r="F187" s="56">
        <v>22</v>
      </c>
      <c r="G187" s="60" t="s">
        <v>864</v>
      </c>
      <c r="H187" s="59" t="s">
        <v>865</v>
      </c>
      <c r="I187" s="59">
        <v>0.7</v>
      </c>
      <c r="J187" s="59">
        <v>9.4</v>
      </c>
      <c r="K187" s="56">
        <v>5.7</v>
      </c>
      <c r="L187" s="59">
        <v>1.7</v>
      </c>
      <c r="M187" s="61">
        <v>0.5</v>
      </c>
      <c r="N187" s="60">
        <v>1</v>
      </c>
      <c r="O187" s="60">
        <v>0.8</v>
      </c>
      <c r="P187" s="56">
        <v>-1.1499999999999999</v>
      </c>
    </row>
    <row r="188" spans="1:16" ht="68">
      <c r="A188" s="56">
        <v>168</v>
      </c>
      <c r="B188" s="56" t="s">
        <v>866</v>
      </c>
      <c r="C188" s="56" t="s">
        <v>358</v>
      </c>
      <c r="D188" s="56" t="s">
        <v>217</v>
      </c>
      <c r="E188" s="56">
        <v>76</v>
      </c>
      <c r="F188" s="56">
        <v>25</v>
      </c>
      <c r="G188" s="56" t="s">
        <v>491</v>
      </c>
      <c r="H188" s="56" t="s">
        <v>350</v>
      </c>
      <c r="I188" s="56">
        <v>1.3</v>
      </c>
      <c r="J188" s="56">
        <v>11.9</v>
      </c>
      <c r="K188" s="56">
        <v>4.8</v>
      </c>
      <c r="L188" s="59">
        <v>1</v>
      </c>
      <c r="M188" s="56">
        <v>0.9</v>
      </c>
      <c r="N188" s="56">
        <v>0.6</v>
      </c>
      <c r="O188" s="56">
        <v>1.4</v>
      </c>
      <c r="P188" s="56">
        <v>-1.17</v>
      </c>
    </row>
    <row r="189" spans="1:16" ht="17">
      <c r="A189" s="62" t="s">
        <v>160</v>
      </c>
      <c r="B189" s="62" t="s">
        <v>161</v>
      </c>
      <c r="C189" s="62" t="s">
        <v>175</v>
      </c>
      <c r="D189" s="62" t="s">
        <v>176</v>
      </c>
      <c r="E189" s="62" t="s">
        <v>690</v>
      </c>
      <c r="F189" s="62" t="s">
        <v>177</v>
      </c>
      <c r="G189" s="62" t="s">
        <v>3</v>
      </c>
      <c r="H189" s="62" t="s">
        <v>4</v>
      </c>
      <c r="I189" s="62" t="s">
        <v>5</v>
      </c>
      <c r="J189" s="62" t="s">
        <v>11</v>
      </c>
      <c r="K189" s="62" t="s">
        <v>162</v>
      </c>
      <c r="L189" s="62" t="s">
        <v>7</v>
      </c>
      <c r="M189" s="62" t="s">
        <v>8</v>
      </c>
      <c r="N189" s="62" t="s">
        <v>9</v>
      </c>
      <c r="O189" s="62" t="s">
        <v>10</v>
      </c>
      <c r="P189" s="62" t="s">
        <v>178</v>
      </c>
    </row>
    <row r="190" spans="1:16" ht="51">
      <c r="A190" s="56">
        <v>169</v>
      </c>
      <c r="B190" s="56" t="s">
        <v>867</v>
      </c>
      <c r="C190" s="56" t="s">
        <v>267</v>
      </c>
      <c r="D190" s="56" t="s">
        <v>221</v>
      </c>
      <c r="E190" s="56">
        <v>72</v>
      </c>
      <c r="F190" s="56">
        <v>30</v>
      </c>
      <c r="G190" s="56" t="s">
        <v>631</v>
      </c>
      <c r="H190" s="59" t="s">
        <v>632</v>
      </c>
      <c r="I190" s="61">
        <v>0.5</v>
      </c>
      <c r="J190" s="56">
        <v>13.7</v>
      </c>
      <c r="K190" s="56">
        <v>5.7</v>
      </c>
      <c r="L190" s="59">
        <v>1.7</v>
      </c>
      <c r="M190" s="56">
        <v>1</v>
      </c>
      <c r="N190" s="56">
        <v>0.7</v>
      </c>
      <c r="O190" s="56">
        <v>1.5</v>
      </c>
      <c r="P190" s="56">
        <v>-1.17</v>
      </c>
    </row>
    <row r="191" spans="1:16" ht="17">
      <c r="A191" s="56">
        <v>170</v>
      </c>
      <c r="B191" s="56" t="s">
        <v>166</v>
      </c>
      <c r="C191" s="56" t="s">
        <v>183</v>
      </c>
      <c r="D191" s="56" t="s">
        <v>187</v>
      </c>
      <c r="E191" s="56">
        <v>68</v>
      </c>
      <c r="F191" s="56">
        <v>28</v>
      </c>
      <c r="G191" s="61" t="s">
        <v>868</v>
      </c>
      <c r="H191" s="60" t="s">
        <v>283</v>
      </c>
      <c r="I191" s="56">
        <v>1.4</v>
      </c>
      <c r="J191" s="56">
        <v>12.1</v>
      </c>
      <c r="K191" s="56">
        <v>5.0999999999999996</v>
      </c>
      <c r="L191" s="56">
        <v>2.7</v>
      </c>
      <c r="M191" s="59">
        <v>0.8</v>
      </c>
      <c r="N191" s="59">
        <v>0.4</v>
      </c>
      <c r="O191" s="60">
        <v>1.3</v>
      </c>
      <c r="P191" s="56">
        <v>-1.2</v>
      </c>
    </row>
    <row r="192" spans="1:16" ht="34">
      <c r="A192" s="56">
        <v>171</v>
      </c>
      <c r="B192" s="56" t="s">
        <v>869</v>
      </c>
      <c r="C192" s="56" t="s">
        <v>220</v>
      </c>
      <c r="D192" s="56" t="s">
        <v>339</v>
      </c>
      <c r="E192" s="56">
        <v>60</v>
      </c>
      <c r="F192" s="56">
        <v>30</v>
      </c>
      <c r="G192" s="56" t="s">
        <v>624</v>
      </c>
      <c r="H192" s="59" t="s">
        <v>633</v>
      </c>
      <c r="I192" s="56">
        <v>1.6</v>
      </c>
      <c r="J192" s="60">
        <v>16.100000000000001</v>
      </c>
      <c r="K192" s="59">
        <v>3.8</v>
      </c>
      <c r="L192" s="59">
        <v>2</v>
      </c>
      <c r="M192" s="59">
        <v>0.7</v>
      </c>
      <c r="N192" s="59">
        <v>0.2</v>
      </c>
      <c r="O192" s="58">
        <v>0.7</v>
      </c>
      <c r="P192" s="56">
        <v>-1.21</v>
      </c>
    </row>
    <row r="193" spans="1:16" ht="68">
      <c r="A193" s="56">
        <v>172</v>
      </c>
      <c r="B193" s="56" t="s">
        <v>870</v>
      </c>
      <c r="C193" s="56" t="s">
        <v>208</v>
      </c>
      <c r="D193" s="56" t="s">
        <v>254</v>
      </c>
      <c r="E193" s="56">
        <v>70</v>
      </c>
      <c r="F193" s="56">
        <v>26</v>
      </c>
      <c r="G193" s="56" t="s">
        <v>492</v>
      </c>
      <c r="H193" s="59" t="s">
        <v>493</v>
      </c>
      <c r="I193" s="59">
        <v>0.7</v>
      </c>
      <c r="J193" s="59">
        <v>9.8000000000000007</v>
      </c>
      <c r="K193" s="59">
        <v>4.2</v>
      </c>
      <c r="L193" s="58">
        <v>6</v>
      </c>
      <c r="M193" s="56">
        <v>0.9</v>
      </c>
      <c r="N193" s="59">
        <v>0.4</v>
      </c>
      <c r="O193" s="59">
        <v>2.4</v>
      </c>
      <c r="P193" s="56">
        <v>-1.32</v>
      </c>
    </row>
    <row r="194" spans="1:16" ht="17">
      <c r="A194" s="56">
        <v>173</v>
      </c>
      <c r="B194" s="56" t="s">
        <v>113</v>
      </c>
      <c r="C194" s="56" t="s">
        <v>190</v>
      </c>
      <c r="D194" s="56" t="s">
        <v>254</v>
      </c>
      <c r="E194" s="56">
        <v>68</v>
      </c>
      <c r="F194" s="56">
        <v>26</v>
      </c>
      <c r="G194" s="59" t="s">
        <v>634</v>
      </c>
      <c r="H194" s="60" t="s">
        <v>345</v>
      </c>
      <c r="I194" s="56">
        <v>1.9</v>
      </c>
      <c r="J194" s="56">
        <v>12.8</v>
      </c>
      <c r="K194" s="56">
        <v>6</v>
      </c>
      <c r="L194" s="59">
        <v>1.5</v>
      </c>
      <c r="M194" s="59">
        <v>0.6</v>
      </c>
      <c r="N194" s="59">
        <v>0.3</v>
      </c>
      <c r="O194" s="60">
        <v>1.1000000000000001</v>
      </c>
      <c r="P194" s="56">
        <v>-1.47</v>
      </c>
    </row>
    <row r="195" spans="1:16" ht="51">
      <c r="A195" s="56">
        <v>174</v>
      </c>
      <c r="B195" s="56" t="s">
        <v>871</v>
      </c>
      <c r="C195" s="56" t="s">
        <v>205</v>
      </c>
      <c r="D195" s="56" t="s">
        <v>221</v>
      </c>
      <c r="E195" s="56">
        <v>68</v>
      </c>
      <c r="F195" s="56">
        <v>29</v>
      </c>
      <c r="G195" s="59" t="s">
        <v>494</v>
      </c>
      <c r="H195" s="59" t="s">
        <v>495</v>
      </c>
      <c r="I195" s="59">
        <v>0.9</v>
      </c>
      <c r="J195" s="56">
        <v>11.7</v>
      </c>
      <c r="K195" s="56">
        <v>6.2</v>
      </c>
      <c r="L195" s="56">
        <v>3.3</v>
      </c>
      <c r="M195" s="56">
        <v>0.9</v>
      </c>
      <c r="N195" s="59">
        <v>0.2</v>
      </c>
      <c r="O195" s="56">
        <v>1.3</v>
      </c>
      <c r="P195" s="56">
        <v>-1.49</v>
      </c>
    </row>
    <row r="196" spans="1:16" ht="17">
      <c r="A196" s="56">
        <v>175</v>
      </c>
      <c r="B196" s="56" t="s">
        <v>108</v>
      </c>
      <c r="C196" s="56" t="s">
        <v>205</v>
      </c>
      <c r="D196" s="56" t="s">
        <v>209</v>
      </c>
      <c r="E196" s="56">
        <v>72</v>
      </c>
      <c r="F196" s="56">
        <v>28</v>
      </c>
      <c r="G196" s="56" t="s">
        <v>271</v>
      </c>
      <c r="H196" s="60" t="s">
        <v>496</v>
      </c>
      <c r="I196" s="56">
        <v>1.3</v>
      </c>
      <c r="J196" s="56">
        <v>12.7</v>
      </c>
      <c r="K196" s="61">
        <v>2.2999999999999998</v>
      </c>
      <c r="L196" s="59">
        <v>2</v>
      </c>
      <c r="M196" s="56">
        <v>0.9</v>
      </c>
      <c r="N196" s="59">
        <v>0.2</v>
      </c>
      <c r="O196" s="60">
        <v>0.9</v>
      </c>
      <c r="P196" s="56">
        <v>-1.54</v>
      </c>
    </row>
    <row r="197" spans="1:16" ht="17">
      <c r="A197" s="56">
        <v>176</v>
      </c>
      <c r="B197" s="56" t="s">
        <v>118</v>
      </c>
      <c r="C197" s="56" t="s">
        <v>194</v>
      </c>
      <c r="D197" s="56" t="s">
        <v>284</v>
      </c>
      <c r="E197" s="56">
        <v>60</v>
      </c>
      <c r="F197" s="56">
        <v>14</v>
      </c>
      <c r="G197" s="58" t="s">
        <v>497</v>
      </c>
      <c r="H197" s="56" t="s">
        <v>498</v>
      </c>
      <c r="I197" s="61">
        <v>0.1</v>
      </c>
      <c r="J197" s="59">
        <v>9.3000000000000007</v>
      </c>
      <c r="K197" s="56">
        <v>5.8</v>
      </c>
      <c r="L197" s="59">
        <v>1.2</v>
      </c>
      <c r="M197" s="61">
        <v>0.3</v>
      </c>
      <c r="N197" s="56">
        <v>0.6</v>
      </c>
      <c r="O197" s="60">
        <v>1.3</v>
      </c>
      <c r="P197" s="56">
        <v>-1.6</v>
      </c>
    </row>
    <row r="198" spans="1:16" ht="68">
      <c r="A198" s="56">
        <v>177</v>
      </c>
      <c r="B198" s="56" t="s">
        <v>872</v>
      </c>
      <c r="C198" s="56" t="s">
        <v>208</v>
      </c>
      <c r="D198" s="56" t="s">
        <v>257</v>
      </c>
      <c r="E198" s="56">
        <v>76</v>
      </c>
      <c r="F198" s="56">
        <v>26</v>
      </c>
      <c r="G198" s="61" t="s">
        <v>499</v>
      </c>
      <c r="H198" s="60" t="s">
        <v>373</v>
      </c>
      <c r="I198" s="56">
        <v>1.5</v>
      </c>
      <c r="J198" s="56">
        <v>14.6</v>
      </c>
      <c r="K198" s="59">
        <v>3.4</v>
      </c>
      <c r="L198" s="60">
        <v>3.8</v>
      </c>
      <c r="M198" s="59">
        <v>0.7</v>
      </c>
      <c r="N198" s="59">
        <v>0.2</v>
      </c>
      <c r="O198" s="59">
        <v>2</v>
      </c>
      <c r="P198" s="56">
        <v>-1.61</v>
      </c>
    </row>
    <row r="199" spans="1:16" ht="51">
      <c r="A199" s="56">
        <v>178</v>
      </c>
      <c r="B199" s="56" t="s">
        <v>873</v>
      </c>
      <c r="C199" s="56" t="s">
        <v>208</v>
      </c>
      <c r="D199" s="56" t="s">
        <v>204</v>
      </c>
      <c r="E199" s="56">
        <v>78</v>
      </c>
      <c r="F199" s="56">
        <v>28</v>
      </c>
      <c r="G199" s="56" t="s">
        <v>500</v>
      </c>
      <c r="H199" s="56" t="s">
        <v>501</v>
      </c>
      <c r="I199" s="58">
        <v>2.8</v>
      </c>
      <c r="J199" s="56">
        <v>12.6</v>
      </c>
      <c r="K199" s="61">
        <v>2.2000000000000002</v>
      </c>
      <c r="L199" s="59">
        <v>1.9</v>
      </c>
      <c r="M199" s="59">
        <v>0.6</v>
      </c>
      <c r="N199" s="59">
        <v>0.1</v>
      </c>
      <c r="O199" s="60">
        <v>0.7</v>
      </c>
      <c r="P199" s="56">
        <v>-1.73</v>
      </c>
    </row>
    <row r="200" spans="1:16" ht="34">
      <c r="A200" s="56">
        <v>179</v>
      </c>
      <c r="B200" s="56" t="s">
        <v>874</v>
      </c>
      <c r="C200" s="56" t="s">
        <v>190</v>
      </c>
      <c r="D200" s="56" t="s">
        <v>268</v>
      </c>
      <c r="E200" s="56">
        <v>70</v>
      </c>
      <c r="F200" s="56">
        <v>28</v>
      </c>
      <c r="G200" s="56" t="s">
        <v>502</v>
      </c>
      <c r="H200" s="59" t="s">
        <v>503</v>
      </c>
      <c r="I200" s="56">
        <v>1.5</v>
      </c>
      <c r="J200" s="59">
        <v>11</v>
      </c>
      <c r="K200" s="59">
        <v>4.4000000000000004</v>
      </c>
      <c r="L200" s="59">
        <v>1</v>
      </c>
      <c r="M200" s="60">
        <v>1.2</v>
      </c>
      <c r="N200" s="59">
        <v>0.4</v>
      </c>
      <c r="O200" s="60">
        <v>1.1000000000000001</v>
      </c>
      <c r="P200" s="56">
        <v>-1.74</v>
      </c>
    </row>
    <row r="201" spans="1:16" ht="17">
      <c r="A201" s="56">
        <v>180</v>
      </c>
      <c r="B201" s="56" t="s">
        <v>105</v>
      </c>
      <c r="C201" s="56" t="s">
        <v>179</v>
      </c>
      <c r="D201" s="56" t="s">
        <v>198</v>
      </c>
      <c r="E201" s="56">
        <v>76</v>
      </c>
      <c r="F201" s="56">
        <v>20</v>
      </c>
      <c r="G201" s="58" t="s">
        <v>504</v>
      </c>
      <c r="H201" s="61" t="s">
        <v>505</v>
      </c>
      <c r="I201" s="61">
        <v>0</v>
      </c>
      <c r="J201" s="59">
        <v>7.8</v>
      </c>
      <c r="K201" s="56">
        <v>6.4</v>
      </c>
      <c r="L201" s="56">
        <v>3</v>
      </c>
      <c r="M201" s="59">
        <v>0.8</v>
      </c>
      <c r="N201" s="60">
        <v>0.9</v>
      </c>
      <c r="O201" s="56">
        <v>1.4</v>
      </c>
      <c r="P201" s="56">
        <v>-1.75</v>
      </c>
    </row>
    <row r="202" spans="1:16" ht="17">
      <c r="A202" s="62" t="s">
        <v>160</v>
      </c>
      <c r="B202" s="62" t="s">
        <v>161</v>
      </c>
      <c r="C202" s="62" t="s">
        <v>175</v>
      </c>
      <c r="D202" s="62" t="s">
        <v>176</v>
      </c>
      <c r="E202" s="62" t="s">
        <v>690</v>
      </c>
      <c r="F202" s="62" t="s">
        <v>177</v>
      </c>
      <c r="G202" s="62" t="s">
        <v>3</v>
      </c>
      <c r="H202" s="62" t="s">
        <v>4</v>
      </c>
      <c r="I202" s="62" t="s">
        <v>5</v>
      </c>
      <c r="J202" s="62" t="s">
        <v>11</v>
      </c>
      <c r="K202" s="62" t="s">
        <v>162</v>
      </c>
      <c r="L202" s="62" t="s">
        <v>7</v>
      </c>
      <c r="M202" s="62" t="s">
        <v>8</v>
      </c>
      <c r="N202" s="62" t="s">
        <v>9</v>
      </c>
      <c r="O202" s="62" t="s">
        <v>10</v>
      </c>
      <c r="P202" s="62" t="s">
        <v>178</v>
      </c>
    </row>
    <row r="203" spans="1:16" ht="68">
      <c r="A203" s="56">
        <v>181</v>
      </c>
      <c r="B203" s="56" t="s">
        <v>875</v>
      </c>
      <c r="C203" s="56" t="s">
        <v>183</v>
      </c>
      <c r="D203" s="56" t="s">
        <v>260</v>
      </c>
      <c r="E203" s="56">
        <v>65</v>
      </c>
      <c r="F203" s="56">
        <v>22</v>
      </c>
      <c r="G203" s="59" t="s">
        <v>508</v>
      </c>
      <c r="H203" s="56" t="s">
        <v>483</v>
      </c>
      <c r="I203" s="61">
        <v>0.5</v>
      </c>
      <c r="J203" s="59">
        <v>8.6999999999999993</v>
      </c>
      <c r="K203" s="59">
        <v>3.1</v>
      </c>
      <c r="L203" s="60">
        <v>4.5999999999999996</v>
      </c>
      <c r="M203" s="56">
        <v>1.1000000000000001</v>
      </c>
      <c r="N203" s="59">
        <v>0.4</v>
      </c>
      <c r="O203" s="56">
        <v>1.7</v>
      </c>
      <c r="P203" s="56">
        <v>-1.81</v>
      </c>
    </row>
    <row r="204" spans="1:16" ht="51">
      <c r="A204" s="56">
        <v>182</v>
      </c>
      <c r="B204" s="56" t="s">
        <v>876</v>
      </c>
      <c r="C204" s="56" t="s">
        <v>179</v>
      </c>
      <c r="D204" s="56" t="s">
        <v>254</v>
      </c>
      <c r="E204" s="56">
        <v>64</v>
      </c>
      <c r="F204" s="56">
        <v>23</v>
      </c>
      <c r="G204" s="56" t="s">
        <v>271</v>
      </c>
      <c r="H204" s="56" t="s">
        <v>438</v>
      </c>
      <c r="I204" s="59">
        <v>1.2</v>
      </c>
      <c r="J204" s="56">
        <v>11.8</v>
      </c>
      <c r="K204" s="60">
        <v>6.6</v>
      </c>
      <c r="L204" s="59">
        <v>1.3</v>
      </c>
      <c r="M204" s="59">
        <v>0.6</v>
      </c>
      <c r="N204" s="59">
        <v>0.4</v>
      </c>
      <c r="O204" s="56">
        <v>1.3</v>
      </c>
      <c r="P204" s="56">
        <v>-1.82</v>
      </c>
    </row>
    <row r="205" spans="1:16" ht="68">
      <c r="A205" s="56">
        <v>183</v>
      </c>
      <c r="B205" s="56" t="s">
        <v>877</v>
      </c>
      <c r="C205" s="56" t="s">
        <v>208</v>
      </c>
      <c r="D205" s="56" t="s">
        <v>260</v>
      </c>
      <c r="E205" s="56">
        <v>70</v>
      </c>
      <c r="F205" s="56">
        <v>24</v>
      </c>
      <c r="G205" s="59" t="s">
        <v>506</v>
      </c>
      <c r="H205" s="56" t="s">
        <v>507</v>
      </c>
      <c r="I205" s="56">
        <v>1.4</v>
      </c>
      <c r="J205" s="59">
        <v>10.9</v>
      </c>
      <c r="K205" s="59">
        <v>2.6</v>
      </c>
      <c r="L205" s="56">
        <v>3</v>
      </c>
      <c r="M205" s="56">
        <v>1.1000000000000001</v>
      </c>
      <c r="N205" s="59">
        <v>0.2</v>
      </c>
      <c r="O205" s="56">
        <v>1.5</v>
      </c>
      <c r="P205" s="56">
        <v>-1.82</v>
      </c>
    </row>
    <row r="206" spans="1:16" ht="17">
      <c r="A206" s="56">
        <v>184</v>
      </c>
      <c r="B206" s="56" t="s">
        <v>117</v>
      </c>
      <c r="C206" s="56" t="s">
        <v>179</v>
      </c>
      <c r="D206" s="56" t="s">
        <v>195</v>
      </c>
      <c r="E206" s="56">
        <v>76</v>
      </c>
      <c r="F206" s="56">
        <v>16</v>
      </c>
      <c r="G206" s="60" t="s">
        <v>510</v>
      </c>
      <c r="H206" s="60" t="s">
        <v>354</v>
      </c>
      <c r="I206" s="61">
        <v>0.4</v>
      </c>
      <c r="J206" s="59">
        <v>8.1</v>
      </c>
      <c r="K206" s="56">
        <v>5.0999999999999996</v>
      </c>
      <c r="L206" s="59">
        <v>1.1000000000000001</v>
      </c>
      <c r="M206" s="59">
        <v>0.7</v>
      </c>
      <c r="N206" s="56">
        <v>0.6</v>
      </c>
      <c r="O206" s="60">
        <v>0.9</v>
      </c>
      <c r="P206" s="56">
        <v>-1.85</v>
      </c>
    </row>
    <row r="207" spans="1:16" ht="17">
      <c r="A207" s="56">
        <v>185</v>
      </c>
      <c r="B207" s="56" t="s">
        <v>112</v>
      </c>
      <c r="C207" s="56" t="s">
        <v>179</v>
      </c>
      <c r="D207" s="56" t="s">
        <v>288</v>
      </c>
      <c r="E207" s="56">
        <v>70</v>
      </c>
      <c r="F207" s="56">
        <v>25</v>
      </c>
      <c r="G207" s="58" t="s">
        <v>428</v>
      </c>
      <c r="H207" s="61" t="s">
        <v>509</v>
      </c>
      <c r="I207" s="61">
        <v>0</v>
      </c>
      <c r="J207" s="59">
        <v>10.4</v>
      </c>
      <c r="K207" s="58">
        <v>9.6</v>
      </c>
      <c r="L207" s="59">
        <v>1.9</v>
      </c>
      <c r="M207" s="59">
        <v>0.5</v>
      </c>
      <c r="N207" s="59">
        <v>0.4</v>
      </c>
      <c r="O207" s="60">
        <v>1.3</v>
      </c>
      <c r="P207" s="56">
        <v>-1.85</v>
      </c>
    </row>
    <row r="208" spans="1:16" ht="17">
      <c r="A208" s="56">
        <v>186</v>
      </c>
      <c r="B208" s="56" t="s">
        <v>120</v>
      </c>
      <c r="C208" s="56" t="s">
        <v>179</v>
      </c>
      <c r="D208" s="56" t="s">
        <v>268</v>
      </c>
      <c r="E208" s="56">
        <v>40</v>
      </c>
      <c r="F208" s="56">
        <v>12</v>
      </c>
      <c r="G208" s="56" t="s">
        <v>511</v>
      </c>
      <c r="H208" s="60" t="s">
        <v>512</v>
      </c>
      <c r="I208" s="59">
        <v>0.9</v>
      </c>
      <c r="J208" s="59">
        <v>7.2</v>
      </c>
      <c r="K208" s="59">
        <v>4.3</v>
      </c>
      <c r="L208" s="61">
        <v>0.2</v>
      </c>
      <c r="M208" s="61">
        <v>0.4</v>
      </c>
      <c r="N208" s="60">
        <v>1.2</v>
      </c>
      <c r="O208" s="58">
        <v>0.6</v>
      </c>
      <c r="P208" s="56">
        <v>-1.86</v>
      </c>
    </row>
    <row r="209" spans="1:16" ht="34">
      <c r="A209" s="56">
        <v>187</v>
      </c>
      <c r="B209" s="56" t="s">
        <v>878</v>
      </c>
      <c r="C209" s="56" t="s">
        <v>183</v>
      </c>
      <c r="D209" s="56" t="s">
        <v>288</v>
      </c>
      <c r="E209" s="56">
        <v>76</v>
      </c>
      <c r="F209" s="56">
        <v>23</v>
      </c>
      <c r="G209" s="56" t="s">
        <v>513</v>
      </c>
      <c r="H209" s="60" t="s">
        <v>490</v>
      </c>
      <c r="I209" s="56">
        <v>1.6</v>
      </c>
      <c r="J209" s="56">
        <v>14.9</v>
      </c>
      <c r="K209" s="59">
        <v>2.9</v>
      </c>
      <c r="L209" s="59">
        <v>2.1</v>
      </c>
      <c r="M209" s="59">
        <v>0.6</v>
      </c>
      <c r="N209" s="59">
        <v>0.2</v>
      </c>
      <c r="O209" s="56">
        <v>1.4</v>
      </c>
      <c r="P209" s="56">
        <v>-1.91</v>
      </c>
    </row>
    <row r="210" spans="1:16" ht="68">
      <c r="A210" s="56">
        <v>188</v>
      </c>
      <c r="B210" s="56" t="s">
        <v>879</v>
      </c>
      <c r="C210" s="56" t="s">
        <v>220</v>
      </c>
      <c r="D210" s="56" t="s">
        <v>239</v>
      </c>
      <c r="E210" s="56">
        <v>76</v>
      </c>
      <c r="F210" s="56">
        <v>26</v>
      </c>
      <c r="G210" s="59" t="s">
        <v>514</v>
      </c>
      <c r="H210" s="56" t="s">
        <v>515</v>
      </c>
      <c r="I210" s="61">
        <v>0.5</v>
      </c>
      <c r="J210" s="59">
        <v>10.5</v>
      </c>
      <c r="K210" s="59">
        <v>4</v>
      </c>
      <c r="L210" s="59">
        <v>2.1</v>
      </c>
      <c r="M210" s="56">
        <v>1.1000000000000001</v>
      </c>
      <c r="N210" s="56">
        <v>0.7</v>
      </c>
      <c r="O210" s="60">
        <v>0.8</v>
      </c>
      <c r="P210" s="56">
        <v>-1.92</v>
      </c>
    </row>
    <row r="211" spans="1:16" ht="34">
      <c r="A211" s="56">
        <v>189</v>
      </c>
      <c r="B211" s="56" t="s">
        <v>880</v>
      </c>
      <c r="C211" s="56" t="s">
        <v>194</v>
      </c>
      <c r="D211" s="56" t="s">
        <v>209</v>
      </c>
      <c r="E211" s="56">
        <v>18</v>
      </c>
      <c r="F211" s="56">
        <v>22</v>
      </c>
      <c r="G211" s="60" t="s">
        <v>518</v>
      </c>
      <c r="H211" s="61" t="s">
        <v>519</v>
      </c>
      <c r="I211" s="61">
        <v>0</v>
      </c>
      <c r="J211" s="59">
        <v>10</v>
      </c>
      <c r="K211" s="60">
        <v>7.5</v>
      </c>
      <c r="L211" s="56">
        <v>2.5</v>
      </c>
      <c r="M211" s="56">
        <v>0.8</v>
      </c>
      <c r="N211" s="60">
        <v>1</v>
      </c>
      <c r="O211" s="56">
        <v>1.8</v>
      </c>
      <c r="P211" s="56">
        <v>-1.94</v>
      </c>
    </row>
    <row r="212" spans="1:16" ht="17">
      <c r="A212" s="56">
        <v>190</v>
      </c>
      <c r="B212" s="56" t="s">
        <v>111</v>
      </c>
      <c r="C212" s="56" t="s">
        <v>183</v>
      </c>
      <c r="D212" s="56" t="s">
        <v>191</v>
      </c>
      <c r="E212" s="56">
        <v>64</v>
      </c>
      <c r="F212" s="56">
        <v>24</v>
      </c>
      <c r="G212" s="56" t="s">
        <v>517</v>
      </c>
      <c r="H212" s="60" t="s">
        <v>320</v>
      </c>
      <c r="I212" s="59">
        <v>1.1000000000000001</v>
      </c>
      <c r="J212" s="59">
        <v>9.1</v>
      </c>
      <c r="K212" s="59">
        <v>2.9</v>
      </c>
      <c r="L212" s="56">
        <v>2.7</v>
      </c>
      <c r="M212" s="56">
        <v>1</v>
      </c>
      <c r="N212" s="61">
        <v>0.1</v>
      </c>
      <c r="O212" s="60">
        <v>1</v>
      </c>
      <c r="P212" s="56">
        <v>-1.96</v>
      </c>
    </row>
    <row r="213" spans="1:16" ht="51">
      <c r="A213" s="56">
        <v>191</v>
      </c>
      <c r="B213" s="56" t="s">
        <v>881</v>
      </c>
      <c r="C213" s="56" t="s">
        <v>208</v>
      </c>
      <c r="D213" s="56" t="s">
        <v>198</v>
      </c>
      <c r="E213" s="56">
        <v>76</v>
      </c>
      <c r="F213" s="56">
        <v>22</v>
      </c>
      <c r="G213" s="60" t="s">
        <v>516</v>
      </c>
      <c r="H213" s="56" t="s">
        <v>485</v>
      </c>
      <c r="I213" s="59">
        <v>1.1000000000000001</v>
      </c>
      <c r="J213" s="59">
        <v>10</v>
      </c>
      <c r="K213" s="61">
        <v>2.2000000000000002</v>
      </c>
      <c r="L213" s="56">
        <v>3.5</v>
      </c>
      <c r="M213" s="56">
        <v>0.8</v>
      </c>
      <c r="N213" s="61">
        <v>0</v>
      </c>
      <c r="O213" s="58">
        <v>0.6</v>
      </c>
      <c r="P213" s="56">
        <v>-1.97</v>
      </c>
    </row>
    <row r="214" spans="1:16" ht="17">
      <c r="A214" s="56">
        <v>192</v>
      </c>
      <c r="B214" s="56" t="s">
        <v>103</v>
      </c>
      <c r="C214" s="56" t="s">
        <v>208</v>
      </c>
      <c r="D214" s="56" t="s">
        <v>180</v>
      </c>
      <c r="E214" s="56">
        <v>66</v>
      </c>
      <c r="F214" s="56">
        <v>22</v>
      </c>
      <c r="G214" s="59" t="s">
        <v>520</v>
      </c>
      <c r="H214" s="59" t="s">
        <v>521</v>
      </c>
      <c r="I214" s="59">
        <v>0.9</v>
      </c>
      <c r="J214" s="59">
        <v>7.2</v>
      </c>
      <c r="K214" s="59">
        <v>4</v>
      </c>
      <c r="L214" s="58">
        <v>6.2</v>
      </c>
      <c r="M214" s="56">
        <v>0.9</v>
      </c>
      <c r="N214" s="59">
        <v>0.2</v>
      </c>
      <c r="O214" s="59">
        <v>2.1</v>
      </c>
      <c r="P214" s="56">
        <v>-2</v>
      </c>
    </row>
    <row r="215" spans="1:16" ht="17">
      <c r="A215" s="56">
        <v>193</v>
      </c>
      <c r="B215" s="56" t="s">
        <v>106</v>
      </c>
      <c r="C215" s="56" t="s">
        <v>205</v>
      </c>
      <c r="D215" s="56" t="s">
        <v>180</v>
      </c>
      <c r="E215" s="56">
        <v>70</v>
      </c>
      <c r="F215" s="56">
        <v>22</v>
      </c>
      <c r="G215" s="59" t="s">
        <v>522</v>
      </c>
      <c r="H215" s="60" t="s">
        <v>523</v>
      </c>
      <c r="I215" s="56">
        <v>1.7</v>
      </c>
      <c r="J215" s="59">
        <v>10.8</v>
      </c>
      <c r="K215" s="59">
        <v>2.7</v>
      </c>
      <c r="L215" s="59">
        <v>1.2</v>
      </c>
      <c r="M215" s="59">
        <v>0.8</v>
      </c>
      <c r="N215" s="59">
        <v>0.2</v>
      </c>
      <c r="O215" s="58">
        <v>0.7</v>
      </c>
      <c r="P215" s="56">
        <v>-2.02</v>
      </c>
    </row>
    <row r="216" spans="1:16" ht="17">
      <c r="A216" s="56">
        <v>194</v>
      </c>
      <c r="B216" s="56" t="s">
        <v>109</v>
      </c>
      <c r="C216" s="56" t="s">
        <v>183</v>
      </c>
      <c r="D216" s="56" t="s">
        <v>198</v>
      </c>
      <c r="E216" s="56">
        <v>70</v>
      </c>
      <c r="F216" s="56">
        <v>22</v>
      </c>
      <c r="G216" s="56" t="s">
        <v>524</v>
      </c>
      <c r="H216" s="56" t="s">
        <v>525</v>
      </c>
      <c r="I216" s="60">
        <v>2</v>
      </c>
      <c r="J216" s="59">
        <v>11.3</v>
      </c>
      <c r="K216" s="61">
        <v>2.4</v>
      </c>
      <c r="L216" s="59">
        <v>1.2</v>
      </c>
      <c r="M216" s="59">
        <v>0.7</v>
      </c>
      <c r="N216" s="61">
        <v>0.1</v>
      </c>
      <c r="O216" s="58">
        <v>0.7</v>
      </c>
      <c r="P216" s="56">
        <v>-2.06</v>
      </c>
    </row>
    <row r="217" spans="1:16" ht="17">
      <c r="A217" s="56">
        <v>195</v>
      </c>
      <c r="B217" s="56" t="s">
        <v>116</v>
      </c>
      <c r="C217" s="56" t="s">
        <v>208</v>
      </c>
      <c r="D217" s="56" t="s">
        <v>221</v>
      </c>
      <c r="E217" s="56">
        <v>74</v>
      </c>
      <c r="F217" s="56">
        <v>28</v>
      </c>
      <c r="G217" s="59" t="s">
        <v>526</v>
      </c>
      <c r="H217" s="56" t="s">
        <v>527</v>
      </c>
      <c r="I217" s="59">
        <v>1.1000000000000001</v>
      </c>
      <c r="J217" s="56">
        <v>11.9</v>
      </c>
      <c r="K217" s="59">
        <v>3.4</v>
      </c>
      <c r="L217" s="60">
        <v>4.7</v>
      </c>
      <c r="M217" s="59">
        <v>0.6</v>
      </c>
      <c r="N217" s="59">
        <v>0.3</v>
      </c>
      <c r="O217" s="56">
        <v>1.4</v>
      </c>
      <c r="P217" s="56">
        <v>-2.2400000000000002</v>
      </c>
    </row>
    <row r="218" spans="1:16" ht="68">
      <c r="A218" s="56">
        <v>196</v>
      </c>
      <c r="B218" s="56" t="s">
        <v>882</v>
      </c>
      <c r="C218" s="56" t="s">
        <v>183</v>
      </c>
      <c r="D218" s="56" t="s">
        <v>254</v>
      </c>
      <c r="E218" s="56">
        <v>70</v>
      </c>
      <c r="F218" s="56">
        <v>26</v>
      </c>
      <c r="G218" s="59" t="s">
        <v>529</v>
      </c>
      <c r="H218" s="61" t="s">
        <v>530</v>
      </c>
      <c r="I218" s="59">
        <v>1.2</v>
      </c>
      <c r="J218" s="56">
        <v>13.1</v>
      </c>
      <c r="K218" s="59">
        <v>2.8</v>
      </c>
      <c r="L218" s="60">
        <v>4.5999999999999996</v>
      </c>
      <c r="M218" s="60">
        <v>1.2</v>
      </c>
      <c r="N218" s="59">
        <v>0.4</v>
      </c>
      <c r="O218" s="59">
        <v>2.6</v>
      </c>
      <c r="P218" s="56">
        <v>-2.2599999999999998</v>
      </c>
    </row>
    <row r="219" spans="1:16" ht="51">
      <c r="A219" s="56">
        <v>197</v>
      </c>
      <c r="B219" s="56" t="s">
        <v>883</v>
      </c>
      <c r="C219" s="56" t="s">
        <v>179</v>
      </c>
      <c r="D219" s="56" t="s">
        <v>212</v>
      </c>
      <c r="E219" s="56">
        <v>70</v>
      </c>
      <c r="F219" s="56">
        <v>19</v>
      </c>
      <c r="G219" s="60" t="s">
        <v>528</v>
      </c>
      <c r="H219" s="60" t="s">
        <v>413</v>
      </c>
      <c r="I219" s="59">
        <v>1.1000000000000001</v>
      </c>
      <c r="J219" s="59">
        <v>8.1999999999999993</v>
      </c>
      <c r="K219" s="56">
        <v>5.3</v>
      </c>
      <c r="L219" s="59">
        <v>1.7</v>
      </c>
      <c r="M219" s="61">
        <v>0.3</v>
      </c>
      <c r="N219" s="59">
        <v>0.1</v>
      </c>
      <c r="O219" s="60">
        <v>0.9</v>
      </c>
      <c r="P219" s="56">
        <v>-2.27</v>
      </c>
    </row>
    <row r="220" spans="1:16" ht="34">
      <c r="A220" s="56">
        <v>198</v>
      </c>
      <c r="B220" s="56" t="s">
        <v>884</v>
      </c>
      <c r="C220" s="56" t="s">
        <v>205</v>
      </c>
      <c r="D220" s="56" t="s">
        <v>198</v>
      </c>
      <c r="E220" s="56">
        <v>60</v>
      </c>
      <c r="F220" s="56">
        <v>28</v>
      </c>
      <c r="G220" s="61" t="s">
        <v>531</v>
      </c>
      <c r="H220" s="56" t="s">
        <v>438</v>
      </c>
      <c r="I220" s="56">
        <v>1.7</v>
      </c>
      <c r="J220" s="56">
        <v>12.3</v>
      </c>
      <c r="K220" s="56">
        <v>4.9000000000000004</v>
      </c>
      <c r="L220" s="56">
        <v>3.1</v>
      </c>
      <c r="M220" s="61">
        <v>0.4</v>
      </c>
      <c r="N220" s="56">
        <v>0.5</v>
      </c>
      <c r="O220" s="56">
        <v>1.5</v>
      </c>
      <c r="P220" s="56">
        <v>-2.31</v>
      </c>
    </row>
    <row r="221" spans="1:16" ht="34">
      <c r="A221" s="56">
        <v>199</v>
      </c>
      <c r="B221" s="56" t="s">
        <v>885</v>
      </c>
      <c r="C221" s="56" t="s">
        <v>267</v>
      </c>
      <c r="D221" s="56" t="s">
        <v>339</v>
      </c>
      <c r="E221" s="56">
        <v>70</v>
      </c>
      <c r="F221" s="56">
        <v>26</v>
      </c>
      <c r="G221" s="56" t="s">
        <v>667</v>
      </c>
      <c r="H221" s="59" t="s">
        <v>668</v>
      </c>
      <c r="I221" s="59">
        <v>0.7</v>
      </c>
      <c r="J221" s="59">
        <v>10.8</v>
      </c>
      <c r="K221" s="56">
        <v>6.1</v>
      </c>
      <c r="L221" s="59">
        <v>1.6</v>
      </c>
      <c r="M221" s="59">
        <v>0.7</v>
      </c>
      <c r="N221" s="56">
        <v>0.8</v>
      </c>
      <c r="O221" s="56">
        <v>1.5</v>
      </c>
      <c r="P221" s="56">
        <v>-2.35</v>
      </c>
    </row>
    <row r="222" spans="1:16" ht="51">
      <c r="A222" s="56">
        <v>200</v>
      </c>
      <c r="B222" s="56" t="s">
        <v>886</v>
      </c>
      <c r="C222" s="56" t="s">
        <v>220</v>
      </c>
      <c r="D222" s="56" t="s">
        <v>239</v>
      </c>
      <c r="E222" s="56">
        <v>68</v>
      </c>
      <c r="F222" s="56">
        <v>25</v>
      </c>
      <c r="G222" s="56" t="s">
        <v>319</v>
      </c>
      <c r="H222" s="56" t="s">
        <v>453</v>
      </c>
      <c r="I222" s="60">
        <v>2</v>
      </c>
      <c r="J222" s="56">
        <v>11.9</v>
      </c>
      <c r="K222" s="59">
        <v>3.3</v>
      </c>
      <c r="L222" s="59">
        <v>2.1</v>
      </c>
      <c r="M222" s="61">
        <v>0.4</v>
      </c>
      <c r="N222" s="61">
        <v>0.1</v>
      </c>
      <c r="O222" s="60">
        <v>1</v>
      </c>
      <c r="P222" s="56">
        <v>-2.37</v>
      </c>
    </row>
  </sheetData>
  <hyperlinks>
    <hyperlink ref="B7" r:id="rId1" display="javascript:__doPostBack('ctl00$ContentPlaceHolder1$GridView1','Sort$NAME')" xr:uid="{79818371-3D3D-434E-9E55-5FB7231DAEFD}"/>
    <hyperlink ref="C7" r:id="rId2" display="javascript:__doPostBack('ctl00$ContentPlaceHolder1$GridView1','Sort$posm')" xr:uid="{52CAA562-3FBB-5444-89BD-0C7B08F0039D}"/>
    <hyperlink ref="D7" r:id="rId3" display="javascript:__doPostBack('ctl00$ContentPlaceHolder1$GridView1','Sort$tsum')" xr:uid="{4CAB35AF-0A07-E444-A8A1-55D53EC9DB85}"/>
    <hyperlink ref="E7" r:id="rId4" display="javascript:__doPostBack('ctl00$ContentPlaceHolder1$GridView1','Sort$GP')" xr:uid="{6C30F7DF-3886-D446-968A-163B164D259C}"/>
    <hyperlink ref="F7" r:id="rId5" display="javascript:__doPostBack('ctl00$ContentPlaceHolder1$GridView1','Sort$MPG')" xr:uid="{64AAD696-5D24-C740-83E0-EBCC5D874621}"/>
    <hyperlink ref="G7" r:id="rId6" display="javascript:__doPostBack('ctl00$ContentPlaceHolder1$GridView1','Sort$fgp')" xr:uid="{32E0C7D0-9186-864D-A7BF-58B62E042549}"/>
    <hyperlink ref="H7" r:id="rId7" display="javascript:__doPostBack('ctl00$ContentPlaceHolder1$GridView1','Sort$ftp')" xr:uid="{0DECC64D-00E4-6E40-B2E6-662B59CE9CF5}"/>
    <hyperlink ref="I7" r:id="rId8" display="javascript:__doPostBack('ctl00$ContentPlaceHolder1$GridView1','Sort$tgm')" xr:uid="{E0F276F3-2B3D-1140-815D-CD6EEEC74940}"/>
    <hyperlink ref="J7" r:id="rId9" display="javascript:__doPostBack('ctl00$ContentPlaceHolder1$GridView1','Sort$pts')" xr:uid="{DD192048-49F7-6840-9498-864F655A018E}"/>
    <hyperlink ref="K7" r:id="rId10" display="javascript:__doPostBack('ctl00$ContentPlaceHolder1$GridView1','Sort$reb')" xr:uid="{8F16FA6A-1E81-AB49-A347-89B005A1EAE3}"/>
    <hyperlink ref="L7" r:id="rId11" display="javascript:__doPostBack('ctl00$ContentPlaceHolder1$GridView1','Sort$ast')" xr:uid="{D07838A4-08DD-D142-A651-E740E857D1B6}"/>
    <hyperlink ref="M7" r:id="rId12" display="javascript:__doPostBack('ctl00$ContentPlaceHolder1$GridView1','Sort$stl')" xr:uid="{4C5A1179-D226-8549-9AD4-E43922AE4559}"/>
    <hyperlink ref="N7" r:id="rId13" display="javascript:__doPostBack('ctl00$ContentPlaceHolder1$GridView1','Sort$blk')" xr:uid="{3D266189-1973-5249-BB50-374D06CE3417}"/>
    <hyperlink ref="O7" r:id="rId14" display="javascript:__doPostBack('ctl00$ContentPlaceHolder1$GridView1','Sort$tur')" xr:uid="{76CE4351-E3E4-4944-A162-50B59BF6B98A}"/>
    <hyperlink ref="P7" r:id="rId15" display="javascript:__doPostBack('ctl00$ContentPlaceHolder1$GridView1','Sort$totalz')" xr:uid="{EB594370-4AA8-0F41-A5FA-13A1BB306CFC}"/>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1405C-89FC-B94F-B521-DC01F9F43168}">
  <sheetPr codeName="Sheet15"/>
  <dimension ref="A1:AC36"/>
  <sheetViews>
    <sheetView workbookViewId="0">
      <selection activeCell="B27" sqref="B27"/>
    </sheetView>
  </sheetViews>
  <sheetFormatPr baseColWidth="10" defaultRowHeight="16"/>
  <cols>
    <col min="1" max="1" width="14.33203125" customWidth="1"/>
  </cols>
  <sheetData>
    <row r="1" spans="1:29">
      <c r="A1" s="10" t="s">
        <v>167</v>
      </c>
      <c r="B1" s="11" t="s">
        <v>3</v>
      </c>
      <c r="C1" s="11" t="s">
        <v>4</v>
      </c>
      <c r="D1" s="11" t="s">
        <v>5</v>
      </c>
      <c r="E1" s="11" t="s">
        <v>6</v>
      </c>
      <c r="F1" s="11" t="s">
        <v>7</v>
      </c>
      <c r="G1" s="11" t="s">
        <v>8</v>
      </c>
      <c r="H1" s="11" t="s">
        <v>9</v>
      </c>
      <c r="I1" s="11" t="s">
        <v>10</v>
      </c>
      <c r="J1" s="11" t="s">
        <v>11</v>
      </c>
      <c r="K1" s="12" t="s">
        <v>12</v>
      </c>
      <c r="L1" s="12" t="s">
        <v>13</v>
      </c>
      <c r="M1" s="12" t="s">
        <v>126</v>
      </c>
      <c r="N1" s="12" t="s">
        <v>127</v>
      </c>
    </row>
    <row r="2" spans="1:29">
      <c r="A2" s="6" t="s">
        <v>142</v>
      </c>
      <c r="B2" s="14">
        <f>AVERAGE(All!D:D)</f>
        <v>0.47734999999999994</v>
      </c>
      <c r="C2" s="14">
        <f>AVERAGE(All!E:E)</f>
        <v>0.7802</v>
      </c>
      <c r="D2" s="14">
        <f>AVERAGE(All!F:F)</f>
        <v>1.4559999999999997</v>
      </c>
      <c r="E2" s="14">
        <f>AVERAGE(All!G:G)</f>
        <v>5.8545000000000016</v>
      </c>
      <c r="F2" s="14">
        <f>AVERAGE(All!H:H)</f>
        <v>3.2845000000000009</v>
      </c>
      <c r="G2" s="14">
        <f>AVERAGE(All!I:I)</f>
        <v>0.9700000000000002</v>
      </c>
      <c r="H2" s="14">
        <f>AVERAGE(All!J:J)</f>
        <v>0.6909999999999995</v>
      </c>
      <c r="I2" s="14">
        <f>AVERAGE(All!K:K)</f>
        <v>1.7514999999999994</v>
      </c>
      <c r="J2" s="14">
        <f>AVERAGE(All!L:L)</f>
        <v>15.253</v>
      </c>
      <c r="K2" s="14">
        <f>AVERAGE(All!M:M)</f>
        <v>5.6179999999999994</v>
      </c>
      <c r="L2" s="14">
        <f>AVERAGE(All!N:N)</f>
        <v>11.870500000000002</v>
      </c>
      <c r="M2" s="14">
        <f>AVERAGE(All!O:O)</f>
        <v>2.5589999999999988</v>
      </c>
      <c r="N2" s="14">
        <f>AVERAGE(All!P:P)</f>
        <v>3.2729999999999979</v>
      </c>
    </row>
    <row r="3" spans="1:29">
      <c r="A3" s="6" t="s">
        <v>143</v>
      </c>
      <c r="B3" s="6">
        <f>STDEV(All!D:D)</f>
        <v>5.4047043532214213E-2</v>
      </c>
      <c r="C3" s="6">
        <f>STDEV(All!E:E)</f>
        <v>8.2346003677214785E-2</v>
      </c>
      <c r="D3" s="6">
        <f>STDEV(All!F:F)</f>
        <v>0.92511794711831352</v>
      </c>
      <c r="E3" s="6">
        <f>STDEV(All!G:G)</f>
        <v>2.6547539135875731</v>
      </c>
      <c r="F3" s="6">
        <f>STDEV(All!H:H)</f>
        <v>1.9885879816603578</v>
      </c>
      <c r="G3" s="6">
        <f>STDEV(All!I:I)</f>
        <v>0.38161255312622749</v>
      </c>
      <c r="H3" s="6">
        <f>STDEV(All!J:J)</f>
        <v>0.55864066893211806</v>
      </c>
      <c r="I3" s="6">
        <f>STDEV(All!K:K)</f>
        <v>0.74422247038579792</v>
      </c>
      <c r="J3" s="6">
        <f>STDEV(All!L:L)</f>
        <v>5.0530045790976716</v>
      </c>
      <c r="K3" s="6">
        <f>STDEV(All!M:M)</f>
        <v>1.7440137383627403</v>
      </c>
      <c r="L3" s="6">
        <f>STDEV(All!N:N)</f>
        <v>3.7222784061194609</v>
      </c>
      <c r="M3" s="6">
        <f>STDEV(All!O:O)</f>
        <v>1.4799561992703696</v>
      </c>
      <c r="N3" s="6">
        <f>STDEV(All!P:P)</f>
        <v>1.8227129263985355</v>
      </c>
    </row>
    <row r="5" spans="1:29">
      <c r="A5" s="10" t="s">
        <v>168</v>
      </c>
      <c r="B5" s="11" t="s">
        <v>3</v>
      </c>
      <c r="C5" s="11" t="s">
        <v>4</v>
      </c>
      <c r="D5" s="11" t="s">
        <v>5</v>
      </c>
      <c r="E5" s="11" t="s">
        <v>6</v>
      </c>
      <c r="F5" s="11" t="s">
        <v>7</v>
      </c>
      <c r="G5" s="11" t="s">
        <v>8</v>
      </c>
      <c r="H5" s="11" t="s">
        <v>9</v>
      </c>
      <c r="I5" s="11" t="s">
        <v>10</v>
      </c>
      <c r="J5" s="11" t="s">
        <v>11</v>
      </c>
      <c r="K5" s="12" t="s">
        <v>12</v>
      </c>
      <c r="L5" s="12" t="s">
        <v>13</v>
      </c>
      <c r="M5" s="12" t="s">
        <v>126</v>
      </c>
      <c r="N5" s="12" t="s">
        <v>127</v>
      </c>
    </row>
    <row r="6" spans="1:29">
      <c r="A6" s="6" t="s">
        <v>142</v>
      </c>
      <c r="B6" s="14">
        <f>AVERAGE(All!D2:D54)</f>
        <v>0.49037735849056602</v>
      </c>
      <c r="C6" s="14">
        <f>AVERAGE(All!E2:E54)</f>
        <v>0.7920754716981131</v>
      </c>
      <c r="D6" s="14">
        <f>AVERAGE(All!F2:F54)</f>
        <v>1.7792452830188679</v>
      </c>
      <c r="E6" s="14">
        <f>AVERAGE(All!G2:G54)</f>
        <v>7.6377358490566047</v>
      </c>
      <c r="F6" s="14">
        <f>AVERAGE(All!H2:H54)</f>
        <v>4.5377358490566033</v>
      </c>
      <c r="G6" s="14">
        <f>AVERAGE(All!I2:I54)</f>
        <v>1.2226415094339622</v>
      </c>
      <c r="H6" s="14">
        <f>AVERAGE(All!J2:J54)</f>
        <v>0.93396226415094297</v>
      </c>
      <c r="I6" s="14">
        <f>AVERAGE(All!K2:K54)</f>
        <v>2.4452830188679253</v>
      </c>
      <c r="J6" s="14">
        <f>AVERAGE(All!L2:L54)</f>
        <v>20.884905660377349</v>
      </c>
      <c r="K6" s="14">
        <f>AVERAGE(All!M2:M54)</f>
        <v>7.535849056603773</v>
      </c>
      <c r="L6" s="14">
        <f>AVERAGE(All!N2:N54)</f>
        <v>15.552830188679247</v>
      </c>
      <c r="M6" s="14">
        <f>AVERAGE(All!O2:O54)</f>
        <v>4.0301886792452839</v>
      </c>
      <c r="N6" s="14">
        <f>AVERAGE(All!P2:P54)</f>
        <v>5.0603773584905651</v>
      </c>
    </row>
    <row r="7" spans="1:29">
      <c r="A7" s="6" t="s">
        <v>143</v>
      </c>
      <c r="B7" s="14">
        <f>STDEV(All!D3:D55)</f>
        <v>5.6577521730515841E-2</v>
      </c>
      <c r="C7" s="14">
        <f>STDEV(All!E3:E55)</f>
        <v>7.7012901111376861E-2</v>
      </c>
      <c r="D7" s="14">
        <f>STDEV(All!F3:F55)</f>
        <v>1.1794349339515311</v>
      </c>
      <c r="E7" s="14">
        <f>STDEV(All!G3:G55)</f>
        <v>3.063610806812251</v>
      </c>
      <c r="F7" s="14">
        <f>STDEV(All!H3:H55)</f>
        <v>2.3880644797327815</v>
      </c>
      <c r="G7" s="14">
        <f>STDEV(All!I3:I55)</f>
        <v>0.43809026115981736</v>
      </c>
      <c r="H7" s="14">
        <f>STDEV(All!J3:J55)</f>
        <v>0.67483266753523063</v>
      </c>
      <c r="I7" s="14">
        <f>STDEV(All!K3:K55)</f>
        <v>0.80804194519587413</v>
      </c>
      <c r="J7" s="14">
        <f>STDEV(All!L3:L55)</f>
        <v>4.7466648592376925</v>
      </c>
      <c r="K7" s="14">
        <f>STDEV(All!M3:M55)</f>
        <v>1.5336264733146898</v>
      </c>
      <c r="L7" s="14">
        <f>STDEV(All!N3:N55)</f>
        <v>3.5366195432791763</v>
      </c>
      <c r="M7" s="14">
        <f>STDEV(All!O3:O55)</f>
        <v>1.635314202198741</v>
      </c>
      <c r="N7" s="14">
        <f>STDEV(All!P3:P55)</f>
        <v>1.9344538650917393</v>
      </c>
    </row>
    <row r="9" spans="1:29">
      <c r="A9" s="10" t="s">
        <v>169</v>
      </c>
      <c r="B9" s="48" t="s">
        <v>3</v>
      </c>
      <c r="C9" s="48" t="s">
        <v>4</v>
      </c>
      <c r="D9" s="48" t="s">
        <v>5</v>
      </c>
      <c r="E9" s="48" t="s">
        <v>6</v>
      </c>
      <c r="F9" s="48" t="s">
        <v>7</v>
      </c>
      <c r="G9" s="48" t="s">
        <v>8</v>
      </c>
      <c r="H9" s="48" t="s">
        <v>9</v>
      </c>
      <c r="I9" s="48" t="s">
        <v>10</v>
      </c>
      <c r="J9" s="48" t="s">
        <v>11</v>
      </c>
      <c r="K9" s="49" t="s">
        <v>12</v>
      </c>
      <c r="L9" s="49" t="s">
        <v>13</v>
      </c>
      <c r="M9" s="49" t="s">
        <v>126</v>
      </c>
      <c r="N9" s="49" t="s">
        <v>127</v>
      </c>
      <c r="P9" s="10" t="s">
        <v>171</v>
      </c>
      <c r="Q9" s="11" t="s">
        <v>3</v>
      </c>
      <c r="R9" s="11" t="s">
        <v>4</v>
      </c>
      <c r="S9" s="11" t="s">
        <v>5</v>
      </c>
      <c r="T9" s="11" t="s">
        <v>6</v>
      </c>
      <c r="U9" s="11" t="s">
        <v>7</v>
      </c>
      <c r="V9" s="11" t="s">
        <v>8</v>
      </c>
      <c r="W9" s="11" t="s">
        <v>9</v>
      </c>
      <c r="X9" s="11" t="s">
        <v>10</v>
      </c>
      <c r="Y9" s="11" t="s">
        <v>11</v>
      </c>
      <c r="Z9" s="12" t="s">
        <v>12</v>
      </c>
      <c r="AA9" s="12" t="s">
        <v>13</v>
      </c>
      <c r="AB9" s="12" t="s">
        <v>126</v>
      </c>
      <c r="AC9" s="12" t="s">
        <v>127</v>
      </c>
    </row>
    <row r="10" spans="1:29">
      <c r="A10" s="50" t="s">
        <v>142</v>
      </c>
      <c r="B10" s="51">
        <f>AVERAGE(All!D2:D108)</f>
        <v>0.48710280373831755</v>
      </c>
      <c r="C10" s="51">
        <f>AVERAGE(All!E2:E108)</f>
        <v>0.78644859813084134</v>
      </c>
      <c r="D10" s="51">
        <f>AVERAGE(All!F2:F108)</f>
        <v>1.5299065420560747</v>
      </c>
      <c r="E10" s="51">
        <f>AVERAGE(All!G2:G108)</f>
        <v>6.954205607476637</v>
      </c>
      <c r="F10" s="51">
        <f>AVERAGE(All!H2:H108)</f>
        <v>3.8663551401869145</v>
      </c>
      <c r="G10" s="51">
        <f>AVERAGE(All!I2:I108)</f>
        <v>1.1149532710280377</v>
      </c>
      <c r="H10" s="51">
        <f>AVERAGE(All!J2:J108)</f>
        <v>0.88224299065420542</v>
      </c>
      <c r="I10" s="51">
        <f>AVERAGE(All!K2:K108)</f>
        <v>2.057009345794393</v>
      </c>
      <c r="J10" s="51">
        <f>AVERAGE(All!L2:L108)</f>
        <v>17.958878504672892</v>
      </c>
      <c r="K10" s="51">
        <f>AVERAGE(All!M2:M108)</f>
        <v>6.5850467289719647</v>
      </c>
      <c r="L10" s="51">
        <f>AVERAGE(All!N2:N108)</f>
        <v>13.659813084112148</v>
      </c>
      <c r="M10" s="51">
        <f>AVERAGE(All!O2:O108)</f>
        <v>3.2542056074766359</v>
      </c>
      <c r="N10" s="51">
        <f>AVERAGE(All!P2:P108)</f>
        <v>4.1271028037383175</v>
      </c>
      <c r="P10" s="6" t="s">
        <v>142</v>
      </c>
      <c r="Q10" s="14">
        <f>AVERAGE(All!D59:D108)</f>
        <v>0.48320000000000007</v>
      </c>
      <c r="R10" s="14">
        <f>AVERAGE(All!E59:E108)</f>
        <v>0.77700000000000002</v>
      </c>
      <c r="S10" s="14">
        <f>AVERAGE(All!F59:F108)</f>
        <v>1.3020000000000003</v>
      </c>
      <c r="T10" s="14">
        <f>AVERAGE(All!G59:G108)</f>
        <v>6.2620000000000013</v>
      </c>
      <c r="U10" s="14">
        <f>AVERAGE(All!H59:H108)</f>
        <v>3.1920000000000006</v>
      </c>
      <c r="V10" s="14">
        <f>AVERAGE(All!I59:I108)</f>
        <v>1.0099999999999998</v>
      </c>
      <c r="W10" s="14">
        <f>AVERAGE(All!J59:J108)</f>
        <v>0.81399999999999972</v>
      </c>
      <c r="X10" s="14">
        <f>AVERAGE(All!K59:K108)</f>
        <v>1.6560000000000001</v>
      </c>
      <c r="Y10" s="14">
        <f>AVERAGE(All!L59:L108)</f>
        <v>14.974</v>
      </c>
      <c r="Z10" s="14">
        <f>AVERAGE(All!M59:M108)</f>
        <v>5.6119999999999983</v>
      </c>
      <c r="AA10" s="14">
        <f>AVERAGE(All!N59:N108)</f>
        <v>11.741999999999997</v>
      </c>
      <c r="AB10" s="14">
        <f>AVERAGE(All!O59:O108)</f>
        <v>2.44</v>
      </c>
      <c r="AC10" s="14">
        <f>AVERAGE(All!P59:P108)</f>
        <v>3.1620000000000004</v>
      </c>
    </row>
    <row r="11" spans="1:29">
      <c r="A11" s="50" t="s">
        <v>143</v>
      </c>
      <c r="B11" s="51">
        <f>STDEV(All!D3:D109)</f>
        <v>5.5131813321019373E-2</v>
      </c>
      <c r="C11" s="51">
        <f>STDEV(All!E3:E109)</f>
        <v>8.1518064568511794E-2</v>
      </c>
      <c r="D11" s="51">
        <f>STDEV(All!F3:F109)</f>
        <v>1.0416980833444922</v>
      </c>
      <c r="E11" s="51">
        <f>STDEV(All!G3:G109)</f>
        <v>2.8143528399887452</v>
      </c>
      <c r="F11" s="51">
        <f>STDEV(All!H3:H109)</f>
        <v>2.2689912480492782</v>
      </c>
      <c r="G11" s="51">
        <f>STDEV(All!I3:I109)</f>
        <v>0.40527947736084596</v>
      </c>
      <c r="H11" s="51">
        <f>STDEV(All!J3:J109)</f>
        <v>0.59844181377885708</v>
      </c>
      <c r="I11" s="51">
        <f>STDEV(All!K3:K109)</f>
        <v>0.79957227147779975</v>
      </c>
      <c r="J11" s="51">
        <f>STDEV(All!L3:L109)</f>
        <v>4.971566836707507</v>
      </c>
      <c r="K11" s="51">
        <f>STDEV(All!M3:M109)</f>
        <v>1.6690440341731874</v>
      </c>
      <c r="L11" s="51">
        <f>STDEV(All!N3:N109)</f>
        <v>3.6897306337363913</v>
      </c>
      <c r="M11" s="51">
        <f>STDEV(All!O3:O109)</f>
        <v>1.5740987854712751</v>
      </c>
      <c r="N11" s="51">
        <f>STDEV(All!P3:P109)</f>
        <v>1.9165719669218695</v>
      </c>
      <c r="P11" s="6" t="s">
        <v>143</v>
      </c>
      <c r="Q11" s="14">
        <f>STDEV(All!D60:D109)</f>
        <v>5.554038795217061E-2</v>
      </c>
      <c r="R11" s="14">
        <f>STDEV(All!E60:E109)</f>
        <v>8.6782862974910543E-2</v>
      </c>
      <c r="S11" s="14">
        <f>STDEV(All!F60:F109)</f>
        <v>0.82605776345932902</v>
      </c>
      <c r="T11" s="14">
        <f>STDEV(All!G60:G109)</f>
        <v>2.425137067449664</v>
      </c>
      <c r="U11" s="14">
        <f>STDEV(All!H60:H109)</f>
        <v>2.0082239081601729</v>
      </c>
      <c r="V11" s="14">
        <f>STDEV(All!I60:I109)</f>
        <v>0.35398604838182579</v>
      </c>
      <c r="W11" s="14">
        <f>STDEV(All!J60:J109)</f>
        <v>0.48333872856477417</v>
      </c>
      <c r="X11" s="14">
        <f>STDEV(All!K60:K109)</f>
        <v>0.56878316229850212</v>
      </c>
      <c r="Y11" s="14">
        <f>STDEV(All!L60:L109)</f>
        <v>3.3120195454416956</v>
      </c>
      <c r="Z11" s="14">
        <f>STDEV(All!M60:M109)</f>
        <v>1.2324457184718551</v>
      </c>
      <c r="AA11" s="14">
        <f>STDEV(All!N60:N109)</f>
        <v>2.8832443460767792</v>
      </c>
      <c r="AB11" s="14">
        <f>STDEV(All!O60:O109)</f>
        <v>1.0378726279446506</v>
      </c>
      <c r="AC11" s="14">
        <f>STDEV(All!P60:P109)</f>
        <v>1.3672928713038659</v>
      </c>
    </row>
    <row r="13" spans="1:29">
      <c r="A13" s="10" t="s">
        <v>170</v>
      </c>
      <c r="B13" s="48" t="s">
        <v>3</v>
      </c>
      <c r="C13" s="48" t="s">
        <v>4</v>
      </c>
      <c r="D13" s="48" t="s">
        <v>5</v>
      </c>
      <c r="E13" s="48" t="s">
        <v>6</v>
      </c>
      <c r="F13" s="48" t="s">
        <v>7</v>
      </c>
      <c r="G13" s="48" t="s">
        <v>8</v>
      </c>
      <c r="H13" s="48" t="s">
        <v>9</v>
      </c>
      <c r="I13" s="48" t="s">
        <v>10</v>
      </c>
      <c r="J13" s="48" t="s">
        <v>11</v>
      </c>
      <c r="K13" s="49" t="s">
        <v>12</v>
      </c>
      <c r="L13" s="49" t="s">
        <v>13</v>
      </c>
      <c r="M13" s="49" t="s">
        <v>126</v>
      </c>
      <c r="N13" s="49" t="s">
        <v>127</v>
      </c>
    </row>
    <row r="14" spans="1:29">
      <c r="A14" s="50" t="s">
        <v>142</v>
      </c>
      <c r="B14" s="51">
        <f>AVERAGE(All!D2:D216)</f>
        <v>0.47734999999999994</v>
      </c>
      <c r="C14" s="51">
        <f>AVERAGE(All!E2:E216)</f>
        <v>0.7802</v>
      </c>
      <c r="D14" s="51">
        <f>AVERAGE(All!F2:F216)</f>
        <v>1.4559999999999997</v>
      </c>
      <c r="E14" s="51">
        <f>AVERAGE(All!G2:G216)</f>
        <v>5.8545000000000016</v>
      </c>
      <c r="F14" s="51">
        <f>AVERAGE(All!H2:H216)</f>
        <v>3.2845000000000009</v>
      </c>
      <c r="G14" s="51">
        <f>AVERAGE(All!I2:I216)</f>
        <v>0.9700000000000002</v>
      </c>
      <c r="H14" s="51">
        <f>AVERAGE(All!J2:J216)</f>
        <v>0.6909999999999995</v>
      </c>
      <c r="I14" s="51">
        <f>AVERAGE(All!K2:K216)</f>
        <v>1.7514999999999994</v>
      </c>
      <c r="J14" s="51">
        <f>AVERAGE(All!L2:L216)</f>
        <v>15.253</v>
      </c>
      <c r="K14" s="51">
        <f>AVERAGE(All!M2:M216)</f>
        <v>5.6179999999999994</v>
      </c>
      <c r="L14" s="51">
        <f>AVERAGE(All!N2:N216)</f>
        <v>11.870500000000002</v>
      </c>
      <c r="M14" s="51">
        <f>AVERAGE(All!O2:O216)</f>
        <v>2.5589999999999988</v>
      </c>
      <c r="N14" s="51">
        <f>AVERAGE(All!P2:P216)</f>
        <v>3.2729999999999979</v>
      </c>
    </row>
    <row r="15" spans="1:29">
      <c r="A15" s="50" t="s">
        <v>143</v>
      </c>
      <c r="B15" s="51">
        <f>STDEV(All!D3:D217)</f>
        <v>5.4098084166839401E-2</v>
      </c>
      <c r="C15" s="51">
        <f>STDEV(All!E3:E217)</f>
        <v>8.2526380767992527E-2</v>
      </c>
      <c r="D15" s="51">
        <f>STDEV(All!F3:F217)</f>
        <v>0.92688197600984024</v>
      </c>
      <c r="E15" s="51">
        <f>STDEV(All!G3:G217)</f>
        <v>2.6330201840432603</v>
      </c>
      <c r="F15" s="51">
        <f>STDEV(All!H3:H217)</f>
        <v>1.9935442226309905</v>
      </c>
      <c r="G15" s="51">
        <f>STDEV(All!I3:I217)</f>
        <v>0.37902334694322487</v>
      </c>
      <c r="H15" s="51">
        <f>STDEV(All!J3:J217)</f>
        <v>0.54328409346573214</v>
      </c>
      <c r="I15" s="51">
        <f>STDEV(All!K3:K217)</f>
        <v>0.74541489679033124</v>
      </c>
      <c r="J15" s="51">
        <f>STDEV(All!L3:L217)</f>
        <v>4.9875257824687385</v>
      </c>
      <c r="K15" s="51">
        <f>STDEV(All!M3:M217)</f>
        <v>1.7203135489394452</v>
      </c>
      <c r="L15" s="51">
        <f>STDEV(All!N3:N217)</f>
        <v>3.6939351779131626</v>
      </c>
      <c r="M15" s="51">
        <f>STDEV(All!O3:O217)</f>
        <v>1.4554878044825792</v>
      </c>
      <c r="N15" s="51">
        <f>STDEV(All!P3:P217)</f>
        <v>1.7946570336227381</v>
      </c>
    </row>
    <row r="22" spans="1:14">
      <c r="A22" s="87" t="s">
        <v>645</v>
      </c>
      <c r="B22" s="11" t="s">
        <v>3</v>
      </c>
      <c r="C22" s="11" t="s">
        <v>4</v>
      </c>
      <c r="D22" s="11" t="s">
        <v>5</v>
      </c>
      <c r="E22" s="11" t="s">
        <v>6</v>
      </c>
      <c r="F22" s="11" t="s">
        <v>7</v>
      </c>
      <c r="G22" s="11" t="s">
        <v>8</v>
      </c>
      <c r="H22" s="11" t="s">
        <v>9</v>
      </c>
      <c r="I22" s="11" t="s">
        <v>10</v>
      </c>
      <c r="J22" s="11" t="s">
        <v>11</v>
      </c>
      <c r="K22" s="12" t="s">
        <v>12</v>
      </c>
      <c r="L22" s="12" t="s">
        <v>13</v>
      </c>
      <c r="M22" s="12" t="s">
        <v>126</v>
      </c>
      <c r="N22" s="12" t="s">
        <v>127</v>
      </c>
    </row>
    <row r="23" spans="1:14">
      <c r="A23" s="6" t="s">
        <v>142</v>
      </c>
      <c r="B23" s="6">
        <f>SUM(Rankings!K2:K11)/SUM(Rankings!L2:L11)</f>
        <v>0.47747339070001249</v>
      </c>
      <c r="C23" s="6">
        <f>SUM(Rankings!M2:M11)/SUM(Rankings!N2:N11)</f>
        <v>0.785861434654335</v>
      </c>
      <c r="D23" s="15">
        <f>AVERAGE(Rankings!D2:D11)</f>
        <v>19.811200000000003</v>
      </c>
      <c r="E23" s="15">
        <f>AVERAGE(Rankings!E2:E11)</f>
        <v>84.680899999999994</v>
      </c>
      <c r="F23" s="15">
        <f>AVERAGE(Rankings!F2:F11)</f>
        <v>48.856899999999996</v>
      </c>
      <c r="G23" s="15">
        <f>AVERAGE(Rankings!G2:G11)</f>
        <v>13.883999999999997</v>
      </c>
      <c r="H23" s="15">
        <f>AVERAGE(Rankings!H2:H11)</f>
        <v>10.238199999999999</v>
      </c>
      <c r="I23" s="15">
        <f>AVERAGE(Rankings!I2:I11)</f>
        <v>25.920300000000005</v>
      </c>
      <c r="J23" s="15">
        <f>AVERAGE(Rankings!J2:J11)</f>
        <v>223.31059999999997</v>
      </c>
      <c r="K23" s="15">
        <f>AVERAGE(Rankings!K2:K11)</f>
        <v>81.783600000000007</v>
      </c>
      <c r="L23" s="15">
        <f>AVERAGE(Rankings!L2:L11)</f>
        <v>171.28410000000002</v>
      </c>
      <c r="M23" s="15">
        <f>AVERAGE(Rankings!M2:M11)</f>
        <v>39.901799999999994</v>
      </c>
      <c r="N23" s="15">
        <f>AVERAGE(Rankings!N2:N11)</f>
        <v>50.7746</v>
      </c>
    </row>
    <row r="24" spans="1:14">
      <c r="A24" s="6" t="s">
        <v>143</v>
      </c>
      <c r="B24" s="6">
        <f>STDEV((Rankings!K2/Rankings!L2),(Rankings!K3/Rankings!L3),(Rankings!K4/Rankings!L4),(Rankings!K5/Rankings!L5),(Rankings!K6/Rankings!L6),(Rankings!K7/Rankings!L7),(Rankings!K8/Rankings!L8),(Rankings!K9/Rankings!L9),(Rankings!K10/Rankings!L10),(Rankings!K11/Rankings!L11))</f>
        <v>1.642399878510525E-2</v>
      </c>
      <c r="C24" s="6">
        <f>STDEV((Rankings!M2/Rankings!N2),(Rankings!M3/Rankings!N3),(Rankings!M4/Rankings!N4),(Rankings!M5/Rankings!N5),(Rankings!M6/Rankings!N6),(Rankings!M7/Rankings!N7),(Rankings!M8/Rankings!N8),(Rankings!M9/Rankings!N9),(Rankings!M10/Rankings!N10),(Rankings!M11/Rankings!N11))</f>
        <v>3.8280677631408147E-2</v>
      </c>
      <c r="D24" s="6">
        <f>STDEV(Rankings!D2:D11)</f>
        <v>4.9712262918161798</v>
      </c>
      <c r="E24" s="6">
        <f>STDEV(Rankings!E2:E11)</f>
        <v>15.13971375188083</v>
      </c>
      <c r="F24" s="6">
        <f>STDEV(Rankings!F2:F11)</f>
        <v>8.2987957921617035</v>
      </c>
      <c r="G24" s="6">
        <f>STDEV(Rankings!G2:G11)</f>
        <v>1.6028183511136596</v>
      </c>
      <c r="H24" s="6">
        <f>STDEV(Rankings!H2:H11)</f>
        <v>3.0165242986663388</v>
      </c>
      <c r="I24" s="6">
        <f>STDEV(Rankings!I2:I11)</f>
        <v>1.7466152536962603</v>
      </c>
      <c r="J24" s="6">
        <f>STDEV(Rankings!J2:J11)</f>
        <v>13.437604343367488</v>
      </c>
      <c r="K24" s="6">
        <f>STDEV(Rankings!K2:K11)</f>
        <v>4.725819839515208</v>
      </c>
      <c r="L24" s="6">
        <f>STDEV(Rankings!L2:L11)</f>
        <v>11.690281397620653</v>
      </c>
      <c r="M24" s="6">
        <f>STDEV(Rankings!M2:M11)</f>
        <v>3.9887610106397728</v>
      </c>
      <c r="N24" s="6">
        <f>STDEV(Rankings!N2:N11)</f>
        <v>5.8484680463253733</v>
      </c>
    </row>
    <row r="26" spans="1:14">
      <c r="A26" s="87" t="s">
        <v>646</v>
      </c>
      <c r="B26" s="84" t="s">
        <v>3</v>
      </c>
      <c r="C26" s="84" t="s">
        <v>4</v>
      </c>
      <c r="D26" s="84" t="s">
        <v>5</v>
      </c>
      <c r="E26" s="84" t="s">
        <v>6</v>
      </c>
      <c r="F26" s="84" t="s">
        <v>7</v>
      </c>
      <c r="G26" s="84" t="s">
        <v>8</v>
      </c>
      <c r="H26" s="84" t="s">
        <v>9</v>
      </c>
      <c r="I26" s="84" t="s">
        <v>10</v>
      </c>
      <c r="J26" s="84" t="s">
        <v>11</v>
      </c>
      <c r="K26" s="85" t="s">
        <v>12</v>
      </c>
      <c r="L26" s="85" t="s">
        <v>13</v>
      </c>
      <c r="M26" s="85" t="s">
        <v>126</v>
      </c>
      <c r="N26" s="85" t="s">
        <v>127</v>
      </c>
    </row>
    <row r="27" spans="1:14">
      <c r="A27" s="6" t="s">
        <v>132</v>
      </c>
      <c r="B27" s="86">
        <f>(Rankings!B2-Math!B$23)/Math!B$24</f>
        <v>0.2931952017817589</v>
      </c>
      <c r="C27" s="86">
        <f>(Rankings!C2-Math!C$23)/Math!C$24</f>
        <v>0.26833728250941297</v>
      </c>
      <c r="D27" s="86">
        <f>(Rankings!D2-Math!D$23)/Math!D$24</f>
        <v>0.62133562599733227</v>
      </c>
      <c r="E27" s="86">
        <f>(Rankings!E2-Math!E$23)/Math!E$24</f>
        <v>0.34472910687308306</v>
      </c>
      <c r="F27" s="86">
        <f>(Rankings!F2-Math!F$23)/Math!F$24</f>
        <v>-0.46475417597850571</v>
      </c>
      <c r="G27" s="86">
        <f>(Rankings!G2-Math!G$23)/Math!G$24</f>
        <v>-0.17718788894741064</v>
      </c>
      <c r="H27" s="86">
        <f>(Rankings!H2-Math!H$23)/Math!H$24</f>
        <v>-0.70882903245478157</v>
      </c>
      <c r="I27" s="86">
        <f>(Rankings!I2-Math!I$23)/Math!I$24</f>
        <v>0.38915267604676373</v>
      </c>
      <c r="J27" s="86">
        <f>(Rankings!J2-Math!J$23)/Math!J$24</f>
        <v>1.6661749689818</v>
      </c>
      <c r="K27" s="86">
        <f>(Rankings!K2-Math!K$23)/Math!K$24</f>
        <v>1.4212137212342399</v>
      </c>
      <c r="L27" s="86">
        <f>(Rankings!L2-Math!L$23)/Math!L$24</f>
        <v>1.0449620145573464</v>
      </c>
      <c r="M27" s="86">
        <f>(Rankings!M2-Math!M$23)/Math!M$24</f>
        <v>1.3533525788084704</v>
      </c>
      <c r="N27" s="86">
        <f>(Rankings!N2-Math!N$23)/Math!N$24</f>
        <v>1.0473511954722294</v>
      </c>
    </row>
    <row r="28" spans="1:14">
      <c r="A28" s="6" t="s">
        <v>133</v>
      </c>
      <c r="B28" s="86">
        <f>(Rankings!B3-Math!B$23)/Math!B$24</f>
        <v>-0.80656978582801098</v>
      </c>
      <c r="C28" s="86">
        <f>(Rankings!C3-Math!C$23)/Math!C$24</f>
        <v>-0.36773649684926263</v>
      </c>
      <c r="D28" s="86">
        <f>(Rankings!D3-Math!D$23)/Math!D$24</f>
        <v>0.17878888383398928</v>
      </c>
      <c r="E28" s="86">
        <f>(Rankings!E3-Math!E$23)/Math!E$24</f>
        <v>-0.48751912492949495</v>
      </c>
      <c r="F28" s="86">
        <f>(Rankings!F3-Math!F$23)/Math!F$24</f>
        <v>-0.41655441181780545</v>
      </c>
      <c r="G28" s="86">
        <f>(Rankings!G3-Math!G$23)/Math!G$24</f>
        <v>-2.1736711446928885</v>
      </c>
      <c r="H28" s="86">
        <f>(Rankings!H3-Math!H$23)/Math!H$24</f>
        <v>-0.94088418291701459</v>
      </c>
      <c r="I28" s="86">
        <f>(Rankings!I3-Math!I$23)/Math!I$24</f>
        <v>0.2746454887444898</v>
      </c>
      <c r="J28" s="86">
        <f>(Rankings!J3-Math!J$23)/Math!J$24</f>
        <v>0.13316361713561228</v>
      </c>
      <c r="K28" s="86">
        <f>(Rankings!K3-Math!K$23)/Math!K$24</f>
        <v>0.405516939934082</v>
      </c>
      <c r="L28" s="86">
        <f>(Rankings!L3-Math!L$23)/Math!L$24</f>
        <v>0.77123036592045324</v>
      </c>
      <c r="M28" s="86">
        <f>(Rankings!M3-Math!M$23)/Math!M$24</f>
        <v>-0.67735319132761318</v>
      </c>
      <c r="N28" s="86">
        <f>(Rankings!N3-Math!N$23)/Math!N$24</f>
        <v>-0.4402178450162928</v>
      </c>
    </row>
    <row r="29" spans="1:14">
      <c r="A29" s="6" t="s">
        <v>134</v>
      </c>
      <c r="B29" s="86">
        <f>(Rankings!B4-Math!B$23)/Math!B$24</f>
        <v>-0.93317700793699543</v>
      </c>
      <c r="C29" s="86">
        <f>(Rankings!C4-Math!C$23)/Math!C$24</f>
        <v>0.77204450587965834</v>
      </c>
      <c r="D29" s="86">
        <f>(Rankings!D4-Math!D$23)/Math!D$24</f>
        <v>1.4863133493165903</v>
      </c>
      <c r="E29" s="86">
        <f>(Rankings!E4-Math!E$23)/Math!E$24</f>
        <v>-1.2272953309762313</v>
      </c>
      <c r="F29" s="86">
        <f>(Rankings!F4-Math!F$23)/Math!F$24</f>
        <v>0.43899140203461107</v>
      </c>
      <c r="G29" s="86">
        <f>(Rankings!G4-Math!G$23)/Math!G$24</f>
        <v>-0.23957799068945662</v>
      </c>
      <c r="H29" s="86">
        <f>(Rankings!H4-Math!H$23)/Math!H$24</f>
        <v>0.11993936205319507</v>
      </c>
      <c r="I29" s="86">
        <f>(Rankings!I4-Math!I$23)/Math!I$24</f>
        <v>0.50365986334903567</v>
      </c>
      <c r="J29" s="86">
        <f>(Rankings!J4-Math!J$23)/Math!J$24</f>
        <v>0.56478817250978264</v>
      </c>
      <c r="K29" s="86">
        <f>(Rankings!K4-Math!K$23)/Math!K$24</f>
        <v>3.4702973361067807E-3</v>
      </c>
      <c r="L29" s="86">
        <f>(Rankings!L4-Math!L$23)/Math!L$24</f>
        <v>0.48894460326364542</v>
      </c>
      <c r="M29" s="86">
        <f>(Rankings!M4-Math!M$23)/Math!M$24</f>
        <v>7.476005687093594E-2</v>
      </c>
      <c r="N29" s="86">
        <f>(Rankings!N4-Math!N$23)/Math!N$24</f>
        <v>-0.25213440311544405</v>
      </c>
    </row>
    <row r="30" spans="1:14">
      <c r="A30" s="6" t="s">
        <v>135</v>
      </c>
      <c r="B30" s="86">
        <f>(Rankings!B5-Math!B$23)/Math!B$24</f>
        <v>-0.41520911825844692</v>
      </c>
      <c r="C30" s="86">
        <f>(Rankings!C5-Math!C$23)/Math!C$24</f>
        <v>0.41805339405320846</v>
      </c>
      <c r="D30" s="86">
        <f>(Rankings!D5-Math!D$23)/Math!D$24</f>
        <v>-4.2484487247681835E-2</v>
      </c>
      <c r="E30" s="86">
        <f>(Rankings!E5-Math!E$23)/Math!E$24</f>
        <v>0.1597850553613982</v>
      </c>
      <c r="F30" s="86">
        <f>(Rankings!F5-Math!F$23)/Math!F$24</f>
        <v>1.7243465628490749E-2</v>
      </c>
      <c r="G30" s="86">
        <f>(Rankings!G5-Math!G$23)/Math!G$24</f>
        <v>0.44671312847305167</v>
      </c>
      <c r="H30" s="86">
        <f>(Rankings!H5-Math!H$23)/Math!H$24</f>
        <v>-1.2663581068081804E-2</v>
      </c>
      <c r="I30" s="86">
        <f>(Rankings!I5-Math!I$23)/Math!I$24</f>
        <v>-1.3284551334872905</v>
      </c>
      <c r="J30" s="86">
        <f>(Rankings!J5-Math!J$23)/Math!J$24</f>
        <v>-5.2881449836012465E-2</v>
      </c>
      <c r="K30" s="86">
        <f>(Rankings!K5-Math!K$23)/Math!K$24</f>
        <v>0.51131868798618418</v>
      </c>
      <c r="L30" s="86">
        <f>(Rankings!L5-Math!L$23)/Math!L$24</f>
        <v>0.65147276964180123</v>
      </c>
      <c r="M30" s="86">
        <f>(Rankings!M5-Math!M$23)/Math!M$24</f>
        <v>-1.3793255563129216</v>
      </c>
      <c r="N30" s="86">
        <f>(Rankings!N5-Math!N$23)/Math!N$24</f>
        <v>-1.3464380650840109</v>
      </c>
    </row>
    <row r="31" spans="1:14">
      <c r="A31" s="6" t="s">
        <v>136</v>
      </c>
      <c r="B31" s="86">
        <f>(Rankings!B6-Math!B$23)/Math!B$24</f>
        <v>-1.5989258821717227</v>
      </c>
      <c r="C31" s="86">
        <f>(Rankings!C6-Math!C$23)/Math!C$24</f>
        <v>1.3323424578952519</v>
      </c>
      <c r="D31" s="86">
        <f>(Rankings!D6-Math!D$23)/Math!D$24</f>
        <v>1.204692695212646</v>
      </c>
      <c r="E31" s="86">
        <f>(Rankings!E6-Math!E$23)/Math!E$24</f>
        <v>-1.4056342377910702</v>
      </c>
      <c r="F31" s="86">
        <f>(Rankings!F6-Math!F$23)/Math!F$24</f>
        <v>1.8367845626949002</v>
      </c>
      <c r="G31" s="86">
        <f>(Rankings!G6-Math!G$23)/Math!G$24</f>
        <v>-5.2407685463316388E-2</v>
      </c>
      <c r="H31" s="86">
        <f>(Rankings!H6-Math!H$23)/Math!H$24</f>
        <v>-1.670200370084034</v>
      </c>
      <c r="I31" s="86">
        <f>(Rankings!I6-Math!I$23)/Math!I$24</f>
        <v>0.2746454887444939</v>
      </c>
      <c r="J31" s="86">
        <f>(Rankings!J6-Math!J$23)/Math!J$24</f>
        <v>0.14804722249334354</v>
      </c>
      <c r="K31" s="86">
        <f>(Rankings!K6-Math!K$23)/Math!K$24</f>
        <v>-0.37741599565144979</v>
      </c>
      <c r="L31" s="86">
        <f>(Rankings!L6-Math!L$23)/Math!L$24</f>
        <v>0.51460694532335105</v>
      </c>
      <c r="M31" s="86">
        <f>(Rankings!M6-Math!M$23)/Math!M$24</f>
        <v>-0.10073303437538891</v>
      </c>
      <c r="N31" s="86">
        <f>(Rankings!N6-Math!N$23)/Math!N$24</f>
        <v>-0.61120279219887996</v>
      </c>
    </row>
    <row r="32" spans="1:14">
      <c r="A32" s="6" t="s">
        <v>137</v>
      </c>
      <c r="B32" s="86">
        <f>(Rankings!B7-Math!B$23)/Math!B$24</f>
        <v>0.95387096165108443</v>
      </c>
      <c r="C32" s="86">
        <f>(Rankings!C7-Math!C$23)/Math!C$24</f>
        <v>0.70780157897729079</v>
      </c>
      <c r="D32" s="86">
        <f>(Rankings!D7-Math!D$23)/Math!D$24</f>
        <v>-0.27260879317261844</v>
      </c>
      <c r="E32" s="86">
        <f>(Rankings!E7-Math!E$23)/Math!E$24</f>
        <v>5.7702544071646114E-2</v>
      </c>
      <c r="F32" s="86">
        <f>(Rankings!F7-Math!F$23)/Math!F$24</f>
        <v>-0.93656961740655287</v>
      </c>
      <c r="G32" s="86">
        <f>(Rankings!G7-Math!G$23)/Math!G$24</f>
        <v>0.30321589446634734</v>
      </c>
      <c r="H32" s="86">
        <f>(Rankings!H7-Math!H$23)/Math!H$24</f>
        <v>0.48161388941647443</v>
      </c>
      <c r="I32" s="86">
        <f>(Rankings!I7-Math!I$23)/Math!I$24</f>
        <v>-1.0699551581524178</v>
      </c>
      <c r="J32" s="86">
        <f>(Rankings!J7-Math!J$23)/Math!J$24</f>
        <v>-0.57730528461562813</v>
      </c>
      <c r="K32" s="86">
        <f>(Rankings!K7-Math!K$23)/Math!K$24</f>
        <v>-1.0718986698654314</v>
      </c>
      <c r="L32" s="86">
        <f>(Rankings!L7-Math!L$23)/Math!L$24</f>
        <v>-1.3441592606315049</v>
      </c>
      <c r="M32" s="86">
        <f>(Rankings!M7-Math!M$23)/Math!M$24</f>
        <v>1.0171579568637159</v>
      </c>
      <c r="N32" s="86">
        <f>(Rankings!N7-Math!N$23)/Math!N$24</f>
        <v>0.56397674978704981</v>
      </c>
    </row>
    <row r="33" spans="1:14">
      <c r="A33" s="6" t="s">
        <v>138</v>
      </c>
      <c r="B33" s="86">
        <f>(Rankings!B8-Math!B$23)/Math!B$24</f>
        <v>0.46547256151720479</v>
      </c>
      <c r="C33" s="86">
        <f>(Rankings!C8-Math!C$23)/Math!C$24</f>
        <v>-1.2726446949229762</v>
      </c>
      <c r="D33" s="86">
        <f>(Rankings!D8-Math!D$23)/Math!D$24</f>
        <v>-0.3329560761948932</v>
      </c>
      <c r="E33" s="86">
        <f>(Rankings!E8-Math!E$23)/Math!E$24</f>
        <v>0.80408389481522713</v>
      </c>
      <c r="F33" s="86">
        <f>(Rankings!F8-Math!F$23)/Math!F$24</f>
        <v>0.6781224819768823</v>
      </c>
      <c r="G33" s="86">
        <f>(Rankings!G8-Math!G$23)/Math!G$24</f>
        <v>-0.44546532643820813</v>
      </c>
      <c r="H33" s="86">
        <f>(Rankings!H8-Math!H$23)/Math!H$24</f>
        <v>-0.31400376931118273</v>
      </c>
      <c r="I33" s="86">
        <f>(Rankings!I8-Math!I$23)/Math!I$24</f>
        <v>2.0217388990088851</v>
      </c>
      <c r="J33" s="86">
        <f>(Rankings!J8-Math!J$23)/Math!J$24</f>
        <v>0.31571103684816648</v>
      </c>
      <c r="K33" s="86">
        <f>(Rankings!K8-Math!K$23)/Math!K$24</f>
        <v>0.74789139663067405</v>
      </c>
      <c r="L33" s="86">
        <f>(Rankings!L8-Math!L$23)/Math!L$24</f>
        <v>0.39232588540883612</v>
      </c>
      <c r="M33" s="86">
        <f>(Rankings!M8-Math!M$23)/Math!M$24</f>
        <v>-0.36171633150028937</v>
      </c>
      <c r="N33" s="86">
        <f>(Rankings!N8-Math!N$23)/Math!N$24</f>
        <v>0.23910535014013082</v>
      </c>
    </row>
    <row r="34" spans="1:14">
      <c r="A34" s="6" t="s">
        <v>139</v>
      </c>
      <c r="B34" s="86">
        <f>(Rankings!B9-Math!B$23)/Math!B$24</f>
        <v>1.8445818337897883</v>
      </c>
      <c r="C34" s="86">
        <f>(Rankings!C9-Math!C$23)/Math!C$24</f>
        <v>-1.9804250068549951</v>
      </c>
      <c r="D34" s="86">
        <f>(Rankings!D9-Math!D$23)/Math!D$24</f>
        <v>-2.0741763489975682</v>
      </c>
      <c r="E34" s="86">
        <f>(Rankings!E9-Math!E$23)/Math!E$24</f>
        <v>1.8705175318444753</v>
      </c>
      <c r="F34" s="86">
        <f>(Rankings!F9-Math!F$23)/Math!F$24</f>
        <v>-1.2841501667103978</v>
      </c>
      <c r="G34" s="86">
        <f>(Rankings!G9-Math!G$23)/Math!G$24</f>
        <v>-0.17718788894740953</v>
      </c>
      <c r="H34" s="86">
        <f>(Rankings!H9-Math!H$23)/Math!H$24</f>
        <v>1.5122702648265951</v>
      </c>
      <c r="I34" s="86">
        <f>(Rankings!I9-Math!I$23)/Math!I$24</f>
        <v>-0.18338326046458969</v>
      </c>
      <c r="J34" s="86">
        <f>(Rankings!J9-Math!J$23)/Math!J$24</f>
        <v>-0.55148222931996593</v>
      </c>
      <c r="K34" s="86">
        <f>(Rankings!K9-Math!K$23)/Math!K$24</f>
        <v>-1.7690052274311859E-2</v>
      </c>
      <c r="L34" s="86">
        <f>(Rankings!L9-Math!L$23)/Math!L$24</f>
        <v>-0.88826775394076607</v>
      </c>
      <c r="M34" s="86">
        <f>(Rankings!M9-Math!M$23)/Math!M$24</f>
        <v>0.80180286346286467</v>
      </c>
      <c r="N34" s="86">
        <f>(Rankings!N9-Math!N$23)/Math!N$24</f>
        <v>1.6970939947660624</v>
      </c>
    </row>
    <row r="35" spans="1:14">
      <c r="A35" s="6" t="s">
        <v>140</v>
      </c>
      <c r="B35" s="86">
        <f>(Rankings!B10-Math!B$23)/Math!B$24</f>
        <v>0.22892435131118874</v>
      </c>
      <c r="C35" s="86">
        <f>(Rankings!C10-Math!C$23)/Math!C$24</f>
        <v>0.19764005918238378</v>
      </c>
      <c r="D35" s="86">
        <f>(Rankings!D10-Math!D$23)/Math!D$24</f>
        <v>-0.64595731747041973</v>
      </c>
      <c r="E35" s="86">
        <f>(Rankings!E10-Math!E$23)/Math!E$24</f>
        <v>-0.75833005750017479</v>
      </c>
      <c r="F35" s="86">
        <f>(Rankings!F10-Math!F$23)/Math!F$24</f>
        <v>1.0776382771638799</v>
      </c>
      <c r="G35" s="86">
        <f>(Rankings!G10-Math!G$23)/Math!G$24</f>
        <v>0.758663637183284</v>
      </c>
      <c r="H35" s="86">
        <f>(Rankings!H10-Math!H$23)/Math!H$24</f>
        <v>5.3637890492556045E-2</v>
      </c>
      <c r="I35" s="86">
        <f>(Rankings!I10-Math!I$23)/Math!I$24</f>
        <v>-1.1566943525338866</v>
      </c>
      <c r="J35" s="86">
        <f>(Rankings!J10-Math!J$23)/Math!J$24</f>
        <v>-2.1961206213491282</v>
      </c>
      <c r="K35" s="86">
        <f>(Rankings!K10-Math!K$23)/Math!K$24</f>
        <v>-2.1125646637058746</v>
      </c>
      <c r="L35" s="86">
        <f>(Rankings!L10-Math!L$23)/Math!L$24</f>
        <v>-1.8890990942694355</v>
      </c>
      <c r="M35" s="86">
        <f>(Rankings!M10-Math!M$23)/Math!M$24</f>
        <v>-1.5297482059526313</v>
      </c>
      <c r="N35" s="86">
        <f>(Rankings!N10-Math!N$23)/Math!N$24</f>
        <v>-1.397733549238787</v>
      </c>
    </row>
    <row r="36" spans="1:14">
      <c r="A36" s="6" t="s">
        <v>141</v>
      </c>
      <c r="B36" s="86">
        <f>(Rankings!B11-Math!B$23)/Math!B$24</f>
        <v>0.30614003778485976</v>
      </c>
      <c r="C36" s="86">
        <f>(Rankings!C11-Math!C$23)/Math!C$24</f>
        <v>0.43744371134168974</v>
      </c>
      <c r="D36" s="86">
        <f>(Rankings!D11-Math!D$23)/Math!D$24</f>
        <v>-0.12294753127737933</v>
      </c>
      <c r="E36" s="86">
        <f>(Rankings!E11-Math!E$23)/Math!E$24</f>
        <v>0.64196061823114581</v>
      </c>
      <c r="F36" s="86">
        <f>(Rankings!F11-Math!F$23)/Math!F$24</f>
        <v>-0.94675181758550042</v>
      </c>
      <c r="G36" s="86">
        <f>(Rankings!G11-Math!G$23)/Math!G$24</f>
        <v>1.7569052650560235</v>
      </c>
      <c r="H36" s="86">
        <f>(Rankings!H11-Math!H$23)/Math!H$24</f>
        <v>1.4791195290462757</v>
      </c>
      <c r="I36" s="86">
        <f>(Rankings!I11-Math!I$23)/Math!I$24</f>
        <v>0.27464548874449185</v>
      </c>
      <c r="J36" s="86">
        <f>(Rankings!J11-Math!J$23)/Math!J$24</f>
        <v>0.5499045671520556</v>
      </c>
      <c r="K36" s="86">
        <f>(Rankings!K11-Math!K$23)/Math!K$24</f>
        <v>0.49015833837576256</v>
      </c>
      <c r="L36" s="86">
        <f>(Rankings!L11-Math!L$23)/Math!L$24</f>
        <v>0.25798352472626096</v>
      </c>
      <c r="M36" s="86">
        <f>(Rankings!M11-Math!M$23)/Math!M$24</f>
        <v>0.80180286346286644</v>
      </c>
      <c r="N36" s="86">
        <f>(Rankings!N11-Math!N$23)/Math!N$24</f>
        <v>0.50019936448794589</v>
      </c>
    </row>
  </sheetData>
  <conditionalFormatting sqref="B27:B36">
    <cfRule type="colorScale" priority="14">
      <colorScale>
        <cfvo type="min"/>
        <cfvo type="percentile" val="50"/>
        <cfvo type="max"/>
        <color rgb="FFF8696B"/>
        <color rgb="FFFFEB84"/>
        <color rgb="FF63BE7B"/>
      </colorScale>
    </cfRule>
  </conditionalFormatting>
  <conditionalFormatting sqref="C27:C36">
    <cfRule type="colorScale" priority="13">
      <colorScale>
        <cfvo type="min"/>
        <cfvo type="percentile" val="50"/>
        <cfvo type="max"/>
        <color rgb="FFF8696B"/>
        <color rgb="FFFFEB84"/>
        <color rgb="FF63BE7B"/>
      </colorScale>
    </cfRule>
  </conditionalFormatting>
  <conditionalFormatting sqref="D27:D36">
    <cfRule type="colorScale" priority="12">
      <colorScale>
        <cfvo type="min"/>
        <cfvo type="percentile" val="50"/>
        <cfvo type="max"/>
        <color rgb="FFF8696B"/>
        <color rgb="FFFFEB84"/>
        <color rgb="FF63BE7B"/>
      </colorScale>
    </cfRule>
  </conditionalFormatting>
  <conditionalFormatting sqref="E27:E36">
    <cfRule type="colorScale" priority="11">
      <colorScale>
        <cfvo type="min"/>
        <cfvo type="percentile" val="50"/>
        <cfvo type="max"/>
        <color rgb="FFF8696B"/>
        <color rgb="FFFFEB84"/>
        <color rgb="FF63BE7B"/>
      </colorScale>
    </cfRule>
  </conditionalFormatting>
  <conditionalFormatting sqref="F27:F36">
    <cfRule type="colorScale" priority="10">
      <colorScale>
        <cfvo type="min"/>
        <cfvo type="percentile" val="50"/>
        <cfvo type="max"/>
        <color rgb="FFF8696B"/>
        <color rgb="FFFFEB84"/>
        <color rgb="FF63BE7B"/>
      </colorScale>
    </cfRule>
  </conditionalFormatting>
  <conditionalFormatting sqref="G27:G36">
    <cfRule type="colorScale" priority="9">
      <colorScale>
        <cfvo type="min"/>
        <cfvo type="percentile" val="50"/>
        <cfvo type="max"/>
        <color rgb="FFF8696B"/>
        <color rgb="FFFFEB84"/>
        <color rgb="FF63BE7B"/>
      </colorScale>
    </cfRule>
  </conditionalFormatting>
  <conditionalFormatting sqref="H27:H36">
    <cfRule type="colorScale" priority="8">
      <colorScale>
        <cfvo type="min"/>
        <cfvo type="percentile" val="50"/>
        <cfvo type="max"/>
        <color rgb="FFF8696B"/>
        <color rgb="FFFFEB84"/>
        <color rgb="FF63BE7B"/>
      </colorScale>
    </cfRule>
  </conditionalFormatting>
  <conditionalFormatting sqref="I27:I36">
    <cfRule type="colorScale" priority="1">
      <colorScale>
        <cfvo type="min"/>
        <cfvo type="percentile" val="50"/>
        <cfvo type="max"/>
        <color rgb="FF63BE7B"/>
        <color rgb="FFFFEB84"/>
        <color rgb="FFF8696B"/>
      </colorScale>
    </cfRule>
  </conditionalFormatting>
  <conditionalFormatting sqref="J27:J36">
    <cfRule type="colorScale" priority="6">
      <colorScale>
        <cfvo type="min"/>
        <cfvo type="percentile" val="50"/>
        <cfvo type="max"/>
        <color rgb="FFF8696B"/>
        <color rgb="FFFFEB84"/>
        <color rgb="FF63BE7B"/>
      </colorScale>
    </cfRule>
  </conditionalFormatting>
  <conditionalFormatting sqref="K27:K36">
    <cfRule type="colorScale" priority="5">
      <colorScale>
        <cfvo type="min"/>
        <cfvo type="percentile" val="50"/>
        <cfvo type="max"/>
        <color rgb="FFF8696B"/>
        <color rgb="FFFFEB84"/>
        <color rgb="FF63BE7B"/>
      </colorScale>
    </cfRule>
  </conditionalFormatting>
  <conditionalFormatting sqref="L27:L36">
    <cfRule type="colorScale" priority="4">
      <colorScale>
        <cfvo type="min"/>
        <cfvo type="percentile" val="50"/>
        <cfvo type="max"/>
        <color rgb="FFF8696B"/>
        <color rgb="FFFFEB84"/>
        <color rgb="FF63BE7B"/>
      </colorScale>
    </cfRule>
  </conditionalFormatting>
  <conditionalFormatting sqref="M27:M36">
    <cfRule type="colorScale" priority="3">
      <colorScale>
        <cfvo type="min"/>
        <cfvo type="percentile" val="50"/>
        <cfvo type="max"/>
        <color rgb="FFF8696B"/>
        <color rgb="FFFFEB84"/>
        <color rgb="FF63BE7B"/>
      </colorScale>
    </cfRule>
  </conditionalFormatting>
  <conditionalFormatting sqref="N27:N36">
    <cfRule type="colorScale" priority="2">
      <colorScale>
        <cfvo type="min"/>
        <cfvo type="percentile" val="50"/>
        <cfvo type="max"/>
        <color rgb="FFF8696B"/>
        <color rgb="FFFFEB84"/>
        <color rgb="FF63BE7B"/>
      </colorScale>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5B749-D3CB-2142-A4D8-B55D8B1DF317}">
  <sheetPr codeName="Sheet20"/>
  <dimension ref="A1:FW33"/>
  <sheetViews>
    <sheetView workbookViewId="0">
      <selection activeCell="C35" sqref="C35"/>
    </sheetView>
  </sheetViews>
  <sheetFormatPr baseColWidth="10" defaultRowHeight="16"/>
  <sheetData>
    <row r="1" spans="1:179" ht="18">
      <c r="A1" s="63"/>
      <c r="B1" s="91" t="s">
        <v>538</v>
      </c>
      <c r="C1" s="89"/>
      <c r="D1" s="89"/>
      <c r="E1" s="89"/>
      <c r="F1" s="89"/>
      <c r="G1" s="89"/>
      <c r="H1" s="89"/>
      <c r="I1" s="90" t="s">
        <v>539</v>
      </c>
      <c r="J1" s="89"/>
      <c r="K1" s="89"/>
      <c r="L1" s="89"/>
      <c r="M1" s="89"/>
      <c r="N1" s="89"/>
      <c r="O1" s="89"/>
      <c r="P1" s="91" t="s">
        <v>540</v>
      </c>
      <c r="Q1" s="89"/>
      <c r="R1" s="89"/>
      <c r="S1" s="89"/>
      <c r="T1" s="89"/>
      <c r="U1" s="89"/>
      <c r="V1" s="89"/>
      <c r="W1" s="90" t="s">
        <v>541</v>
      </c>
      <c r="X1" s="89"/>
      <c r="Y1" s="89"/>
      <c r="Z1" s="89"/>
      <c r="AA1" s="89"/>
      <c r="AB1" s="89"/>
      <c r="AC1" s="89"/>
      <c r="AD1" s="91" t="s">
        <v>542</v>
      </c>
      <c r="AE1" s="89"/>
      <c r="AF1" s="89"/>
      <c r="AG1" s="89"/>
      <c r="AH1" s="89"/>
      <c r="AI1" s="89"/>
      <c r="AJ1" s="89"/>
      <c r="AK1" s="90" t="s">
        <v>543</v>
      </c>
      <c r="AL1" s="89"/>
      <c r="AM1" s="89"/>
      <c r="AN1" s="89"/>
      <c r="AO1" s="89"/>
      <c r="AP1" s="89"/>
      <c r="AQ1" s="89"/>
      <c r="AR1" s="91" t="s">
        <v>544</v>
      </c>
      <c r="AS1" s="89"/>
      <c r="AT1" s="89"/>
      <c r="AU1" s="89"/>
      <c r="AV1" s="89"/>
      <c r="AW1" s="89"/>
      <c r="AX1" s="89"/>
      <c r="AY1" s="90" t="s">
        <v>545</v>
      </c>
      <c r="AZ1" s="89"/>
      <c r="BA1" s="89"/>
      <c r="BB1" s="89"/>
      <c r="BC1" s="89"/>
      <c r="BD1" s="89"/>
      <c r="BE1" s="89"/>
      <c r="BF1" s="91" t="s">
        <v>546</v>
      </c>
      <c r="BG1" s="89"/>
      <c r="BH1" s="89"/>
      <c r="BI1" s="89"/>
      <c r="BJ1" s="89"/>
      <c r="BK1" s="89"/>
      <c r="BL1" s="89"/>
      <c r="BM1" s="90" t="s">
        <v>547</v>
      </c>
      <c r="BN1" s="89"/>
      <c r="BO1" s="89"/>
      <c r="BP1" s="89"/>
      <c r="BQ1" s="89"/>
      <c r="BR1" s="89"/>
      <c r="BS1" s="89"/>
      <c r="BT1" s="91" t="s">
        <v>548</v>
      </c>
      <c r="BU1" s="89"/>
      <c r="BV1" s="89"/>
      <c r="BW1" s="89"/>
      <c r="BX1" s="89"/>
      <c r="BY1" s="89"/>
      <c r="BZ1" s="89"/>
      <c r="CA1" s="90" t="s">
        <v>549</v>
      </c>
      <c r="CB1" s="89"/>
      <c r="CC1" s="89"/>
      <c r="CD1" s="89"/>
      <c r="CE1" s="89"/>
      <c r="CF1" s="89"/>
      <c r="CG1" s="89"/>
      <c r="CH1" s="91" t="s">
        <v>550</v>
      </c>
      <c r="CI1" s="89"/>
      <c r="CJ1" s="89"/>
      <c r="CK1" s="89"/>
      <c r="CL1" s="89"/>
      <c r="CM1" s="89"/>
      <c r="CN1" s="89"/>
      <c r="CO1" s="90" t="s">
        <v>551</v>
      </c>
      <c r="CP1" s="89"/>
      <c r="CQ1" s="89"/>
      <c r="CR1" s="89"/>
      <c r="CS1" s="89"/>
      <c r="CT1" s="89"/>
      <c r="CU1" s="89"/>
      <c r="CV1" s="91" t="s">
        <v>552</v>
      </c>
      <c r="CW1" s="89"/>
      <c r="CX1" s="89"/>
      <c r="CY1" s="89"/>
      <c r="CZ1" s="89"/>
      <c r="DA1" s="89"/>
      <c r="DB1" s="89"/>
      <c r="DC1" s="90" t="s">
        <v>553</v>
      </c>
      <c r="DD1" s="89"/>
      <c r="DE1" s="89"/>
      <c r="DF1" s="89"/>
      <c r="DG1" s="89"/>
      <c r="DH1" s="89"/>
      <c r="DI1" s="89"/>
      <c r="DJ1" s="92" t="s">
        <v>554</v>
      </c>
      <c r="DK1" s="89"/>
      <c r="DL1" s="89"/>
      <c r="DM1" s="89"/>
      <c r="DN1" s="89"/>
      <c r="DO1" s="89"/>
      <c r="DP1" s="89"/>
      <c r="DQ1" s="89"/>
      <c r="DR1" s="89"/>
      <c r="DS1" s="89"/>
      <c r="DT1" s="89"/>
      <c r="DU1" s="89"/>
      <c r="DV1" s="89"/>
      <c r="DW1" s="89"/>
      <c r="DX1" s="91" t="s">
        <v>555</v>
      </c>
      <c r="DY1" s="89"/>
      <c r="DZ1" s="89"/>
      <c r="EA1" s="89"/>
      <c r="EB1" s="89"/>
      <c r="EC1" s="89"/>
      <c r="ED1" s="89"/>
      <c r="EE1" s="90" t="s">
        <v>556</v>
      </c>
      <c r="EF1" s="89"/>
      <c r="EG1" s="89"/>
      <c r="EH1" s="89"/>
      <c r="EI1" s="89"/>
      <c r="EJ1" s="89"/>
      <c r="EK1" s="89"/>
      <c r="EL1" s="91" t="s">
        <v>557</v>
      </c>
      <c r="EM1" s="89"/>
      <c r="EN1" s="89"/>
      <c r="EO1" s="89"/>
      <c r="EP1" s="89"/>
      <c r="EQ1" s="89"/>
      <c r="ER1" s="89"/>
      <c r="ES1" s="90" t="s">
        <v>558</v>
      </c>
      <c r="ET1" s="89"/>
      <c r="EU1" s="89"/>
      <c r="EV1" s="89"/>
      <c r="EW1" s="89"/>
      <c r="EX1" s="89"/>
      <c r="EY1" s="89"/>
      <c r="EZ1" s="91" t="s">
        <v>559</v>
      </c>
      <c r="FA1" s="89"/>
      <c r="FB1" s="89"/>
      <c r="FC1" s="89"/>
      <c r="FD1" s="89"/>
      <c r="FE1" s="89"/>
      <c r="FF1" s="89"/>
      <c r="FG1" s="90" t="s">
        <v>560</v>
      </c>
      <c r="FH1" s="89"/>
      <c r="FI1" s="89"/>
      <c r="FJ1" s="89"/>
      <c r="FK1" s="89"/>
      <c r="FL1" s="89"/>
      <c r="FM1" s="89"/>
      <c r="FN1" s="91" t="s">
        <v>561</v>
      </c>
      <c r="FO1" s="89"/>
      <c r="FP1" s="89"/>
      <c r="FQ1" s="89"/>
      <c r="FR1" s="89"/>
      <c r="FS1" s="89"/>
      <c r="FT1" s="89"/>
      <c r="FU1" s="88"/>
      <c r="FV1" s="89"/>
      <c r="FW1" s="89"/>
    </row>
    <row r="2" spans="1:179">
      <c r="A2" s="65"/>
      <c r="B2" s="66" t="str">
        <f t="shared" ref="B2:FW2" si="0">TEXT(B3,"dddd")</f>
        <v>Monday</v>
      </c>
      <c r="C2" s="67" t="str">
        <f t="shared" si="0"/>
        <v>Tuesday</v>
      </c>
      <c r="D2" s="67" t="str">
        <f t="shared" si="0"/>
        <v>Wednesday</v>
      </c>
      <c r="E2" s="67" t="str">
        <f t="shared" si="0"/>
        <v>Thursday</v>
      </c>
      <c r="F2" s="67" t="str">
        <f t="shared" si="0"/>
        <v>Friday</v>
      </c>
      <c r="G2" s="67" t="str">
        <f t="shared" si="0"/>
        <v>Saturday</v>
      </c>
      <c r="H2" s="67" t="str">
        <f t="shared" si="0"/>
        <v>Sunday</v>
      </c>
      <c r="I2" s="68" t="str">
        <f t="shared" si="0"/>
        <v>Monday</v>
      </c>
      <c r="J2" s="68" t="str">
        <f t="shared" si="0"/>
        <v>Tuesday</v>
      </c>
      <c r="K2" s="68" t="str">
        <f t="shared" si="0"/>
        <v>Wednesday</v>
      </c>
      <c r="L2" s="68" t="str">
        <f t="shared" si="0"/>
        <v>Thursday</v>
      </c>
      <c r="M2" s="68" t="str">
        <f t="shared" si="0"/>
        <v>Friday</v>
      </c>
      <c r="N2" s="68" t="str">
        <f t="shared" si="0"/>
        <v>Saturday</v>
      </c>
      <c r="O2" s="68" t="str">
        <f t="shared" si="0"/>
        <v>Sunday</v>
      </c>
      <c r="P2" s="67" t="str">
        <f t="shared" si="0"/>
        <v>Monday</v>
      </c>
      <c r="Q2" s="67" t="str">
        <f t="shared" si="0"/>
        <v>Tuesday</v>
      </c>
      <c r="R2" s="67" t="str">
        <f t="shared" si="0"/>
        <v>Wednesday</v>
      </c>
      <c r="S2" s="67" t="str">
        <f t="shared" si="0"/>
        <v>Thursday</v>
      </c>
      <c r="T2" s="67" t="str">
        <f t="shared" si="0"/>
        <v>Friday</v>
      </c>
      <c r="U2" s="67" t="str">
        <f t="shared" si="0"/>
        <v>Saturday</v>
      </c>
      <c r="V2" s="67" t="str">
        <f t="shared" si="0"/>
        <v>Sunday</v>
      </c>
      <c r="W2" s="68" t="str">
        <f t="shared" si="0"/>
        <v>Monday</v>
      </c>
      <c r="X2" s="68" t="str">
        <f t="shared" si="0"/>
        <v>Tuesday</v>
      </c>
      <c r="Y2" s="68" t="str">
        <f t="shared" si="0"/>
        <v>Wednesday</v>
      </c>
      <c r="Z2" s="68" t="str">
        <f t="shared" si="0"/>
        <v>Thursday</v>
      </c>
      <c r="AA2" s="68" t="str">
        <f t="shared" si="0"/>
        <v>Friday</v>
      </c>
      <c r="AB2" s="68" t="str">
        <f t="shared" si="0"/>
        <v>Saturday</v>
      </c>
      <c r="AC2" s="68" t="str">
        <f t="shared" si="0"/>
        <v>Sunday</v>
      </c>
      <c r="AD2" s="67" t="str">
        <f t="shared" si="0"/>
        <v>Monday</v>
      </c>
      <c r="AE2" s="67" t="str">
        <f t="shared" si="0"/>
        <v>Tuesday</v>
      </c>
      <c r="AF2" s="67" t="str">
        <f t="shared" si="0"/>
        <v>Wednesday</v>
      </c>
      <c r="AG2" s="67" t="str">
        <f t="shared" si="0"/>
        <v>Thursday</v>
      </c>
      <c r="AH2" s="67" t="str">
        <f t="shared" si="0"/>
        <v>Friday</v>
      </c>
      <c r="AI2" s="67" t="str">
        <f t="shared" si="0"/>
        <v>Saturday</v>
      </c>
      <c r="AJ2" s="67" t="str">
        <f t="shared" si="0"/>
        <v>Sunday</v>
      </c>
      <c r="AK2" s="68" t="str">
        <f t="shared" si="0"/>
        <v>Monday</v>
      </c>
      <c r="AL2" s="68" t="str">
        <f t="shared" si="0"/>
        <v>Tuesday</v>
      </c>
      <c r="AM2" s="68" t="str">
        <f t="shared" si="0"/>
        <v>Wednesday</v>
      </c>
      <c r="AN2" s="68" t="str">
        <f t="shared" si="0"/>
        <v>Thursday</v>
      </c>
      <c r="AO2" s="68" t="str">
        <f t="shared" si="0"/>
        <v>Friday</v>
      </c>
      <c r="AP2" s="68" t="str">
        <f t="shared" si="0"/>
        <v>Saturday</v>
      </c>
      <c r="AQ2" s="68" t="str">
        <f t="shared" si="0"/>
        <v>Sunday</v>
      </c>
      <c r="AR2" s="67" t="str">
        <f t="shared" si="0"/>
        <v>Monday</v>
      </c>
      <c r="AS2" s="67" t="str">
        <f t="shared" si="0"/>
        <v>Tuesday</v>
      </c>
      <c r="AT2" s="67" t="str">
        <f t="shared" si="0"/>
        <v>Wednesday</v>
      </c>
      <c r="AU2" s="67" t="str">
        <f t="shared" si="0"/>
        <v>Thursday</v>
      </c>
      <c r="AV2" s="67" t="str">
        <f t="shared" si="0"/>
        <v>Friday</v>
      </c>
      <c r="AW2" s="67" t="str">
        <f t="shared" si="0"/>
        <v>Saturday</v>
      </c>
      <c r="AX2" s="67" t="str">
        <f t="shared" si="0"/>
        <v>Sunday</v>
      </c>
      <c r="AY2" s="68" t="str">
        <f t="shared" si="0"/>
        <v>Monday</v>
      </c>
      <c r="AZ2" s="68" t="str">
        <f t="shared" si="0"/>
        <v>Tuesday</v>
      </c>
      <c r="BA2" s="68" t="str">
        <f t="shared" si="0"/>
        <v>Wednesday</v>
      </c>
      <c r="BB2" s="68" t="str">
        <f t="shared" si="0"/>
        <v>Thursday</v>
      </c>
      <c r="BC2" s="68" t="str">
        <f t="shared" si="0"/>
        <v>Friday</v>
      </c>
      <c r="BD2" s="68" t="str">
        <f t="shared" si="0"/>
        <v>Saturday</v>
      </c>
      <c r="BE2" s="68" t="str">
        <f t="shared" si="0"/>
        <v>Sunday</v>
      </c>
      <c r="BF2" s="67" t="str">
        <f t="shared" si="0"/>
        <v>Monday</v>
      </c>
      <c r="BG2" s="67" t="str">
        <f t="shared" si="0"/>
        <v>Tuesday</v>
      </c>
      <c r="BH2" s="67" t="str">
        <f t="shared" si="0"/>
        <v>Wednesday</v>
      </c>
      <c r="BI2" s="67" t="str">
        <f t="shared" si="0"/>
        <v>Thursday</v>
      </c>
      <c r="BJ2" s="67" t="str">
        <f t="shared" si="0"/>
        <v>Friday</v>
      </c>
      <c r="BK2" s="67" t="str">
        <f t="shared" si="0"/>
        <v>Saturday</v>
      </c>
      <c r="BL2" s="67" t="str">
        <f t="shared" si="0"/>
        <v>Sunday</v>
      </c>
      <c r="BM2" s="68" t="str">
        <f t="shared" si="0"/>
        <v>Monday</v>
      </c>
      <c r="BN2" s="68" t="str">
        <f t="shared" si="0"/>
        <v>Tuesday</v>
      </c>
      <c r="BO2" s="68" t="str">
        <f t="shared" si="0"/>
        <v>Wednesday</v>
      </c>
      <c r="BP2" s="68" t="str">
        <f t="shared" si="0"/>
        <v>Thursday</v>
      </c>
      <c r="BQ2" s="68" t="str">
        <f t="shared" si="0"/>
        <v>Friday</v>
      </c>
      <c r="BR2" s="68" t="str">
        <f t="shared" si="0"/>
        <v>Saturday</v>
      </c>
      <c r="BS2" s="68" t="str">
        <f t="shared" si="0"/>
        <v>Sunday</v>
      </c>
      <c r="BT2" s="67" t="str">
        <f t="shared" si="0"/>
        <v>Monday</v>
      </c>
      <c r="BU2" s="67" t="str">
        <f t="shared" si="0"/>
        <v>Tuesday</v>
      </c>
      <c r="BV2" s="67" t="str">
        <f t="shared" si="0"/>
        <v>Wednesday</v>
      </c>
      <c r="BW2" s="67" t="str">
        <f t="shared" si="0"/>
        <v>Thursday</v>
      </c>
      <c r="BX2" s="67" t="str">
        <f t="shared" si="0"/>
        <v>Friday</v>
      </c>
      <c r="BY2" s="67" t="str">
        <f t="shared" si="0"/>
        <v>Saturday</v>
      </c>
      <c r="BZ2" s="67" t="str">
        <f t="shared" si="0"/>
        <v>Sunday</v>
      </c>
      <c r="CA2" s="68" t="str">
        <f t="shared" si="0"/>
        <v>Monday</v>
      </c>
      <c r="CB2" s="68" t="str">
        <f t="shared" si="0"/>
        <v>Tuesday</v>
      </c>
      <c r="CC2" s="68" t="str">
        <f t="shared" si="0"/>
        <v>Wednesday</v>
      </c>
      <c r="CD2" s="68" t="str">
        <f t="shared" si="0"/>
        <v>Thursday</v>
      </c>
      <c r="CE2" s="68" t="str">
        <f t="shared" si="0"/>
        <v>Friday</v>
      </c>
      <c r="CF2" s="68" t="str">
        <f t="shared" si="0"/>
        <v>Saturday</v>
      </c>
      <c r="CG2" s="68" t="str">
        <f t="shared" si="0"/>
        <v>Sunday</v>
      </c>
      <c r="CH2" s="67" t="str">
        <f t="shared" si="0"/>
        <v>Monday</v>
      </c>
      <c r="CI2" s="67" t="str">
        <f t="shared" si="0"/>
        <v>Tuesday</v>
      </c>
      <c r="CJ2" s="67" t="str">
        <f t="shared" si="0"/>
        <v>Wednesday</v>
      </c>
      <c r="CK2" s="67" t="str">
        <f t="shared" si="0"/>
        <v>Thursday</v>
      </c>
      <c r="CL2" s="67" t="str">
        <f t="shared" si="0"/>
        <v>Friday</v>
      </c>
      <c r="CM2" s="67" t="str">
        <f t="shared" si="0"/>
        <v>Saturday</v>
      </c>
      <c r="CN2" s="67" t="str">
        <f t="shared" si="0"/>
        <v>Sunday</v>
      </c>
      <c r="CO2" s="68" t="str">
        <f t="shared" si="0"/>
        <v>Monday</v>
      </c>
      <c r="CP2" s="68" t="str">
        <f t="shared" si="0"/>
        <v>Tuesday</v>
      </c>
      <c r="CQ2" s="68" t="str">
        <f t="shared" si="0"/>
        <v>Wednesday</v>
      </c>
      <c r="CR2" s="68" t="str">
        <f t="shared" si="0"/>
        <v>Thursday</v>
      </c>
      <c r="CS2" s="68" t="str">
        <f t="shared" si="0"/>
        <v>Friday</v>
      </c>
      <c r="CT2" s="68" t="str">
        <f t="shared" si="0"/>
        <v>Saturday</v>
      </c>
      <c r="CU2" s="68" t="str">
        <f t="shared" si="0"/>
        <v>Sunday</v>
      </c>
      <c r="CV2" s="67" t="str">
        <f t="shared" si="0"/>
        <v>Monday</v>
      </c>
      <c r="CW2" s="67" t="str">
        <f t="shared" si="0"/>
        <v>Tuesday</v>
      </c>
      <c r="CX2" s="67" t="str">
        <f t="shared" si="0"/>
        <v>Wednesday</v>
      </c>
      <c r="CY2" s="67" t="str">
        <f t="shared" si="0"/>
        <v>Thursday</v>
      </c>
      <c r="CZ2" s="67" t="str">
        <f t="shared" si="0"/>
        <v>Friday</v>
      </c>
      <c r="DA2" s="67" t="str">
        <f t="shared" si="0"/>
        <v>Saturday</v>
      </c>
      <c r="DB2" s="67" t="str">
        <f t="shared" si="0"/>
        <v>Sunday</v>
      </c>
      <c r="DC2" s="68" t="str">
        <f t="shared" si="0"/>
        <v>Monday</v>
      </c>
      <c r="DD2" s="68" t="str">
        <f t="shared" si="0"/>
        <v>Tuesday</v>
      </c>
      <c r="DE2" s="68" t="str">
        <f t="shared" si="0"/>
        <v>Wednesday</v>
      </c>
      <c r="DF2" s="68" t="str">
        <f t="shared" si="0"/>
        <v>Thursday</v>
      </c>
      <c r="DG2" s="68" t="str">
        <f t="shared" si="0"/>
        <v>Friday</v>
      </c>
      <c r="DH2" s="68" t="str">
        <f t="shared" si="0"/>
        <v>Saturday</v>
      </c>
      <c r="DI2" s="68" t="str">
        <f t="shared" si="0"/>
        <v>Sunday</v>
      </c>
      <c r="DJ2" s="69" t="str">
        <f t="shared" si="0"/>
        <v>Monday</v>
      </c>
      <c r="DK2" s="69" t="str">
        <f t="shared" si="0"/>
        <v>Tuesday</v>
      </c>
      <c r="DL2" s="69" t="str">
        <f t="shared" si="0"/>
        <v>Wednesday</v>
      </c>
      <c r="DM2" s="69" t="str">
        <f t="shared" si="0"/>
        <v>Thursday</v>
      </c>
      <c r="DN2" s="69" t="str">
        <f t="shared" si="0"/>
        <v>Friday</v>
      </c>
      <c r="DO2" s="69" t="str">
        <f t="shared" si="0"/>
        <v>Saturday</v>
      </c>
      <c r="DP2" s="69" t="str">
        <f t="shared" si="0"/>
        <v>Sunday</v>
      </c>
      <c r="DQ2" s="69" t="str">
        <f t="shared" si="0"/>
        <v>Monday</v>
      </c>
      <c r="DR2" s="69" t="str">
        <f t="shared" si="0"/>
        <v>Tuesday</v>
      </c>
      <c r="DS2" s="69" t="str">
        <f t="shared" si="0"/>
        <v>Wednesday</v>
      </c>
      <c r="DT2" s="69" t="str">
        <f t="shared" si="0"/>
        <v>Thursday</v>
      </c>
      <c r="DU2" s="69" t="str">
        <f t="shared" si="0"/>
        <v>Friday</v>
      </c>
      <c r="DV2" s="69" t="str">
        <f t="shared" si="0"/>
        <v>Saturday</v>
      </c>
      <c r="DW2" s="69" t="str">
        <f t="shared" si="0"/>
        <v>Sunday</v>
      </c>
      <c r="DX2" s="67" t="str">
        <f t="shared" si="0"/>
        <v>Monday</v>
      </c>
      <c r="DY2" s="67" t="str">
        <f t="shared" si="0"/>
        <v>Tuesday</v>
      </c>
      <c r="DZ2" s="67" t="str">
        <f t="shared" si="0"/>
        <v>Wednesday</v>
      </c>
      <c r="EA2" s="67" t="str">
        <f t="shared" si="0"/>
        <v>Thursday</v>
      </c>
      <c r="EB2" s="67" t="str">
        <f t="shared" si="0"/>
        <v>Friday</v>
      </c>
      <c r="EC2" s="67" t="str">
        <f t="shared" si="0"/>
        <v>Saturday</v>
      </c>
      <c r="ED2" s="67" t="str">
        <f t="shared" si="0"/>
        <v>Sunday</v>
      </c>
      <c r="EE2" s="68" t="str">
        <f t="shared" si="0"/>
        <v>Monday</v>
      </c>
      <c r="EF2" s="68" t="str">
        <f t="shared" si="0"/>
        <v>Tuesday</v>
      </c>
      <c r="EG2" s="68" t="str">
        <f t="shared" si="0"/>
        <v>Wednesday</v>
      </c>
      <c r="EH2" s="68" t="str">
        <f t="shared" si="0"/>
        <v>Thursday</v>
      </c>
      <c r="EI2" s="68" t="str">
        <f t="shared" si="0"/>
        <v>Friday</v>
      </c>
      <c r="EJ2" s="68" t="str">
        <f t="shared" si="0"/>
        <v>Saturday</v>
      </c>
      <c r="EK2" s="68" t="str">
        <f t="shared" si="0"/>
        <v>Sunday</v>
      </c>
      <c r="EL2" s="67" t="str">
        <f t="shared" si="0"/>
        <v>Monday</v>
      </c>
      <c r="EM2" s="67" t="str">
        <f t="shared" si="0"/>
        <v>Tuesday</v>
      </c>
      <c r="EN2" s="67" t="str">
        <f t="shared" si="0"/>
        <v>Wednesday</v>
      </c>
      <c r="EO2" s="67" t="str">
        <f t="shared" si="0"/>
        <v>Thursday</v>
      </c>
      <c r="EP2" s="67" t="str">
        <f t="shared" si="0"/>
        <v>Friday</v>
      </c>
      <c r="EQ2" s="67" t="str">
        <f t="shared" si="0"/>
        <v>Saturday</v>
      </c>
      <c r="ER2" s="67" t="str">
        <f t="shared" si="0"/>
        <v>Sunday</v>
      </c>
      <c r="ES2" s="68" t="str">
        <f t="shared" si="0"/>
        <v>Monday</v>
      </c>
      <c r="ET2" s="68" t="str">
        <f t="shared" si="0"/>
        <v>Tuesday</v>
      </c>
      <c r="EU2" s="68" t="str">
        <f t="shared" si="0"/>
        <v>Wednesday</v>
      </c>
      <c r="EV2" s="68" t="str">
        <f t="shared" si="0"/>
        <v>Thursday</v>
      </c>
      <c r="EW2" s="68" t="str">
        <f t="shared" si="0"/>
        <v>Friday</v>
      </c>
      <c r="EX2" s="68" t="str">
        <f t="shared" si="0"/>
        <v>Saturday</v>
      </c>
      <c r="EY2" s="68" t="str">
        <f t="shared" si="0"/>
        <v>Sunday</v>
      </c>
      <c r="EZ2" s="67" t="str">
        <f t="shared" si="0"/>
        <v>Monday</v>
      </c>
      <c r="FA2" s="67" t="str">
        <f t="shared" si="0"/>
        <v>Tuesday</v>
      </c>
      <c r="FB2" s="67" t="str">
        <f t="shared" si="0"/>
        <v>Wednesday</v>
      </c>
      <c r="FC2" s="67" t="str">
        <f t="shared" si="0"/>
        <v>Thursday</v>
      </c>
      <c r="FD2" s="67" t="str">
        <f t="shared" si="0"/>
        <v>Friday</v>
      </c>
      <c r="FE2" s="67" t="str">
        <f t="shared" si="0"/>
        <v>Saturday</v>
      </c>
      <c r="FF2" s="67" t="str">
        <f t="shared" si="0"/>
        <v>Sunday</v>
      </c>
      <c r="FG2" s="68" t="str">
        <f t="shared" si="0"/>
        <v>Monday</v>
      </c>
      <c r="FH2" s="68" t="str">
        <f t="shared" si="0"/>
        <v>Tuesday</v>
      </c>
      <c r="FI2" s="68" t="str">
        <f t="shared" si="0"/>
        <v>Wednesday</v>
      </c>
      <c r="FJ2" s="68" t="str">
        <f t="shared" si="0"/>
        <v>Thursday</v>
      </c>
      <c r="FK2" s="68" t="str">
        <f t="shared" si="0"/>
        <v>Friday</v>
      </c>
      <c r="FL2" s="68" t="str">
        <f t="shared" si="0"/>
        <v>Saturday</v>
      </c>
      <c r="FM2" s="68" t="str">
        <f t="shared" si="0"/>
        <v>Sunday</v>
      </c>
      <c r="FN2" s="67" t="str">
        <f t="shared" si="0"/>
        <v>Monday</v>
      </c>
      <c r="FO2" s="67" t="str">
        <f t="shared" si="0"/>
        <v>Tuesday</v>
      </c>
      <c r="FP2" s="67" t="str">
        <f t="shared" si="0"/>
        <v>Wednesday</v>
      </c>
      <c r="FQ2" s="67" t="str">
        <f t="shared" si="0"/>
        <v>Thursday</v>
      </c>
      <c r="FR2" s="67" t="str">
        <f t="shared" si="0"/>
        <v>Friday</v>
      </c>
      <c r="FS2" s="67" t="str">
        <f t="shared" si="0"/>
        <v>Saturday</v>
      </c>
      <c r="FT2" s="67" t="str">
        <f t="shared" si="0"/>
        <v>Sunday</v>
      </c>
      <c r="FU2" s="70" t="str">
        <f t="shared" si="0"/>
        <v>Monday</v>
      </c>
      <c r="FV2" s="70" t="str">
        <f t="shared" si="0"/>
        <v>Tuesday</v>
      </c>
      <c r="FW2" s="71" t="str">
        <f t="shared" si="0"/>
        <v>Wednesday</v>
      </c>
    </row>
    <row r="3" spans="1:179">
      <c r="A3" s="72"/>
      <c r="B3" s="73">
        <v>43759</v>
      </c>
      <c r="C3" s="73">
        <v>43760</v>
      </c>
      <c r="D3" s="73">
        <v>43761</v>
      </c>
      <c r="E3" s="73">
        <v>43762</v>
      </c>
      <c r="F3" s="73">
        <v>43763</v>
      </c>
      <c r="G3" s="73">
        <v>43764</v>
      </c>
      <c r="H3" s="73">
        <v>43765</v>
      </c>
      <c r="I3" s="74">
        <v>43766</v>
      </c>
      <c r="J3" s="74">
        <v>43767</v>
      </c>
      <c r="K3" s="74">
        <v>43768</v>
      </c>
      <c r="L3" s="74">
        <v>43769</v>
      </c>
      <c r="M3" s="75">
        <v>43770</v>
      </c>
      <c r="N3" s="75">
        <v>43771</v>
      </c>
      <c r="O3" s="75">
        <v>43772</v>
      </c>
      <c r="P3" s="73">
        <v>43773</v>
      </c>
      <c r="Q3" s="73">
        <v>43774</v>
      </c>
      <c r="R3" s="73">
        <v>43775</v>
      </c>
      <c r="S3" s="73">
        <v>43776</v>
      </c>
      <c r="T3" s="73">
        <v>43777</v>
      </c>
      <c r="U3" s="73">
        <v>43778</v>
      </c>
      <c r="V3" s="73">
        <v>43779</v>
      </c>
      <c r="W3" s="74">
        <v>43780</v>
      </c>
      <c r="X3" s="74">
        <v>43781</v>
      </c>
      <c r="Y3" s="74">
        <v>43782</v>
      </c>
      <c r="Z3" s="74">
        <v>43783</v>
      </c>
      <c r="AA3" s="75">
        <v>43784</v>
      </c>
      <c r="AB3" s="75">
        <v>43785</v>
      </c>
      <c r="AC3" s="75">
        <v>43786</v>
      </c>
      <c r="AD3" s="73">
        <v>43787</v>
      </c>
      <c r="AE3" s="73">
        <v>43788</v>
      </c>
      <c r="AF3" s="73">
        <v>43789</v>
      </c>
      <c r="AG3" s="73">
        <v>43790</v>
      </c>
      <c r="AH3" s="73">
        <v>43791</v>
      </c>
      <c r="AI3" s="73">
        <v>43792</v>
      </c>
      <c r="AJ3" s="73">
        <v>43793</v>
      </c>
      <c r="AK3" s="74">
        <v>43794</v>
      </c>
      <c r="AL3" s="74">
        <v>43795</v>
      </c>
      <c r="AM3" s="74">
        <v>43796</v>
      </c>
      <c r="AN3" s="74">
        <v>43797</v>
      </c>
      <c r="AO3" s="75">
        <v>43798</v>
      </c>
      <c r="AP3" s="75">
        <v>43799</v>
      </c>
      <c r="AQ3" s="75">
        <v>43800</v>
      </c>
      <c r="AR3" s="73">
        <v>43801</v>
      </c>
      <c r="AS3" s="73">
        <v>43802</v>
      </c>
      <c r="AT3" s="73">
        <v>43803</v>
      </c>
      <c r="AU3" s="73">
        <v>43804</v>
      </c>
      <c r="AV3" s="73">
        <v>43805</v>
      </c>
      <c r="AW3" s="73">
        <v>43806</v>
      </c>
      <c r="AX3" s="73">
        <v>43807</v>
      </c>
      <c r="AY3" s="74">
        <v>43808</v>
      </c>
      <c r="AZ3" s="74">
        <v>43809</v>
      </c>
      <c r="BA3" s="74">
        <v>43810</v>
      </c>
      <c r="BB3" s="74">
        <v>43811</v>
      </c>
      <c r="BC3" s="75">
        <v>43812</v>
      </c>
      <c r="BD3" s="75">
        <v>43813</v>
      </c>
      <c r="BE3" s="75">
        <v>43814</v>
      </c>
      <c r="BF3" s="73">
        <v>43815</v>
      </c>
      <c r="BG3" s="73">
        <v>43816</v>
      </c>
      <c r="BH3" s="73">
        <v>43817</v>
      </c>
      <c r="BI3" s="73">
        <v>43818</v>
      </c>
      <c r="BJ3" s="73">
        <v>43819</v>
      </c>
      <c r="BK3" s="73">
        <v>43820</v>
      </c>
      <c r="BL3" s="73">
        <v>43821</v>
      </c>
      <c r="BM3" s="74">
        <v>43822</v>
      </c>
      <c r="BN3" s="74">
        <v>43823</v>
      </c>
      <c r="BO3" s="74">
        <v>43824</v>
      </c>
      <c r="BP3" s="74">
        <v>43825</v>
      </c>
      <c r="BQ3" s="75">
        <v>43826</v>
      </c>
      <c r="BR3" s="75">
        <v>43827</v>
      </c>
      <c r="BS3" s="75">
        <v>43828</v>
      </c>
      <c r="BT3" s="73">
        <v>43829</v>
      </c>
      <c r="BU3" s="73">
        <v>43830</v>
      </c>
      <c r="BV3" s="73">
        <v>43831</v>
      </c>
      <c r="BW3" s="73">
        <v>43832</v>
      </c>
      <c r="BX3" s="73">
        <v>43833</v>
      </c>
      <c r="BY3" s="73">
        <v>43834</v>
      </c>
      <c r="BZ3" s="73">
        <v>43835</v>
      </c>
      <c r="CA3" s="74">
        <v>43836</v>
      </c>
      <c r="CB3" s="74">
        <v>43837</v>
      </c>
      <c r="CC3" s="74">
        <v>43838</v>
      </c>
      <c r="CD3" s="74">
        <v>43839</v>
      </c>
      <c r="CE3" s="75">
        <v>43840</v>
      </c>
      <c r="CF3" s="75">
        <v>43841</v>
      </c>
      <c r="CG3" s="75">
        <v>43842</v>
      </c>
      <c r="CH3" s="73">
        <v>43843</v>
      </c>
      <c r="CI3" s="73">
        <v>43844</v>
      </c>
      <c r="CJ3" s="73">
        <v>43845</v>
      </c>
      <c r="CK3" s="73">
        <v>43846</v>
      </c>
      <c r="CL3" s="73">
        <v>43847</v>
      </c>
      <c r="CM3" s="73">
        <v>43848</v>
      </c>
      <c r="CN3" s="73">
        <v>43849</v>
      </c>
      <c r="CO3" s="74">
        <v>43850</v>
      </c>
      <c r="CP3" s="74">
        <v>43851</v>
      </c>
      <c r="CQ3" s="74">
        <v>43852</v>
      </c>
      <c r="CR3" s="74">
        <v>43853</v>
      </c>
      <c r="CS3" s="75">
        <v>43854</v>
      </c>
      <c r="CT3" s="75">
        <v>43855</v>
      </c>
      <c r="CU3" s="75">
        <v>43856</v>
      </c>
      <c r="CV3" s="73">
        <v>43857</v>
      </c>
      <c r="CW3" s="73">
        <v>43858</v>
      </c>
      <c r="CX3" s="73">
        <v>43859</v>
      </c>
      <c r="CY3" s="73">
        <v>43860</v>
      </c>
      <c r="CZ3" s="73">
        <v>43861</v>
      </c>
      <c r="DA3" s="73">
        <v>43862</v>
      </c>
      <c r="DB3" s="73">
        <v>43863</v>
      </c>
      <c r="DC3" s="74">
        <v>43864</v>
      </c>
      <c r="DD3" s="74">
        <v>43865</v>
      </c>
      <c r="DE3" s="74">
        <v>43866</v>
      </c>
      <c r="DF3" s="74">
        <v>43867</v>
      </c>
      <c r="DG3" s="75">
        <v>43868</v>
      </c>
      <c r="DH3" s="75">
        <v>43869</v>
      </c>
      <c r="DI3" s="75">
        <v>43870</v>
      </c>
      <c r="DJ3" s="76">
        <v>43871</v>
      </c>
      <c r="DK3" s="76">
        <v>43872</v>
      </c>
      <c r="DL3" s="76">
        <v>43873</v>
      </c>
      <c r="DM3" s="76">
        <v>43874</v>
      </c>
      <c r="DN3" s="76">
        <v>43875</v>
      </c>
      <c r="DO3" s="76">
        <v>43876</v>
      </c>
      <c r="DP3" s="76">
        <v>43877</v>
      </c>
      <c r="DQ3" s="76">
        <v>43878</v>
      </c>
      <c r="DR3" s="76">
        <v>43879</v>
      </c>
      <c r="DS3" s="76">
        <v>43880</v>
      </c>
      <c r="DT3" s="76">
        <v>43881</v>
      </c>
      <c r="DU3" s="77">
        <v>43882</v>
      </c>
      <c r="DV3" s="77">
        <v>43883</v>
      </c>
      <c r="DW3" s="77">
        <v>43884</v>
      </c>
      <c r="DX3" s="73">
        <v>43885</v>
      </c>
      <c r="DY3" s="73">
        <v>43886</v>
      </c>
      <c r="DZ3" s="73">
        <v>43887</v>
      </c>
      <c r="EA3" s="73">
        <v>43888</v>
      </c>
      <c r="EB3" s="73">
        <v>43889</v>
      </c>
      <c r="EC3" s="73">
        <v>43890</v>
      </c>
      <c r="ED3" s="73">
        <v>43891</v>
      </c>
      <c r="EE3" s="74">
        <v>43892</v>
      </c>
      <c r="EF3" s="74">
        <v>43893</v>
      </c>
      <c r="EG3" s="74">
        <v>43894</v>
      </c>
      <c r="EH3" s="74">
        <v>43895</v>
      </c>
      <c r="EI3" s="75">
        <v>43896</v>
      </c>
      <c r="EJ3" s="75">
        <v>43897</v>
      </c>
      <c r="EK3" s="75">
        <v>43898</v>
      </c>
      <c r="EL3" s="73">
        <v>43899</v>
      </c>
      <c r="EM3" s="73">
        <v>43900</v>
      </c>
      <c r="EN3" s="73">
        <v>43901</v>
      </c>
      <c r="EO3" s="73">
        <v>43902</v>
      </c>
      <c r="EP3" s="73">
        <v>43903</v>
      </c>
      <c r="EQ3" s="73">
        <v>43904</v>
      </c>
      <c r="ER3" s="73">
        <v>43905</v>
      </c>
      <c r="ES3" s="74">
        <v>43906</v>
      </c>
      <c r="ET3" s="74">
        <v>43907</v>
      </c>
      <c r="EU3" s="74">
        <v>43908</v>
      </c>
      <c r="EV3" s="74">
        <v>43909</v>
      </c>
      <c r="EW3" s="75">
        <v>43910</v>
      </c>
      <c r="EX3" s="75">
        <v>43911</v>
      </c>
      <c r="EY3" s="75">
        <v>43912</v>
      </c>
      <c r="EZ3" s="73">
        <v>43913</v>
      </c>
      <c r="FA3" s="73">
        <v>43914</v>
      </c>
      <c r="FB3" s="73">
        <v>43915</v>
      </c>
      <c r="FC3" s="73">
        <v>43916</v>
      </c>
      <c r="FD3" s="73">
        <v>43917</v>
      </c>
      <c r="FE3" s="73">
        <v>43918</v>
      </c>
      <c r="FF3" s="73">
        <v>43919</v>
      </c>
      <c r="FG3" s="74">
        <v>43920</v>
      </c>
      <c r="FH3" s="74">
        <v>43921</v>
      </c>
      <c r="FI3" s="74">
        <v>43922</v>
      </c>
      <c r="FJ3" s="74">
        <v>43923</v>
      </c>
      <c r="FK3" s="75">
        <v>43924</v>
      </c>
      <c r="FL3" s="75">
        <v>43925</v>
      </c>
      <c r="FM3" s="75">
        <v>43926</v>
      </c>
      <c r="FN3" s="73">
        <v>43927</v>
      </c>
      <c r="FO3" s="73">
        <v>43928</v>
      </c>
      <c r="FP3" s="73">
        <v>43929</v>
      </c>
      <c r="FQ3" s="73">
        <v>43930</v>
      </c>
      <c r="FR3" s="73">
        <v>43931</v>
      </c>
      <c r="FS3" s="73">
        <v>43932</v>
      </c>
      <c r="FT3" s="73">
        <v>43933</v>
      </c>
      <c r="FU3" s="78">
        <v>43934</v>
      </c>
      <c r="FV3" s="78">
        <v>43935</v>
      </c>
      <c r="FW3" s="78">
        <v>43936</v>
      </c>
    </row>
    <row r="4" spans="1:179">
      <c r="A4" s="79" t="s">
        <v>244</v>
      </c>
      <c r="B4" s="80"/>
      <c r="C4" s="80"/>
      <c r="D4" s="80"/>
      <c r="E4" s="80" t="s">
        <v>562</v>
      </c>
      <c r="F4" s="80"/>
      <c r="G4" s="80" t="s">
        <v>563</v>
      </c>
      <c r="H4" s="80"/>
      <c r="I4" s="81" t="s">
        <v>564</v>
      </c>
      <c r="J4" s="81" t="s">
        <v>565</v>
      </c>
      <c r="K4" s="81"/>
      <c r="L4" s="81" t="s">
        <v>566</v>
      </c>
      <c r="M4" s="81"/>
      <c r="N4" s="81"/>
      <c r="O4" s="81"/>
      <c r="P4" s="80"/>
      <c r="Q4" s="80" t="s">
        <v>567</v>
      </c>
      <c r="R4" s="80" t="s">
        <v>568</v>
      </c>
      <c r="S4" s="80"/>
      <c r="T4" s="80" t="s">
        <v>569</v>
      </c>
      <c r="U4" s="80"/>
      <c r="V4" s="80" t="s">
        <v>570</v>
      </c>
      <c r="W4" s="81"/>
      <c r="X4" s="81" t="s">
        <v>571</v>
      </c>
      <c r="Y4" s="81"/>
      <c r="Z4" s="81" t="s">
        <v>572</v>
      </c>
      <c r="AA4" s="81"/>
      <c r="AB4" s="81" t="s">
        <v>573</v>
      </c>
      <c r="AC4" s="81" t="s">
        <v>574</v>
      </c>
      <c r="AD4" s="80"/>
      <c r="AE4" s="80"/>
      <c r="AF4" s="80" t="s">
        <v>575</v>
      </c>
      <c r="AG4" s="80"/>
      <c r="AH4" s="80" t="s">
        <v>562</v>
      </c>
      <c r="AI4" s="80" t="s">
        <v>576</v>
      </c>
      <c r="AJ4" s="80"/>
      <c r="AK4" s="81" t="s">
        <v>577</v>
      </c>
      <c r="AL4" s="81"/>
      <c r="AM4" s="81" t="s">
        <v>578</v>
      </c>
      <c r="AN4" s="81"/>
      <c r="AO4" s="81" t="s">
        <v>579</v>
      </c>
      <c r="AP4" s="81" t="s">
        <v>580</v>
      </c>
      <c r="AQ4" s="81"/>
      <c r="AR4" s="80" t="s">
        <v>581</v>
      </c>
      <c r="AS4" s="80"/>
      <c r="AT4" s="80" t="s">
        <v>582</v>
      </c>
      <c r="AU4" s="80"/>
      <c r="AV4" s="80"/>
      <c r="AW4" s="80"/>
      <c r="AX4" s="80" t="s">
        <v>583</v>
      </c>
      <c r="AY4" s="81"/>
      <c r="AZ4" s="81" t="s">
        <v>565</v>
      </c>
      <c r="BA4" s="81" t="s">
        <v>584</v>
      </c>
      <c r="BB4" s="81"/>
      <c r="BC4" s="81" t="s">
        <v>585</v>
      </c>
      <c r="BD4" s="81"/>
      <c r="BE4" s="81" t="s">
        <v>586</v>
      </c>
      <c r="BF4" s="80"/>
      <c r="BG4" s="80" t="s">
        <v>587</v>
      </c>
      <c r="BH4" s="80"/>
      <c r="BI4" s="80" t="s">
        <v>588</v>
      </c>
      <c r="BJ4" s="80"/>
      <c r="BK4" s="80" t="s">
        <v>589</v>
      </c>
      <c r="BL4" s="80"/>
      <c r="BM4" s="81" t="s">
        <v>590</v>
      </c>
      <c r="BN4" s="81"/>
      <c r="BO4" s="81"/>
      <c r="BP4" s="81"/>
      <c r="BQ4" s="81" t="s">
        <v>575</v>
      </c>
      <c r="BR4" s="81" t="s">
        <v>584</v>
      </c>
      <c r="BS4" s="81"/>
      <c r="BT4" s="80" t="s">
        <v>591</v>
      </c>
      <c r="BU4" s="80"/>
      <c r="BV4" s="80"/>
      <c r="BW4" s="80"/>
      <c r="BX4" s="80" t="s">
        <v>592</v>
      </c>
      <c r="BY4" s="80" t="s">
        <v>585</v>
      </c>
      <c r="BZ4" s="80"/>
      <c r="CA4" s="81" t="s">
        <v>593</v>
      </c>
      <c r="CB4" s="81"/>
      <c r="CC4" s="81" t="s">
        <v>594</v>
      </c>
      <c r="CD4" s="81"/>
      <c r="CE4" s="81" t="s">
        <v>595</v>
      </c>
      <c r="CF4" s="81"/>
      <c r="CG4" s="81" t="s">
        <v>589</v>
      </c>
      <c r="CH4" s="80"/>
      <c r="CI4" s="80" t="s">
        <v>596</v>
      </c>
      <c r="CJ4" s="80"/>
      <c r="CK4" s="80"/>
      <c r="CL4" s="80" t="s">
        <v>597</v>
      </c>
      <c r="CM4" s="80" t="s">
        <v>598</v>
      </c>
      <c r="CN4" s="80"/>
      <c r="CO4" s="81" t="s">
        <v>576</v>
      </c>
      <c r="CP4" s="81"/>
      <c r="CQ4" s="81" t="s">
        <v>599</v>
      </c>
      <c r="CR4" s="81"/>
      <c r="CS4" s="81" t="s">
        <v>600</v>
      </c>
      <c r="CT4" s="81"/>
      <c r="CU4" s="81" t="s">
        <v>601</v>
      </c>
      <c r="CV4" s="80"/>
      <c r="CW4" s="80" t="s">
        <v>602</v>
      </c>
      <c r="CX4" s="80"/>
      <c r="CY4" s="80" t="s">
        <v>564</v>
      </c>
      <c r="CZ4" s="80"/>
      <c r="DA4" s="80" t="s">
        <v>603</v>
      </c>
      <c r="DB4" s="80"/>
      <c r="DC4" s="81" t="s">
        <v>604</v>
      </c>
      <c r="DD4" s="81"/>
      <c r="DE4" s="81" t="s">
        <v>605</v>
      </c>
      <c r="DF4" s="81"/>
      <c r="DG4" s="81" t="s">
        <v>592</v>
      </c>
      <c r="DH4" s="81"/>
      <c r="DI4" s="81" t="s">
        <v>606</v>
      </c>
      <c r="DJ4" s="82" t="s">
        <v>591</v>
      </c>
      <c r="DK4" s="82"/>
      <c r="DL4" s="82" t="s">
        <v>590</v>
      </c>
      <c r="DM4" s="82"/>
      <c r="DN4" s="82"/>
      <c r="DO4" s="82"/>
      <c r="DP4" s="82"/>
      <c r="DQ4" s="82"/>
      <c r="DR4" s="82"/>
      <c r="DS4" s="82"/>
      <c r="DT4" s="82" t="s">
        <v>566</v>
      </c>
      <c r="DU4" s="82"/>
      <c r="DV4" s="82" t="s">
        <v>607</v>
      </c>
      <c r="DW4" s="82"/>
      <c r="DX4" s="80" t="s">
        <v>608</v>
      </c>
      <c r="DY4" s="80"/>
      <c r="DZ4" s="80" t="s">
        <v>563</v>
      </c>
      <c r="EA4" s="80"/>
      <c r="EB4" s="80" t="s">
        <v>582</v>
      </c>
      <c r="EC4" s="80" t="s">
        <v>609</v>
      </c>
      <c r="ED4" s="80"/>
      <c r="EE4" s="81" t="s">
        <v>610</v>
      </c>
      <c r="EF4" s="81"/>
      <c r="EG4" s="81"/>
      <c r="EH4" s="81"/>
      <c r="EI4" s="81" t="s">
        <v>595</v>
      </c>
      <c r="EJ4" s="81" t="s">
        <v>611</v>
      </c>
      <c r="EK4" s="81"/>
      <c r="EL4" s="80" t="s">
        <v>612</v>
      </c>
      <c r="EM4" s="80"/>
      <c r="EN4" s="80" t="s">
        <v>606</v>
      </c>
      <c r="EO4" s="80"/>
      <c r="EP4" s="80"/>
      <c r="EQ4" s="80" t="s">
        <v>613</v>
      </c>
      <c r="ER4" s="80"/>
      <c r="ES4" s="81" t="s">
        <v>614</v>
      </c>
      <c r="ET4" s="81"/>
      <c r="EU4" s="81" t="s">
        <v>615</v>
      </c>
      <c r="EV4" s="81"/>
      <c r="EW4" s="81" t="s">
        <v>601</v>
      </c>
      <c r="EX4" s="81" t="s">
        <v>608</v>
      </c>
      <c r="EY4" s="81"/>
      <c r="EZ4" s="80"/>
      <c r="FA4" s="80"/>
      <c r="FB4" s="80" t="s">
        <v>616</v>
      </c>
      <c r="FC4" s="80" t="s">
        <v>617</v>
      </c>
      <c r="FD4" s="80"/>
      <c r="FE4" s="80" t="s">
        <v>618</v>
      </c>
      <c r="FF4" s="80"/>
      <c r="FG4" s="81"/>
      <c r="FH4" s="81" t="s">
        <v>619</v>
      </c>
      <c r="FI4" s="81"/>
      <c r="FJ4" s="81"/>
      <c r="FK4" s="81" t="s">
        <v>612</v>
      </c>
      <c r="FL4" s="81"/>
      <c r="FM4" s="81" t="s">
        <v>583</v>
      </c>
      <c r="FN4" s="80"/>
      <c r="FO4" s="80" t="s">
        <v>598</v>
      </c>
      <c r="FP4" s="80"/>
      <c r="FQ4" s="80"/>
      <c r="FR4" s="80" t="s">
        <v>602</v>
      </c>
      <c r="FS4" s="80"/>
      <c r="FT4" s="80" t="s">
        <v>578</v>
      </c>
      <c r="FU4" s="83"/>
      <c r="FV4" s="83"/>
      <c r="FW4" s="83" t="s">
        <v>613</v>
      </c>
    </row>
    <row r="5" spans="1:179">
      <c r="A5" s="79" t="s">
        <v>217</v>
      </c>
      <c r="B5" s="80"/>
      <c r="C5" s="80"/>
      <c r="D5" s="80" t="s">
        <v>608</v>
      </c>
      <c r="E5" s="80"/>
      <c r="F5" s="80" t="s">
        <v>576</v>
      </c>
      <c r="G5" s="80" t="s">
        <v>587</v>
      </c>
      <c r="H5" s="80"/>
      <c r="I5" s="81"/>
      <c r="J5" s="81"/>
      <c r="K5" s="81" t="s">
        <v>575</v>
      </c>
      <c r="L5" s="81"/>
      <c r="M5" s="81" t="s">
        <v>606</v>
      </c>
      <c r="N5" s="81"/>
      <c r="O5" s="81"/>
      <c r="P5" s="80"/>
      <c r="Q5" s="80" t="s">
        <v>590</v>
      </c>
      <c r="R5" s="80"/>
      <c r="S5" s="80" t="s">
        <v>583</v>
      </c>
      <c r="T5" s="80"/>
      <c r="U5" s="80" t="s">
        <v>597</v>
      </c>
      <c r="V5" s="80"/>
      <c r="W5" s="81" t="s">
        <v>607</v>
      </c>
      <c r="X5" s="81"/>
      <c r="Y5" s="81" t="s">
        <v>601</v>
      </c>
      <c r="Z5" s="81"/>
      <c r="AA5" s="81" t="s">
        <v>616</v>
      </c>
      <c r="AB5" s="81"/>
      <c r="AC5" s="81" t="s">
        <v>617</v>
      </c>
      <c r="AD5" s="80" t="s">
        <v>572</v>
      </c>
      <c r="AE5" s="80"/>
      <c r="AF5" s="80" t="s">
        <v>573</v>
      </c>
      <c r="AG5" s="80"/>
      <c r="AH5" s="80" t="s">
        <v>571</v>
      </c>
      <c r="AI5" s="80"/>
      <c r="AJ5" s="80"/>
      <c r="AK5" s="81" t="s">
        <v>569</v>
      </c>
      <c r="AL5" s="81"/>
      <c r="AM5" s="81" t="s">
        <v>582</v>
      </c>
      <c r="AN5" s="81"/>
      <c r="AO5" s="81" t="s">
        <v>589</v>
      </c>
      <c r="AP5" s="81"/>
      <c r="AQ5" s="81" t="s">
        <v>587</v>
      </c>
      <c r="AR5" s="80"/>
      <c r="AS5" s="80"/>
      <c r="AT5" s="80" t="s">
        <v>566</v>
      </c>
      <c r="AU5" s="80"/>
      <c r="AV5" s="80" t="s">
        <v>593</v>
      </c>
      <c r="AW5" s="80"/>
      <c r="AX5" s="80"/>
      <c r="AY5" s="81" t="s">
        <v>613</v>
      </c>
      <c r="AZ5" s="81"/>
      <c r="BA5" s="81" t="s">
        <v>579</v>
      </c>
      <c r="BB5" s="81" t="s">
        <v>564</v>
      </c>
      <c r="BC5" s="81"/>
      <c r="BD5" s="81"/>
      <c r="BE5" s="81"/>
      <c r="BF5" s="80"/>
      <c r="BG5" s="80"/>
      <c r="BH5" s="80" t="s">
        <v>603</v>
      </c>
      <c r="BI5" s="80"/>
      <c r="BJ5" s="80" t="s">
        <v>598</v>
      </c>
      <c r="BK5" s="80"/>
      <c r="BL5" s="80" t="s">
        <v>612</v>
      </c>
      <c r="BM5" s="81"/>
      <c r="BN5" s="81"/>
      <c r="BO5" s="81" t="s">
        <v>602</v>
      </c>
      <c r="BP5" s="81"/>
      <c r="BQ5" s="81" t="s">
        <v>613</v>
      </c>
      <c r="BR5" s="81" t="s">
        <v>576</v>
      </c>
      <c r="BS5" s="81"/>
      <c r="BT5" s="80"/>
      <c r="BU5" s="80" t="s">
        <v>583</v>
      </c>
      <c r="BV5" s="80"/>
      <c r="BW5" s="80"/>
      <c r="BX5" s="80" t="s">
        <v>620</v>
      </c>
      <c r="BY5" s="80" t="s">
        <v>584</v>
      </c>
      <c r="BZ5" s="80"/>
      <c r="CA5" s="81" t="s">
        <v>595</v>
      </c>
      <c r="CB5" s="81"/>
      <c r="CC5" s="81" t="s">
        <v>567</v>
      </c>
      <c r="CD5" s="81" t="s">
        <v>608</v>
      </c>
      <c r="CE5" s="81"/>
      <c r="CF5" s="81" t="s">
        <v>619</v>
      </c>
      <c r="CG5" s="81"/>
      <c r="CH5" s="80" t="s">
        <v>568</v>
      </c>
      <c r="CI5" s="80"/>
      <c r="CJ5" s="80" t="s">
        <v>598</v>
      </c>
      <c r="CK5" s="80" t="s">
        <v>578</v>
      </c>
      <c r="CL5" s="80"/>
      <c r="CM5" s="80" t="s">
        <v>596</v>
      </c>
      <c r="CN5" s="80"/>
      <c r="CO5" s="81" t="s">
        <v>586</v>
      </c>
      <c r="CP5" s="81"/>
      <c r="CQ5" s="81" t="s">
        <v>610</v>
      </c>
      <c r="CR5" s="81"/>
      <c r="CS5" s="81" t="s">
        <v>591</v>
      </c>
      <c r="CT5" s="81"/>
      <c r="CU5" s="81" t="s">
        <v>614</v>
      </c>
      <c r="CV5" s="80"/>
      <c r="CW5" s="80" t="s">
        <v>565</v>
      </c>
      <c r="CX5" s="80"/>
      <c r="CY5" s="80" t="s">
        <v>581</v>
      </c>
      <c r="CZ5" s="80"/>
      <c r="DA5" s="80" t="s">
        <v>564</v>
      </c>
      <c r="DB5" s="80"/>
      <c r="DC5" s="81" t="s">
        <v>621</v>
      </c>
      <c r="DD5" s="81"/>
      <c r="DE5" s="81" t="s">
        <v>563</v>
      </c>
      <c r="DF5" s="81"/>
      <c r="DG5" s="81" t="s">
        <v>620</v>
      </c>
      <c r="DH5" s="81"/>
      <c r="DI5" s="81" t="s">
        <v>600</v>
      </c>
      <c r="DJ5" s="82"/>
      <c r="DK5" s="82" t="s">
        <v>580</v>
      </c>
      <c r="DL5" s="82"/>
      <c r="DM5" s="82" t="s">
        <v>599</v>
      </c>
      <c r="DN5" s="82"/>
      <c r="DO5" s="82"/>
      <c r="DP5" s="82"/>
      <c r="DQ5" s="82"/>
      <c r="DR5" s="82"/>
      <c r="DS5" s="82"/>
      <c r="DT5" s="82"/>
      <c r="DU5" s="82" t="s">
        <v>605</v>
      </c>
      <c r="DV5" s="82"/>
      <c r="DW5" s="82" t="s">
        <v>574</v>
      </c>
      <c r="DX5" s="80"/>
      <c r="DY5" s="80" t="s">
        <v>570</v>
      </c>
      <c r="DZ5" s="80" t="s">
        <v>618</v>
      </c>
      <c r="EA5" s="80"/>
      <c r="EB5" s="80"/>
      <c r="EC5" s="80" t="s">
        <v>594</v>
      </c>
      <c r="ED5" s="80"/>
      <c r="EE5" s="81"/>
      <c r="EF5" s="81" t="s">
        <v>582</v>
      </c>
      <c r="EG5" s="81" t="s">
        <v>590</v>
      </c>
      <c r="EH5" s="81"/>
      <c r="EI5" s="81" t="s">
        <v>588</v>
      </c>
      <c r="EJ5" s="81"/>
      <c r="EK5" s="81" t="s">
        <v>615</v>
      </c>
      <c r="EL5" s="80"/>
      <c r="EM5" s="80" t="s">
        <v>579</v>
      </c>
      <c r="EN5" s="80"/>
      <c r="EO5" s="80" t="s">
        <v>578</v>
      </c>
      <c r="EP5" s="80" t="s">
        <v>601</v>
      </c>
      <c r="EQ5" s="80"/>
      <c r="ER5" s="80" t="s">
        <v>584</v>
      </c>
      <c r="ES5" s="81"/>
      <c r="ET5" s="81"/>
      <c r="EU5" s="81" t="s">
        <v>606</v>
      </c>
      <c r="EV5" s="81"/>
      <c r="EW5" s="81" t="s">
        <v>602</v>
      </c>
      <c r="EX5" s="81" t="s">
        <v>589</v>
      </c>
      <c r="EY5" s="81"/>
      <c r="EZ5" s="80" t="s">
        <v>595</v>
      </c>
      <c r="FA5" s="80"/>
      <c r="FB5" s="80" t="s">
        <v>611</v>
      </c>
      <c r="FC5" s="80"/>
      <c r="FD5" s="80" t="s">
        <v>609</v>
      </c>
      <c r="FE5" s="80"/>
      <c r="FF5" s="80" t="s">
        <v>577</v>
      </c>
      <c r="FG5" s="81"/>
      <c r="FH5" s="81"/>
      <c r="FI5" s="81" t="s">
        <v>566</v>
      </c>
      <c r="FJ5" s="81"/>
      <c r="FK5" s="81" t="s">
        <v>563</v>
      </c>
      <c r="FL5" s="81"/>
      <c r="FM5" s="81" t="s">
        <v>575</v>
      </c>
      <c r="FN5" s="80"/>
      <c r="FO5" s="80"/>
      <c r="FP5" s="80" t="s">
        <v>585</v>
      </c>
      <c r="FQ5" s="80"/>
      <c r="FR5" s="80" t="s">
        <v>591</v>
      </c>
      <c r="FS5" s="80" t="s">
        <v>565</v>
      </c>
      <c r="FT5" s="80"/>
      <c r="FU5" s="83" t="s">
        <v>562</v>
      </c>
      <c r="FV5" s="83"/>
      <c r="FW5" s="83" t="s">
        <v>568</v>
      </c>
    </row>
    <row r="6" spans="1:179">
      <c r="A6" s="79" t="s">
        <v>227</v>
      </c>
      <c r="B6" s="80"/>
      <c r="C6" s="80"/>
      <c r="D6" s="80" t="s">
        <v>577</v>
      </c>
      <c r="E6" s="80"/>
      <c r="F6" s="80" t="s">
        <v>606</v>
      </c>
      <c r="G6" s="80"/>
      <c r="H6" s="80" t="s">
        <v>611</v>
      </c>
      <c r="I6" s="81"/>
      <c r="J6" s="81"/>
      <c r="K6" s="81" t="s">
        <v>585</v>
      </c>
      <c r="L6" s="81"/>
      <c r="M6" s="81" t="s">
        <v>594</v>
      </c>
      <c r="N6" s="81" t="s">
        <v>562</v>
      </c>
      <c r="O6" s="81"/>
      <c r="P6" s="80" t="s">
        <v>619</v>
      </c>
      <c r="Q6" s="80"/>
      <c r="R6" s="80"/>
      <c r="S6" s="80"/>
      <c r="T6" s="80" t="s">
        <v>570</v>
      </c>
      <c r="U6" s="80"/>
      <c r="V6" s="80" t="s">
        <v>572</v>
      </c>
      <c r="W6" s="81"/>
      <c r="X6" s="81" t="s">
        <v>618</v>
      </c>
      <c r="Y6" s="81"/>
      <c r="Z6" s="81" t="s">
        <v>571</v>
      </c>
      <c r="AA6" s="81"/>
      <c r="AB6" s="81" t="s">
        <v>584</v>
      </c>
      <c r="AC6" s="81"/>
      <c r="AD6" s="80" t="s">
        <v>585</v>
      </c>
      <c r="AE6" s="80"/>
      <c r="AF6" s="80" t="s">
        <v>612</v>
      </c>
      <c r="AG6" s="80"/>
      <c r="AH6" s="80" t="s">
        <v>569</v>
      </c>
      <c r="AI6" s="80"/>
      <c r="AJ6" s="80" t="s">
        <v>587</v>
      </c>
      <c r="AK6" s="81" t="s">
        <v>590</v>
      </c>
      <c r="AL6" s="81"/>
      <c r="AM6" s="81" t="s">
        <v>592</v>
      </c>
      <c r="AN6" s="81"/>
      <c r="AO6" s="81" t="s">
        <v>604</v>
      </c>
      <c r="AP6" s="81"/>
      <c r="AQ6" s="81" t="s">
        <v>566</v>
      </c>
      <c r="AR6" s="80"/>
      <c r="AS6" s="80"/>
      <c r="AT6" s="80" t="s">
        <v>621</v>
      </c>
      <c r="AU6" s="80"/>
      <c r="AV6" s="80" t="s">
        <v>583</v>
      </c>
      <c r="AW6" s="80"/>
      <c r="AX6" s="80" t="s">
        <v>593</v>
      </c>
      <c r="AY6" s="81"/>
      <c r="AZ6" s="81"/>
      <c r="BA6" s="81" t="s">
        <v>612</v>
      </c>
      <c r="BB6" s="81"/>
      <c r="BC6" s="81"/>
      <c r="BD6" s="81" t="s">
        <v>602</v>
      </c>
      <c r="BE6" s="81" t="s">
        <v>564</v>
      </c>
      <c r="BF6" s="80"/>
      <c r="BG6" s="80" t="s">
        <v>614</v>
      </c>
      <c r="BH6" s="80"/>
      <c r="BI6" s="80" t="s">
        <v>597</v>
      </c>
      <c r="BJ6" s="80"/>
      <c r="BK6" s="80" t="s">
        <v>620</v>
      </c>
      <c r="BL6" s="80"/>
      <c r="BM6" s="81"/>
      <c r="BN6" s="81"/>
      <c r="BO6" s="81"/>
      <c r="BP6" s="81" t="s">
        <v>606</v>
      </c>
      <c r="BQ6" s="81"/>
      <c r="BR6" s="81" t="s">
        <v>580</v>
      </c>
      <c r="BS6" s="81"/>
      <c r="BT6" s="80" t="s">
        <v>605</v>
      </c>
      <c r="BU6" s="80"/>
      <c r="BV6" s="80"/>
      <c r="BW6" s="80" t="s">
        <v>603</v>
      </c>
      <c r="BX6" s="80"/>
      <c r="BY6" s="80" t="s">
        <v>576</v>
      </c>
      <c r="BZ6" s="80"/>
      <c r="CA6" s="81" t="s">
        <v>591</v>
      </c>
      <c r="CB6" s="81" t="s">
        <v>615</v>
      </c>
      <c r="CC6" s="81"/>
      <c r="CD6" s="81"/>
      <c r="CE6" s="81" t="s">
        <v>566</v>
      </c>
      <c r="CF6" s="81"/>
      <c r="CG6" s="81" t="s">
        <v>620</v>
      </c>
      <c r="CH6" s="80"/>
      <c r="CI6" s="80" t="s">
        <v>588</v>
      </c>
      <c r="CJ6" s="80" t="s">
        <v>608</v>
      </c>
      <c r="CK6" s="80"/>
      <c r="CL6" s="80"/>
      <c r="CM6" s="80" t="s">
        <v>575</v>
      </c>
      <c r="CN6" s="80"/>
      <c r="CO6" s="81" t="s">
        <v>564</v>
      </c>
      <c r="CP6" s="81"/>
      <c r="CQ6" s="81"/>
      <c r="CR6" s="81" t="s">
        <v>586</v>
      </c>
      <c r="CS6" s="81"/>
      <c r="CT6" s="81" t="s">
        <v>562</v>
      </c>
      <c r="CU6" s="81" t="s">
        <v>587</v>
      </c>
      <c r="CV6" s="80"/>
      <c r="CW6" s="80"/>
      <c r="CX6" s="80" t="s">
        <v>598</v>
      </c>
      <c r="CY6" s="80"/>
      <c r="CZ6" s="80" t="s">
        <v>568</v>
      </c>
      <c r="DA6" s="80" t="s">
        <v>595</v>
      </c>
      <c r="DB6" s="80"/>
      <c r="DC6" s="81" t="s">
        <v>596</v>
      </c>
      <c r="DD6" s="81"/>
      <c r="DE6" s="81" t="s">
        <v>581</v>
      </c>
      <c r="DF6" s="81"/>
      <c r="DG6" s="81"/>
      <c r="DH6" s="81" t="s">
        <v>602</v>
      </c>
      <c r="DI6" s="81"/>
      <c r="DJ6" s="82" t="s">
        <v>579</v>
      </c>
      <c r="DK6" s="82"/>
      <c r="DL6" s="82" t="s">
        <v>576</v>
      </c>
      <c r="DM6" s="82"/>
      <c r="DN6" s="82"/>
      <c r="DO6" s="82"/>
      <c r="DP6" s="82"/>
      <c r="DQ6" s="82"/>
      <c r="DR6" s="82"/>
      <c r="DS6" s="82"/>
      <c r="DT6" s="82" t="s">
        <v>608</v>
      </c>
      <c r="DU6" s="82"/>
      <c r="DV6" s="82" t="s">
        <v>583</v>
      </c>
      <c r="DW6" s="82"/>
      <c r="DX6" s="80" t="s">
        <v>563</v>
      </c>
      <c r="DY6" s="80"/>
      <c r="DZ6" s="80" t="s">
        <v>595</v>
      </c>
      <c r="EA6" s="80"/>
      <c r="EB6" s="80" t="s">
        <v>621</v>
      </c>
      <c r="EC6" s="80" t="s">
        <v>565</v>
      </c>
      <c r="ED6" s="80"/>
      <c r="EE6" s="81"/>
      <c r="EF6" s="81" t="s">
        <v>592</v>
      </c>
      <c r="EG6" s="81" t="s">
        <v>610</v>
      </c>
      <c r="EH6" s="81"/>
      <c r="EI6" s="81" t="s">
        <v>567</v>
      </c>
      <c r="EJ6" s="81"/>
      <c r="EK6" s="81" t="s">
        <v>568</v>
      </c>
      <c r="EL6" s="80"/>
      <c r="EM6" s="80" t="s">
        <v>574</v>
      </c>
      <c r="EN6" s="80"/>
      <c r="EO6" s="80" t="s">
        <v>616</v>
      </c>
      <c r="EP6" s="80" t="s">
        <v>573</v>
      </c>
      <c r="EQ6" s="80"/>
      <c r="ER6" s="80" t="s">
        <v>617</v>
      </c>
      <c r="ES6" s="81"/>
      <c r="ET6" s="81"/>
      <c r="EU6" s="81" t="s">
        <v>601</v>
      </c>
      <c r="EV6" s="81"/>
      <c r="EW6" s="81"/>
      <c r="EX6" s="81" t="s">
        <v>604</v>
      </c>
      <c r="EY6" s="81"/>
      <c r="EZ6" s="80" t="s">
        <v>563</v>
      </c>
      <c r="FA6" s="80"/>
      <c r="FB6" s="80" t="s">
        <v>599</v>
      </c>
      <c r="FC6" s="80"/>
      <c r="FD6" s="80" t="s">
        <v>591</v>
      </c>
      <c r="FE6" s="80" t="s">
        <v>613</v>
      </c>
      <c r="FF6" s="80"/>
      <c r="FG6" s="81" t="s">
        <v>609</v>
      </c>
      <c r="FH6" s="81"/>
      <c r="FI6" s="81" t="s">
        <v>598</v>
      </c>
      <c r="FJ6" s="81"/>
      <c r="FK6" s="81" t="s">
        <v>579</v>
      </c>
      <c r="FL6" s="81"/>
      <c r="FM6" s="81" t="s">
        <v>607</v>
      </c>
      <c r="FN6" s="80"/>
      <c r="FO6" s="80" t="s">
        <v>600</v>
      </c>
      <c r="FP6" s="80"/>
      <c r="FQ6" s="80" t="s">
        <v>578</v>
      </c>
      <c r="FR6" s="80"/>
      <c r="FS6" s="80" t="s">
        <v>584</v>
      </c>
      <c r="FT6" s="80"/>
      <c r="FU6" s="83" t="s">
        <v>590</v>
      </c>
      <c r="FV6" s="83"/>
      <c r="FW6" s="83" t="s">
        <v>575</v>
      </c>
    </row>
    <row r="7" spans="1:179">
      <c r="A7" s="79" t="s">
        <v>339</v>
      </c>
      <c r="B7" s="80"/>
      <c r="C7" s="80"/>
      <c r="D7" s="80" t="s">
        <v>568</v>
      </c>
      <c r="E7" s="80"/>
      <c r="F7" s="80" t="s">
        <v>577</v>
      </c>
      <c r="G7" s="80"/>
      <c r="H7" s="80" t="s">
        <v>574</v>
      </c>
      <c r="I7" s="81" t="s">
        <v>573</v>
      </c>
      <c r="J7" s="81"/>
      <c r="K7" s="81" t="s">
        <v>617</v>
      </c>
      <c r="L7" s="81"/>
      <c r="M7" s="81"/>
      <c r="N7" s="81" t="s">
        <v>616</v>
      </c>
      <c r="O7" s="81"/>
      <c r="P7" s="80"/>
      <c r="Q7" s="80" t="s">
        <v>585</v>
      </c>
      <c r="R7" s="80"/>
      <c r="S7" s="80" t="s">
        <v>604</v>
      </c>
      <c r="T7" s="80"/>
      <c r="U7" s="80" t="s">
        <v>619</v>
      </c>
      <c r="V7" s="80" t="s">
        <v>608</v>
      </c>
      <c r="W7" s="81"/>
      <c r="X7" s="81"/>
      <c r="Y7" s="81" t="s">
        <v>610</v>
      </c>
      <c r="Z7" s="81"/>
      <c r="AA7" s="81" t="s">
        <v>598</v>
      </c>
      <c r="AB7" s="81" t="s">
        <v>587</v>
      </c>
      <c r="AC7" s="81"/>
      <c r="AD7" s="80" t="s">
        <v>602</v>
      </c>
      <c r="AE7" s="80"/>
      <c r="AF7" s="80" t="s">
        <v>589</v>
      </c>
      <c r="AG7" s="80"/>
      <c r="AH7" s="80" t="s">
        <v>595</v>
      </c>
      <c r="AI7" s="80" t="s">
        <v>568</v>
      </c>
      <c r="AJ7" s="80"/>
      <c r="AK7" s="81" t="s">
        <v>565</v>
      </c>
      <c r="AL7" s="81"/>
      <c r="AM7" s="81" t="s">
        <v>598</v>
      </c>
      <c r="AN7" s="81"/>
      <c r="AO7" s="81" t="s">
        <v>562</v>
      </c>
      <c r="AP7" s="81" t="s">
        <v>578</v>
      </c>
      <c r="AQ7" s="81"/>
      <c r="AR7" s="80" t="s">
        <v>596</v>
      </c>
      <c r="AS7" s="80"/>
      <c r="AT7" s="80" t="s">
        <v>581</v>
      </c>
      <c r="AU7" s="80"/>
      <c r="AV7" s="80" t="s">
        <v>582</v>
      </c>
      <c r="AW7" s="80"/>
      <c r="AX7" s="80" t="s">
        <v>620</v>
      </c>
      <c r="AY7" s="81"/>
      <c r="AZ7" s="81" t="s">
        <v>601</v>
      </c>
      <c r="BA7" s="81" t="s">
        <v>589</v>
      </c>
      <c r="BB7" s="81"/>
      <c r="BC7" s="81" t="s">
        <v>584</v>
      </c>
      <c r="BD7" s="81"/>
      <c r="BE7" s="81" t="s">
        <v>579</v>
      </c>
      <c r="BF7" s="80"/>
      <c r="BG7" s="80" t="s">
        <v>569</v>
      </c>
      <c r="BH7" s="80" t="s">
        <v>590</v>
      </c>
      <c r="BI7" s="80"/>
      <c r="BJ7" s="80"/>
      <c r="BK7" s="80" t="s">
        <v>588</v>
      </c>
      <c r="BL7" s="80" t="s">
        <v>592</v>
      </c>
      <c r="BM7" s="81"/>
      <c r="BN7" s="81"/>
      <c r="BO7" s="81"/>
      <c r="BP7" s="81"/>
      <c r="BQ7" s="81" t="s">
        <v>615</v>
      </c>
      <c r="BR7" s="81"/>
      <c r="BS7" s="81" t="s">
        <v>611</v>
      </c>
      <c r="BT7" s="80"/>
      <c r="BU7" s="80" t="s">
        <v>604</v>
      </c>
      <c r="BV7" s="80"/>
      <c r="BW7" s="80" t="s">
        <v>590</v>
      </c>
      <c r="BX7" s="80"/>
      <c r="BY7" s="80" t="s">
        <v>603</v>
      </c>
      <c r="BZ7" s="80"/>
      <c r="CA7" s="81" t="s">
        <v>585</v>
      </c>
      <c r="CB7" s="81"/>
      <c r="CC7" s="81" t="s">
        <v>576</v>
      </c>
      <c r="CD7" s="81"/>
      <c r="CE7" s="81" t="s">
        <v>618</v>
      </c>
      <c r="CF7" s="81"/>
      <c r="CG7" s="81" t="s">
        <v>572</v>
      </c>
      <c r="CH7" s="80" t="s">
        <v>570</v>
      </c>
      <c r="CI7" s="80"/>
      <c r="CJ7" s="80" t="s">
        <v>571</v>
      </c>
      <c r="CK7" s="80"/>
      <c r="CL7" s="80"/>
      <c r="CM7" s="80"/>
      <c r="CN7" s="80"/>
      <c r="CO7" s="81" t="s">
        <v>563</v>
      </c>
      <c r="CP7" s="81"/>
      <c r="CQ7" s="81"/>
      <c r="CR7" s="81"/>
      <c r="CS7" s="81" t="s">
        <v>575</v>
      </c>
      <c r="CT7" s="81"/>
      <c r="CU7" s="81"/>
      <c r="CV7" s="80"/>
      <c r="CW7" s="80" t="s">
        <v>606</v>
      </c>
      <c r="CX7" s="80"/>
      <c r="CY7" s="80" t="s">
        <v>595</v>
      </c>
      <c r="CZ7" s="80"/>
      <c r="DA7" s="80" t="s">
        <v>597</v>
      </c>
      <c r="DB7" s="80"/>
      <c r="DC7" s="81" t="s">
        <v>563</v>
      </c>
      <c r="DD7" s="81" t="s">
        <v>580</v>
      </c>
      <c r="DE7" s="81"/>
      <c r="DF7" s="81"/>
      <c r="DG7" s="81"/>
      <c r="DH7" s="81" t="s">
        <v>607</v>
      </c>
      <c r="DI7" s="81"/>
      <c r="DJ7" s="82" t="s">
        <v>562</v>
      </c>
      <c r="DK7" s="82"/>
      <c r="DL7" s="82" t="s">
        <v>605</v>
      </c>
      <c r="DM7" s="82"/>
      <c r="DN7" s="82"/>
      <c r="DO7" s="82"/>
      <c r="DP7" s="82"/>
      <c r="DQ7" s="82"/>
      <c r="DR7" s="82"/>
      <c r="DS7" s="82"/>
      <c r="DT7" s="82" t="s">
        <v>584</v>
      </c>
      <c r="DU7" s="82"/>
      <c r="DV7" s="82" t="s">
        <v>582</v>
      </c>
      <c r="DW7" s="82"/>
      <c r="DX7" s="80"/>
      <c r="DY7" s="80" t="s">
        <v>579</v>
      </c>
      <c r="DZ7" s="80" t="s">
        <v>606</v>
      </c>
      <c r="EA7" s="80"/>
      <c r="EB7" s="80" t="s">
        <v>602</v>
      </c>
      <c r="EC7" s="80"/>
      <c r="ED7" s="80" t="s">
        <v>575</v>
      </c>
      <c r="EE7" s="81"/>
      <c r="EF7" s="81" t="s">
        <v>567</v>
      </c>
      <c r="EG7" s="81"/>
      <c r="EH7" s="81" t="s">
        <v>593</v>
      </c>
      <c r="EI7" s="81"/>
      <c r="EJ7" s="81" t="s">
        <v>594</v>
      </c>
      <c r="EK7" s="81"/>
      <c r="EL7" s="80" t="s">
        <v>621</v>
      </c>
      <c r="EM7" s="80"/>
      <c r="EN7" s="80" t="s">
        <v>565</v>
      </c>
      <c r="EO7" s="80"/>
      <c r="EP7" s="80" t="s">
        <v>613</v>
      </c>
      <c r="EQ7" s="80"/>
      <c r="ER7" s="80" t="s">
        <v>591</v>
      </c>
      <c r="ES7" s="81"/>
      <c r="ET7" s="81" t="s">
        <v>587</v>
      </c>
      <c r="EU7" s="81"/>
      <c r="EV7" s="81" t="s">
        <v>564</v>
      </c>
      <c r="EW7" s="81"/>
      <c r="EX7" s="81" t="s">
        <v>586</v>
      </c>
      <c r="EY7" s="81"/>
      <c r="EZ7" s="80"/>
      <c r="FA7" s="80" t="s">
        <v>609</v>
      </c>
      <c r="FB7" s="80"/>
      <c r="FC7" s="80" t="s">
        <v>600</v>
      </c>
      <c r="FD7" s="80"/>
      <c r="FE7" s="80" t="s">
        <v>599</v>
      </c>
      <c r="FF7" s="80"/>
      <c r="FG7" s="81" t="s">
        <v>566</v>
      </c>
      <c r="FH7" s="81"/>
      <c r="FI7" s="81" t="s">
        <v>591</v>
      </c>
      <c r="FJ7" s="81"/>
      <c r="FK7" s="81" t="s">
        <v>621</v>
      </c>
      <c r="FL7" s="81"/>
      <c r="FM7" s="81" t="s">
        <v>620</v>
      </c>
      <c r="FN7" s="80"/>
      <c r="FO7" s="80" t="s">
        <v>614</v>
      </c>
      <c r="FP7" s="80" t="s">
        <v>576</v>
      </c>
      <c r="FQ7" s="80"/>
      <c r="FR7" s="80"/>
      <c r="FS7" s="80" t="s">
        <v>601</v>
      </c>
      <c r="FT7" s="80"/>
      <c r="FU7" s="83" t="s">
        <v>566</v>
      </c>
      <c r="FV7" s="83"/>
      <c r="FW7" s="83" t="s">
        <v>608</v>
      </c>
    </row>
    <row r="8" spans="1:179">
      <c r="A8" s="79" t="s">
        <v>260</v>
      </c>
      <c r="B8" s="80"/>
      <c r="C8" s="80"/>
      <c r="D8" s="80" t="s">
        <v>583</v>
      </c>
      <c r="E8" s="80"/>
      <c r="F8" s="80" t="s">
        <v>611</v>
      </c>
      <c r="G8" s="80" t="s">
        <v>576</v>
      </c>
      <c r="H8" s="80"/>
      <c r="I8" s="81" t="s">
        <v>587</v>
      </c>
      <c r="J8" s="81"/>
      <c r="K8" s="81" t="s">
        <v>590</v>
      </c>
      <c r="L8" s="81"/>
      <c r="M8" s="81" t="s">
        <v>598</v>
      </c>
      <c r="N8" s="81"/>
      <c r="O8" s="81" t="s">
        <v>579</v>
      </c>
      <c r="P8" s="80"/>
      <c r="Q8" s="80" t="s">
        <v>586</v>
      </c>
      <c r="R8" s="80" t="s">
        <v>621</v>
      </c>
      <c r="S8" s="80"/>
      <c r="T8" s="80"/>
      <c r="U8" s="80" t="s">
        <v>594</v>
      </c>
      <c r="V8" s="80"/>
      <c r="W8" s="81"/>
      <c r="X8" s="81" t="s">
        <v>606</v>
      </c>
      <c r="Y8" s="81"/>
      <c r="Z8" s="81" t="s">
        <v>578</v>
      </c>
      <c r="AA8" s="81"/>
      <c r="AB8" s="81" t="s">
        <v>582</v>
      </c>
      <c r="AC8" s="81"/>
      <c r="AD8" s="80" t="s">
        <v>575</v>
      </c>
      <c r="AE8" s="80"/>
      <c r="AF8" s="80" t="s">
        <v>598</v>
      </c>
      <c r="AG8" s="80"/>
      <c r="AH8" s="80" t="s">
        <v>566</v>
      </c>
      <c r="AI8" s="80" t="s">
        <v>583</v>
      </c>
      <c r="AJ8" s="80"/>
      <c r="AK8" s="81" t="s">
        <v>609</v>
      </c>
      <c r="AL8" s="81"/>
      <c r="AM8" s="81" t="s">
        <v>616</v>
      </c>
      <c r="AN8" s="81"/>
      <c r="AO8" s="81" t="s">
        <v>570</v>
      </c>
      <c r="AP8" s="81"/>
      <c r="AQ8" s="81"/>
      <c r="AR8" s="80" t="s">
        <v>617</v>
      </c>
      <c r="AS8" s="80"/>
      <c r="AT8" s="80" t="s">
        <v>610</v>
      </c>
      <c r="AU8" s="80"/>
      <c r="AV8" s="80" t="s">
        <v>581</v>
      </c>
      <c r="AW8" s="80"/>
      <c r="AX8" s="80" t="s">
        <v>565</v>
      </c>
      <c r="AY8" s="81" t="s">
        <v>576</v>
      </c>
      <c r="AZ8" s="81"/>
      <c r="BA8" s="81" t="s">
        <v>620</v>
      </c>
      <c r="BB8" s="81"/>
      <c r="BC8" s="81" t="s">
        <v>612</v>
      </c>
      <c r="BD8" s="81" t="s">
        <v>599</v>
      </c>
      <c r="BE8" s="81"/>
      <c r="BF8" s="80" t="s">
        <v>600</v>
      </c>
      <c r="BG8" s="80"/>
      <c r="BH8" s="80" t="s">
        <v>595</v>
      </c>
      <c r="BI8" s="80"/>
      <c r="BJ8" s="80"/>
      <c r="BK8" s="80" t="s">
        <v>562</v>
      </c>
      <c r="BL8" s="80"/>
      <c r="BM8" s="81" t="s">
        <v>591</v>
      </c>
      <c r="BN8" s="81"/>
      <c r="BO8" s="81"/>
      <c r="BP8" s="81"/>
      <c r="BQ8" s="81"/>
      <c r="BR8" s="81" t="s">
        <v>620</v>
      </c>
      <c r="BS8" s="81"/>
      <c r="BT8" s="80" t="s">
        <v>575</v>
      </c>
      <c r="BU8" s="80"/>
      <c r="BV8" s="80"/>
      <c r="BW8" s="80" t="s">
        <v>588</v>
      </c>
      <c r="BX8" s="80"/>
      <c r="BY8" s="80" t="s">
        <v>604</v>
      </c>
      <c r="BZ8" s="80"/>
      <c r="CA8" s="81" t="s">
        <v>603</v>
      </c>
      <c r="CB8" s="81"/>
      <c r="CC8" s="81" t="s">
        <v>614</v>
      </c>
      <c r="CD8" s="81"/>
      <c r="CE8" s="81" t="s">
        <v>585</v>
      </c>
      <c r="CF8" s="81" t="s">
        <v>562</v>
      </c>
      <c r="CG8" s="81"/>
      <c r="CH8" s="80" t="s">
        <v>592</v>
      </c>
      <c r="CI8" s="80"/>
      <c r="CJ8" s="80" t="s">
        <v>601</v>
      </c>
      <c r="CK8" s="80"/>
      <c r="CL8" s="80" t="s">
        <v>608</v>
      </c>
      <c r="CM8" s="80" t="s">
        <v>613</v>
      </c>
      <c r="CN8" s="80"/>
      <c r="CO8" s="81" t="s">
        <v>578</v>
      </c>
      <c r="CP8" s="81"/>
      <c r="CQ8" s="81" t="s">
        <v>577</v>
      </c>
      <c r="CR8" s="81"/>
      <c r="CS8" s="81" t="s">
        <v>569</v>
      </c>
      <c r="CT8" s="81" t="s">
        <v>590</v>
      </c>
      <c r="CU8" s="81"/>
      <c r="CV8" s="80" t="s">
        <v>567</v>
      </c>
      <c r="CW8" s="80"/>
      <c r="CX8" s="80" t="s">
        <v>579</v>
      </c>
      <c r="CY8" s="80"/>
      <c r="CZ8" s="80" t="s">
        <v>589</v>
      </c>
      <c r="DA8" s="80"/>
      <c r="DB8" s="80" t="s">
        <v>602</v>
      </c>
      <c r="DC8" s="81"/>
      <c r="DD8" s="81"/>
      <c r="DE8" s="81"/>
      <c r="DF8" s="81" t="s">
        <v>619</v>
      </c>
      <c r="DG8" s="81"/>
      <c r="DH8" s="81"/>
      <c r="DI8" s="81" t="s">
        <v>608</v>
      </c>
      <c r="DJ8" s="82"/>
      <c r="DK8" s="82" t="s">
        <v>595</v>
      </c>
      <c r="DL8" s="82"/>
      <c r="DM8" s="82"/>
      <c r="DN8" s="82"/>
      <c r="DO8" s="82"/>
      <c r="DP8" s="82"/>
      <c r="DQ8" s="82"/>
      <c r="DR8" s="82"/>
      <c r="DS8" s="82"/>
      <c r="DT8" s="82" t="s">
        <v>612</v>
      </c>
      <c r="DU8" s="82"/>
      <c r="DV8" s="82" t="s">
        <v>596</v>
      </c>
      <c r="DW8" s="82" t="s">
        <v>601</v>
      </c>
      <c r="DX8" s="80"/>
      <c r="DY8" s="80" t="s">
        <v>615</v>
      </c>
      <c r="DZ8" s="80"/>
      <c r="EA8" s="80"/>
      <c r="EB8" s="80"/>
      <c r="EC8" s="80" t="s">
        <v>587</v>
      </c>
      <c r="ED8" s="80"/>
      <c r="EE8" s="81" t="s">
        <v>607</v>
      </c>
      <c r="EF8" s="81"/>
      <c r="EG8" s="81" t="s">
        <v>605</v>
      </c>
      <c r="EH8" s="81"/>
      <c r="EI8" s="81" t="s">
        <v>585</v>
      </c>
      <c r="EJ8" s="81"/>
      <c r="EK8" s="81" t="s">
        <v>589</v>
      </c>
      <c r="EL8" s="80"/>
      <c r="EM8" s="80" t="s">
        <v>613</v>
      </c>
      <c r="EN8" s="80"/>
      <c r="EO8" s="80" t="s">
        <v>591</v>
      </c>
      <c r="EP8" s="80"/>
      <c r="EQ8" s="80" t="s">
        <v>565</v>
      </c>
      <c r="ER8" s="80" t="s">
        <v>604</v>
      </c>
      <c r="ES8" s="81"/>
      <c r="ET8" s="81"/>
      <c r="EU8" s="81" t="s">
        <v>566</v>
      </c>
      <c r="EV8" s="81"/>
      <c r="EW8" s="81" t="s">
        <v>597</v>
      </c>
      <c r="EX8" s="81" t="s">
        <v>580</v>
      </c>
      <c r="EY8" s="81"/>
      <c r="EZ8" s="80" t="s">
        <v>593</v>
      </c>
      <c r="FA8" s="80"/>
      <c r="FB8" s="80"/>
      <c r="FC8" s="80" t="s">
        <v>564</v>
      </c>
      <c r="FD8" s="80"/>
      <c r="FE8" s="80" t="s">
        <v>606</v>
      </c>
      <c r="FF8" s="80"/>
      <c r="FG8" s="81" t="s">
        <v>618</v>
      </c>
      <c r="FH8" s="81"/>
      <c r="FI8" s="81"/>
      <c r="FJ8" s="81"/>
      <c r="FK8" s="81" t="s">
        <v>571</v>
      </c>
      <c r="FL8" s="81"/>
      <c r="FM8" s="81" t="s">
        <v>572</v>
      </c>
      <c r="FN8" s="80"/>
      <c r="FO8" s="80" t="s">
        <v>574</v>
      </c>
      <c r="FP8" s="80" t="s">
        <v>573</v>
      </c>
      <c r="FQ8" s="80"/>
      <c r="FR8" s="80"/>
      <c r="FS8" s="80" t="s">
        <v>582</v>
      </c>
      <c r="FT8" s="80"/>
      <c r="FU8" s="83" t="s">
        <v>563</v>
      </c>
      <c r="FV8" s="83"/>
      <c r="FW8" s="83" t="s">
        <v>592</v>
      </c>
    </row>
    <row r="9" spans="1:179">
      <c r="A9" s="79" t="s">
        <v>288</v>
      </c>
      <c r="B9" s="80"/>
      <c r="C9" s="80"/>
      <c r="D9" s="80" t="s">
        <v>591</v>
      </c>
      <c r="E9" s="80"/>
      <c r="F9" s="80"/>
      <c r="G9" s="80" t="s">
        <v>585</v>
      </c>
      <c r="H9" s="80"/>
      <c r="I9" s="81" t="s">
        <v>578</v>
      </c>
      <c r="J9" s="81"/>
      <c r="K9" s="81" t="s">
        <v>568</v>
      </c>
      <c r="L9" s="81"/>
      <c r="M9" s="81" t="s">
        <v>579</v>
      </c>
      <c r="N9" s="81"/>
      <c r="O9" s="81" t="s">
        <v>607</v>
      </c>
      <c r="P9" s="80"/>
      <c r="Q9" s="80" t="s">
        <v>604</v>
      </c>
      <c r="R9" s="80"/>
      <c r="S9" s="80"/>
      <c r="T9" s="80" t="s">
        <v>595</v>
      </c>
      <c r="U9" s="80"/>
      <c r="V9" s="80" t="s">
        <v>587</v>
      </c>
      <c r="W9" s="81"/>
      <c r="X9" s="81" t="s">
        <v>608</v>
      </c>
      <c r="Y9" s="81"/>
      <c r="Z9" s="81" t="s">
        <v>566</v>
      </c>
      <c r="AA9" s="81"/>
      <c r="AB9" s="81"/>
      <c r="AC9" s="81" t="s">
        <v>564</v>
      </c>
      <c r="AD9" s="80" t="s">
        <v>587</v>
      </c>
      <c r="AE9" s="80"/>
      <c r="AF9" s="80" t="s">
        <v>565</v>
      </c>
      <c r="AG9" s="80"/>
      <c r="AH9" s="80" t="s">
        <v>603</v>
      </c>
      <c r="AI9" s="80" t="s">
        <v>609</v>
      </c>
      <c r="AJ9" s="80"/>
      <c r="AK9" s="81" t="s">
        <v>582</v>
      </c>
      <c r="AL9" s="81"/>
      <c r="AM9" s="81" t="s">
        <v>563</v>
      </c>
      <c r="AN9" s="81"/>
      <c r="AO9" s="81" t="s">
        <v>575</v>
      </c>
      <c r="AP9" s="81"/>
      <c r="AQ9" s="81"/>
      <c r="AR9" s="80"/>
      <c r="AS9" s="80" t="s">
        <v>598</v>
      </c>
      <c r="AT9" s="80"/>
      <c r="AU9" s="80"/>
      <c r="AV9" s="80" t="s">
        <v>563</v>
      </c>
      <c r="AW9" s="80" t="s">
        <v>608</v>
      </c>
      <c r="AX9" s="80"/>
      <c r="AY9" s="81" t="s">
        <v>592</v>
      </c>
      <c r="AZ9" s="81"/>
      <c r="BA9" s="81" t="s">
        <v>594</v>
      </c>
      <c r="BB9" s="81" t="s">
        <v>597</v>
      </c>
      <c r="BC9" s="81"/>
      <c r="BD9" s="81" t="s">
        <v>578</v>
      </c>
      <c r="BE9" s="81"/>
      <c r="BF9" s="80" t="s">
        <v>602</v>
      </c>
      <c r="BG9" s="80"/>
      <c r="BH9" s="80" t="s">
        <v>612</v>
      </c>
      <c r="BI9" s="80"/>
      <c r="BJ9" s="80" t="s">
        <v>610</v>
      </c>
      <c r="BK9" s="80"/>
      <c r="BL9" s="80"/>
      <c r="BM9" s="81" t="s">
        <v>620</v>
      </c>
      <c r="BN9" s="81"/>
      <c r="BO9" s="81"/>
      <c r="BP9" s="81"/>
      <c r="BQ9" s="81" t="s">
        <v>592</v>
      </c>
      <c r="BR9" s="81" t="s">
        <v>605</v>
      </c>
      <c r="BS9" s="81"/>
      <c r="BT9" s="80"/>
      <c r="BU9" s="80" t="s">
        <v>602</v>
      </c>
      <c r="BV9" s="80"/>
      <c r="BW9" s="80" t="s">
        <v>612</v>
      </c>
      <c r="BX9" s="80"/>
      <c r="BY9" s="80" t="s">
        <v>615</v>
      </c>
      <c r="BZ9" s="80" t="s">
        <v>577</v>
      </c>
      <c r="CA9" s="81"/>
      <c r="CB9" s="81" t="s">
        <v>598</v>
      </c>
      <c r="CC9" s="81"/>
      <c r="CD9" s="81" t="s">
        <v>562</v>
      </c>
      <c r="CE9" s="81"/>
      <c r="CF9" s="81" t="s">
        <v>571</v>
      </c>
      <c r="CG9" s="81"/>
      <c r="CH9" s="80" t="s">
        <v>574</v>
      </c>
      <c r="CI9" s="80" t="s">
        <v>573</v>
      </c>
      <c r="CJ9" s="80"/>
      <c r="CK9" s="80"/>
      <c r="CL9" s="80" t="s">
        <v>611</v>
      </c>
      <c r="CM9" s="80" t="s">
        <v>584</v>
      </c>
      <c r="CN9" s="80"/>
      <c r="CO9" s="81" t="s">
        <v>606</v>
      </c>
      <c r="CP9" s="81"/>
      <c r="CQ9" s="81"/>
      <c r="CR9" s="81" t="s">
        <v>601</v>
      </c>
      <c r="CS9" s="81"/>
      <c r="CT9" s="81" t="s">
        <v>568</v>
      </c>
      <c r="CU9" s="81"/>
      <c r="CV9" s="80" t="s">
        <v>562</v>
      </c>
      <c r="CW9" s="80" t="s">
        <v>619</v>
      </c>
      <c r="CX9" s="80"/>
      <c r="CY9" s="80" t="s">
        <v>576</v>
      </c>
      <c r="CZ9" s="80"/>
      <c r="DA9" s="80" t="s">
        <v>581</v>
      </c>
      <c r="DB9" s="80"/>
      <c r="DC9" s="81" t="s">
        <v>606</v>
      </c>
      <c r="DD9" s="81"/>
      <c r="DE9" s="81" t="s">
        <v>600</v>
      </c>
      <c r="DF9" s="81"/>
      <c r="DG9" s="81"/>
      <c r="DH9" s="81"/>
      <c r="DI9" s="81" t="s">
        <v>599</v>
      </c>
      <c r="DJ9" s="82"/>
      <c r="DK9" s="82"/>
      <c r="DL9" s="82" t="s">
        <v>620</v>
      </c>
      <c r="DM9" s="82"/>
      <c r="DN9" s="82"/>
      <c r="DO9" s="82"/>
      <c r="DP9" s="82"/>
      <c r="DQ9" s="82"/>
      <c r="DR9" s="82"/>
      <c r="DS9" s="82"/>
      <c r="DT9" s="82"/>
      <c r="DU9" s="82" t="s">
        <v>595</v>
      </c>
      <c r="DV9" s="82" t="s">
        <v>565</v>
      </c>
      <c r="DW9" s="82"/>
      <c r="DX9" s="80" t="s">
        <v>566</v>
      </c>
      <c r="DY9" s="80"/>
      <c r="DZ9" s="80" t="s">
        <v>564</v>
      </c>
      <c r="EA9" s="80"/>
      <c r="EB9" s="80" t="s">
        <v>614</v>
      </c>
      <c r="EC9" s="80" t="s">
        <v>585</v>
      </c>
      <c r="ED9" s="80"/>
      <c r="EE9" s="81" t="s">
        <v>588</v>
      </c>
      <c r="EF9" s="81"/>
      <c r="EG9" s="81" t="s">
        <v>604</v>
      </c>
      <c r="EH9" s="81"/>
      <c r="EI9" s="81"/>
      <c r="EJ9" s="81" t="s">
        <v>593</v>
      </c>
      <c r="EK9" s="81" t="s">
        <v>567</v>
      </c>
      <c r="EL9" s="80"/>
      <c r="EM9" s="80" t="s">
        <v>584</v>
      </c>
      <c r="EN9" s="80"/>
      <c r="EO9" s="80"/>
      <c r="EP9" s="80" t="s">
        <v>583</v>
      </c>
      <c r="EQ9" s="80" t="s">
        <v>621</v>
      </c>
      <c r="ER9" s="80"/>
      <c r="ES9" s="81"/>
      <c r="ET9" s="81" t="s">
        <v>580</v>
      </c>
      <c r="EU9" s="81"/>
      <c r="EV9" s="81" t="s">
        <v>591</v>
      </c>
      <c r="EW9" s="81"/>
      <c r="EX9" s="81" t="s">
        <v>579</v>
      </c>
      <c r="EY9" s="81"/>
      <c r="EZ9" s="80"/>
      <c r="FA9" s="80" t="s">
        <v>569</v>
      </c>
      <c r="FB9" s="80"/>
      <c r="FC9" s="80" t="s">
        <v>586</v>
      </c>
      <c r="FD9" s="80"/>
      <c r="FE9" s="80" t="s">
        <v>589</v>
      </c>
      <c r="FF9" s="80"/>
      <c r="FG9" s="81" t="s">
        <v>596</v>
      </c>
      <c r="FH9" s="81"/>
      <c r="FI9" s="81" t="s">
        <v>618</v>
      </c>
      <c r="FJ9" s="81"/>
      <c r="FK9" s="81" t="s">
        <v>572</v>
      </c>
      <c r="FL9" s="81"/>
      <c r="FM9" s="81" t="s">
        <v>617</v>
      </c>
      <c r="FN9" s="80"/>
      <c r="FO9" s="80" t="s">
        <v>570</v>
      </c>
      <c r="FP9" s="80" t="s">
        <v>616</v>
      </c>
      <c r="FQ9" s="80"/>
      <c r="FR9" s="80"/>
      <c r="FS9" s="80" t="s">
        <v>575</v>
      </c>
      <c r="FT9" s="80"/>
      <c r="FU9" s="83" t="s">
        <v>582</v>
      </c>
      <c r="FV9" s="83"/>
      <c r="FW9" s="83" t="s">
        <v>621</v>
      </c>
    </row>
    <row r="10" spans="1:179">
      <c r="A10" s="79" t="s">
        <v>284</v>
      </c>
      <c r="B10" s="80"/>
      <c r="C10" s="80"/>
      <c r="D10" s="80" t="s">
        <v>601</v>
      </c>
      <c r="E10" s="80"/>
      <c r="F10" s="80" t="s">
        <v>614</v>
      </c>
      <c r="G10" s="80"/>
      <c r="H10" s="80" t="s">
        <v>609</v>
      </c>
      <c r="I10" s="81"/>
      <c r="J10" s="81" t="s">
        <v>571</v>
      </c>
      <c r="K10" s="81"/>
      <c r="L10" s="81"/>
      <c r="M10" s="81" t="s">
        <v>586</v>
      </c>
      <c r="N10" s="81"/>
      <c r="O10" s="81" t="s">
        <v>590</v>
      </c>
      <c r="P10" s="80"/>
      <c r="Q10" s="80"/>
      <c r="R10" s="80" t="s">
        <v>563</v>
      </c>
      <c r="S10" s="80"/>
      <c r="T10" s="80" t="s">
        <v>606</v>
      </c>
      <c r="U10" s="80" t="s">
        <v>611</v>
      </c>
      <c r="V10" s="80"/>
      <c r="W10" s="81" t="s">
        <v>592</v>
      </c>
      <c r="X10" s="81"/>
      <c r="Y10" s="81"/>
      <c r="Z10" s="81" t="s">
        <v>587</v>
      </c>
      <c r="AA10" s="81"/>
      <c r="AB10" s="81" t="s">
        <v>576</v>
      </c>
      <c r="AC10" s="81"/>
      <c r="AD10" s="80" t="s">
        <v>567</v>
      </c>
      <c r="AE10" s="80"/>
      <c r="AF10" s="80" t="s">
        <v>581</v>
      </c>
      <c r="AG10" s="80"/>
      <c r="AH10" s="80" t="s">
        <v>613</v>
      </c>
      <c r="AI10" s="80"/>
      <c r="AJ10" s="80" t="s">
        <v>580</v>
      </c>
      <c r="AK10" s="81"/>
      <c r="AL10" s="81" t="s">
        <v>599</v>
      </c>
      <c r="AM10" s="81"/>
      <c r="AN10" s="81"/>
      <c r="AO10" s="81" t="s">
        <v>572</v>
      </c>
      <c r="AP10" s="81"/>
      <c r="AQ10" s="81" t="s">
        <v>574</v>
      </c>
      <c r="AR10" s="80"/>
      <c r="AS10" s="80" t="s">
        <v>614</v>
      </c>
      <c r="AT10" s="80" t="s">
        <v>577</v>
      </c>
      <c r="AU10" s="80"/>
      <c r="AV10" s="80"/>
      <c r="AW10" s="80" t="s">
        <v>619</v>
      </c>
      <c r="AX10" s="80" t="s">
        <v>569</v>
      </c>
      <c r="AY10" s="81"/>
      <c r="AZ10" s="81"/>
      <c r="BA10" s="81"/>
      <c r="BB10" s="81" t="s">
        <v>562</v>
      </c>
      <c r="BC10" s="81"/>
      <c r="BD10" s="81" t="s">
        <v>566</v>
      </c>
      <c r="BE10" s="81"/>
      <c r="BF10" s="80" t="s">
        <v>578</v>
      </c>
      <c r="BG10" s="80"/>
      <c r="BH10" s="80" t="s">
        <v>604</v>
      </c>
      <c r="BI10" s="80"/>
      <c r="BJ10" s="80" t="s">
        <v>608</v>
      </c>
      <c r="BK10" s="80"/>
      <c r="BL10" s="80" t="s">
        <v>602</v>
      </c>
      <c r="BM10" s="81"/>
      <c r="BN10" s="81"/>
      <c r="BO10" s="81"/>
      <c r="BP10" s="81" t="s">
        <v>567</v>
      </c>
      <c r="BQ10" s="81"/>
      <c r="BR10" s="81" t="s">
        <v>616</v>
      </c>
      <c r="BS10" s="81" t="s">
        <v>574</v>
      </c>
      <c r="BT10" s="80"/>
      <c r="BU10" s="80" t="s">
        <v>600</v>
      </c>
      <c r="BV10" s="80"/>
      <c r="BW10" s="80" t="s">
        <v>582</v>
      </c>
      <c r="BX10" s="80"/>
      <c r="BY10" s="80" t="s">
        <v>612</v>
      </c>
      <c r="BZ10" s="80"/>
      <c r="CA10" s="81" t="s">
        <v>568</v>
      </c>
      <c r="CB10" s="81"/>
      <c r="CC10" s="81" t="s">
        <v>593</v>
      </c>
      <c r="CD10" s="81"/>
      <c r="CE10" s="81" t="s">
        <v>586</v>
      </c>
      <c r="CF10" s="81" t="s">
        <v>564</v>
      </c>
      <c r="CG10" s="81"/>
      <c r="CH10" s="80"/>
      <c r="CI10" s="80" t="s">
        <v>616</v>
      </c>
      <c r="CJ10" s="80" t="s">
        <v>617</v>
      </c>
      <c r="CK10" s="80"/>
      <c r="CL10" s="80" t="s">
        <v>609</v>
      </c>
      <c r="CM10" s="80"/>
      <c r="CN10" s="80"/>
      <c r="CO10" s="81"/>
      <c r="CP10" s="81" t="s">
        <v>599</v>
      </c>
      <c r="CQ10" s="81"/>
      <c r="CR10" s="81" t="s">
        <v>570</v>
      </c>
      <c r="CS10" s="81"/>
      <c r="CT10" s="81" t="s">
        <v>618</v>
      </c>
      <c r="CU10" s="81"/>
      <c r="CV10" s="80" t="s">
        <v>600</v>
      </c>
      <c r="CW10" s="80" t="s">
        <v>596</v>
      </c>
      <c r="CX10" s="80"/>
      <c r="CY10" s="80"/>
      <c r="CZ10" s="80" t="s">
        <v>580</v>
      </c>
      <c r="DA10" s="80" t="s">
        <v>620</v>
      </c>
      <c r="DB10" s="80"/>
      <c r="DC10" s="81" t="s">
        <v>579</v>
      </c>
      <c r="DD10" s="81"/>
      <c r="DE10" s="81" t="s">
        <v>610</v>
      </c>
      <c r="DF10" s="81"/>
      <c r="DG10" s="81" t="s">
        <v>595</v>
      </c>
      <c r="DH10" s="81" t="s">
        <v>583</v>
      </c>
      <c r="DI10" s="81"/>
      <c r="DJ10" s="82" t="s">
        <v>588</v>
      </c>
      <c r="DK10" s="82"/>
      <c r="DL10" s="82" t="s">
        <v>569</v>
      </c>
      <c r="DM10" s="82"/>
      <c r="DN10" s="82"/>
      <c r="DO10" s="82"/>
      <c r="DP10" s="82"/>
      <c r="DQ10" s="82"/>
      <c r="DR10" s="82"/>
      <c r="DS10" s="82"/>
      <c r="DT10" s="82"/>
      <c r="DU10" s="82" t="s">
        <v>591</v>
      </c>
      <c r="DV10" s="82" t="s">
        <v>621</v>
      </c>
      <c r="DW10" s="82"/>
      <c r="DX10" s="80" t="s">
        <v>577</v>
      </c>
      <c r="DY10" s="80"/>
      <c r="DZ10" s="80" t="s">
        <v>597</v>
      </c>
      <c r="EA10" s="80"/>
      <c r="EB10" s="80" t="s">
        <v>565</v>
      </c>
      <c r="EC10" s="80"/>
      <c r="ED10" s="80" t="s">
        <v>605</v>
      </c>
      <c r="EE10" s="81" t="s">
        <v>584</v>
      </c>
      <c r="EF10" s="81"/>
      <c r="EG10" s="81" t="s">
        <v>619</v>
      </c>
      <c r="EH10" s="81"/>
      <c r="EI10" s="81" t="s">
        <v>610</v>
      </c>
      <c r="EJ10" s="81"/>
      <c r="EK10" s="81" t="s">
        <v>585</v>
      </c>
      <c r="EL10" s="80"/>
      <c r="EM10" s="80" t="s">
        <v>597</v>
      </c>
      <c r="EN10" s="80" t="s">
        <v>593</v>
      </c>
      <c r="EO10" s="80"/>
      <c r="EP10" s="80"/>
      <c r="EQ10" s="80" t="s">
        <v>596</v>
      </c>
      <c r="ER10" s="80"/>
      <c r="ES10" s="81" t="s">
        <v>573</v>
      </c>
      <c r="ET10" s="81" t="s">
        <v>617</v>
      </c>
      <c r="EU10" s="81"/>
      <c r="EV10" s="81" t="s">
        <v>570</v>
      </c>
      <c r="EW10" s="81"/>
      <c r="EX10" s="81" t="s">
        <v>572</v>
      </c>
      <c r="EY10" s="81"/>
      <c r="EZ10" s="80" t="s">
        <v>594</v>
      </c>
      <c r="FA10" s="80"/>
      <c r="FB10" s="80"/>
      <c r="FC10" s="80" t="s">
        <v>588</v>
      </c>
      <c r="FD10" s="80"/>
      <c r="FE10" s="80"/>
      <c r="FF10" s="80" t="s">
        <v>575</v>
      </c>
      <c r="FG10" s="81"/>
      <c r="FH10" s="81"/>
      <c r="FI10" s="81" t="s">
        <v>605</v>
      </c>
      <c r="FJ10" s="81"/>
      <c r="FK10" s="81" t="s">
        <v>611</v>
      </c>
      <c r="FL10" s="81"/>
      <c r="FM10" s="81" t="s">
        <v>589</v>
      </c>
      <c r="FN10" s="80"/>
      <c r="FO10" s="80" t="s">
        <v>594</v>
      </c>
      <c r="FP10" s="80"/>
      <c r="FQ10" s="80"/>
      <c r="FR10" s="80"/>
      <c r="FS10" s="80" t="s">
        <v>598</v>
      </c>
      <c r="FT10" s="80"/>
      <c r="FU10" s="83" t="s">
        <v>571</v>
      </c>
      <c r="FV10" s="83"/>
      <c r="FW10" s="83" t="s">
        <v>615</v>
      </c>
    </row>
    <row r="11" spans="1:179">
      <c r="A11" s="79" t="s">
        <v>198</v>
      </c>
      <c r="B11" s="80"/>
      <c r="C11" s="80"/>
      <c r="D11" s="80" t="s">
        <v>570</v>
      </c>
      <c r="E11" s="80"/>
      <c r="F11" s="80" t="s">
        <v>596</v>
      </c>
      <c r="G11" s="80"/>
      <c r="H11" s="80"/>
      <c r="I11" s="81" t="s">
        <v>617</v>
      </c>
      <c r="J11" s="81" t="s">
        <v>607</v>
      </c>
      <c r="K11" s="81"/>
      <c r="L11" s="81" t="s">
        <v>614</v>
      </c>
      <c r="M11" s="81"/>
      <c r="N11" s="81" t="s">
        <v>591</v>
      </c>
      <c r="O11" s="81"/>
      <c r="P11" s="80"/>
      <c r="Q11" s="80" t="s">
        <v>566</v>
      </c>
      <c r="R11" s="80"/>
      <c r="S11" s="80"/>
      <c r="T11" s="80" t="s">
        <v>564</v>
      </c>
      <c r="U11" s="80"/>
      <c r="V11" s="80" t="s">
        <v>605</v>
      </c>
      <c r="W11" s="81"/>
      <c r="X11" s="81" t="s">
        <v>620</v>
      </c>
      <c r="Y11" s="81"/>
      <c r="Z11" s="81" t="s">
        <v>582</v>
      </c>
      <c r="AA11" s="81"/>
      <c r="AB11" s="81"/>
      <c r="AC11" s="81" t="s">
        <v>611</v>
      </c>
      <c r="AD11" s="80"/>
      <c r="AE11" s="80"/>
      <c r="AF11" s="80" t="s">
        <v>594</v>
      </c>
      <c r="AG11" s="80"/>
      <c r="AH11" s="80" t="s">
        <v>604</v>
      </c>
      <c r="AI11" s="80"/>
      <c r="AJ11" s="80" t="s">
        <v>596</v>
      </c>
      <c r="AK11" s="81"/>
      <c r="AL11" s="81" t="s">
        <v>601</v>
      </c>
      <c r="AM11" s="81"/>
      <c r="AN11" s="81"/>
      <c r="AO11" s="81"/>
      <c r="AP11" s="81" t="s">
        <v>617</v>
      </c>
      <c r="AQ11" s="81"/>
      <c r="AR11" s="80"/>
      <c r="AS11" s="80" t="s">
        <v>586</v>
      </c>
      <c r="AT11" s="80"/>
      <c r="AU11" s="80" t="s">
        <v>587</v>
      </c>
      <c r="AV11" s="80" t="s">
        <v>592</v>
      </c>
      <c r="AW11" s="80"/>
      <c r="AX11" s="80" t="s">
        <v>589</v>
      </c>
      <c r="AY11" s="81"/>
      <c r="AZ11" s="81" t="s">
        <v>608</v>
      </c>
      <c r="BA11" s="81"/>
      <c r="BB11" s="81" t="s">
        <v>609</v>
      </c>
      <c r="BC11" s="81"/>
      <c r="BD11" s="81" t="s">
        <v>615</v>
      </c>
      <c r="BE11" s="81" t="s">
        <v>606</v>
      </c>
      <c r="BF11" s="80"/>
      <c r="BG11" s="80"/>
      <c r="BH11" s="80" t="s">
        <v>563</v>
      </c>
      <c r="BI11" s="80"/>
      <c r="BJ11" s="80" t="s">
        <v>577</v>
      </c>
      <c r="BK11" s="80"/>
      <c r="BL11" s="80" t="s">
        <v>574</v>
      </c>
      <c r="BM11" s="81" t="s">
        <v>572</v>
      </c>
      <c r="BN11" s="81"/>
      <c r="BO11" s="81" t="s">
        <v>619</v>
      </c>
      <c r="BP11" s="81"/>
      <c r="BQ11" s="81"/>
      <c r="BR11" s="81" t="s">
        <v>610</v>
      </c>
      <c r="BS11" s="81" t="s">
        <v>569</v>
      </c>
      <c r="BT11" s="80"/>
      <c r="BU11" s="80" t="s">
        <v>580</v>
      </c>
      <c r="BV11" s="80"/>
      <c r="BW11" s="80" t="s">
        <v>579</v>
      </c>
      <c r="BX11" s="80"/>
      <c r="BY11" s="80" t="s">
        <v>595</v>
      </c>
      <c r="BZ11" s="80"/>
      <c r="CA11" s="81" t="s">
        <v>621</v>
      </c>
      <c r="CB11" s="81"/>
      <c r="CC11" s="81" t="s">
        <v>603</v>
      </c>
      <c r="CD11" s="81"/>
      <c r="CE11" s="81"/>
      <c r="CF11" s="81" t="s">
        <v>613</v>
      </c>
      <c r="CG11" s="81" t="s">
        <v>599</v>
      </c>
      <c r="CH11" s="80"/>
      <c r="CI11" s="80"/>
      <c r="CJ11" s="80" t="s">
        <v>612</v>
      </c>
      <c r="CK11" s="80" t="s">
        <v>616</v>
      </c>
      <c r="CL11" s="80"/>
      <c r="CM11" s="80"/>
      <c r="CN11" s="80" t="s">
        <v>585</v>
      </c>
      <c r="CO11" s="81" t="s">
        <v>605</v>
      </c>
      <c r="CP11" s="81"/>
      <c r="CQ11" s="81" t="s">
        <v>580</v>
      </c>
      <c r="CR11" s="81"/>
      <c r="CS11" s="81" t="s">
        <v>614</v>
      </c>
      <c r="CT11" s="81"/>
      <c r="CU11" s="81" t="s">
        <v>594</v>
      </c>
      <c r="CV11" s="80"/>
      <c r="CW11" s="80" t="s">
        <v>611</v>
      </c>
      <c r="CX11" s="80"/>
      <c r="CY11" s="80" t="s">
        <v>588</v>
      </c>
      <c r="CZ11" s="80" t="s">
        <v>578</v>
      </c>
      <c r="DA11" s="80"/>
      <c r="DB11" s="80" t="s">
        <v>562</v>
      </c>
      <c r="DC11" s="81"/>
      <c r="DD11" s="81" t="s">
        <v>609</v>
      </c>
      <c r="DE11" s="81" t="s">
        <v>618</v>
      </c>
      <c r="DF11" s="81"/>
      <c r="DG11" s="81"/>
      <c r="DH11" s="81" t="s">
        <v>572</v>
      </c>
      <c r="DI11" s="81"/>
      <c r="DJ11" s="82" t="s">
        <v>567</v>
      </c>
      <c r="DK11" s="82"/>
      <c r="DL11" s="82" t="s">
        <v>586</v>
      </c>
      <c r="DM11" s="82"/>
      <c r="DN11" s="82"/>
      <c r="DO11" s="82"/>
      <c r="DP11" s="82"/>
      <c r="DQ11" s="82"/>
      <c r="DR11" s="82"/>
      <c r="DS11" s="82"/>
      <c r="DT11" s="82"/>
      <c r="DU11" s="82" t="s">
        <v>600</v>
      </c>
      <c r="DV11" s="82"/>
      <c r="DW11" s="82" t="s">
        <v>577</v>
      </c>
      <c r="DX11" s="80"/>
      <c r="DY11" s="80" t="s">
        <v>598</v>
      </c>
      <c r="DZ11" s="80"/>
      <c r="EA11" s="80"/>
      <c r="EB11" s="80" t="s">
        <v>573</v>
      </c>
      <c r="EC11" s="80"/>
      <c r="ED11" s="80" t="s">
        <v>576</v>
      </c>
      <c r="EE11" s="81"/>
      <c r="EF11" s="81" t="s">
        <v>581</v>
      </c>
      <c r="EG11" s="81"/>
      <c r="EH11" s="81" t="s">
        <v>583</v>
      </c>
      <c r="EI11" s="81"/>
      <c r="EJ11" s="81" t="s">
        <v>590</v>
      </c>
      <c r="EK11" s="81"/>
      <c r="EL11" s="80" t="s">
        <v>575</v>
      </c>
      <c r="EM11" s="80"/>
      <c r="EN11" s="80" t="s">
        <v>603</v>
      </c>
      <c r="EO11" s="80"/>
      <c r="EP11" s="80" t="s">
        <v>597</v>
      </c>
      <c r="EQ11" s="80"/>
      <c r="ER11" s="80" t="s">
        <v>574</v>
      </c>
      <c r="ES11" s="81"/>
      <c r="ET11" s="81"/>
      <c r="EU11" s="81" t="s">
        <v>599</v>
      </c>
      <c r="EV11" s="81"/>
      <c r="EW11" s="81" t="s">
        <v>600</v>
      </c>
      <c r="EX11" s="81"/>
      <c r="EY11" s="81" t="s">
        <v>602</v>
      </c>
      <c r="EZ11" s="80" t="s">
        <v>584</v>
      </c>
      <c r="FA11" s="80"/>
      <c r="FB11" s="80" t="s">
        <v>565</v>
      </c>
      <c r="FC11" s="80"/>
      <c r="FD11" s="80" t="s">
        <v>567</v>
      </c>
      <c r="FE11" s="80"/>
      <c r="FF11" s="80"/>
      <c r="FG11" s="81" t="s">
        <v>615</v>
      </c>
      <c r="FH11" s="81" t="s">
        <v>616</v>
      </c>
      <c r="FI11" s="81"/>
      <c r="FJ11" s="81"/>
      <c r="FK11" s="81" t="s">
        <v>568</v>
      </c>
      <c r="FL11" s="81"/>
      <c r="FM11" s="81" t="s">
        <v>588</v>
      </c>
      <c r="FN11" s="80"/>
      <c r="FO11" s="80" t="s">
        <v>610</v>
      </c>
      <c r="FP11" s="80"/>
      <c r="FQ11" s="80" t="s">
        <v>570</v>
      </c>
      <c r="FR11" s="80"/>
      <c r="FS11" s="80" t="s">
        <v>569</v>
      </c>
      <c r="FT11" s="80"/>
      <c r="FU11" s="83" t="s">
        <v>607</v>
      </c>
      <c r="FV11" s="83" t="s">
        <v>618</v>
      </c>
      <c r="FW11" s="83"/>
    </row>
    <row r="12" spans="1:179">
      <c r="A12" s="79" t="s">
        <v>239</v>
      </c>
      <c r="B12" s="80"/>
      <c r="C12" s="80"/>
      <c r="D12" s="80" t="s">
        <v>579</v>
      </c>
      <c r="E12" s="80" t="s">
        <v>620</v>
      </c>
      <c r="F12" s="80"/>
      <c r="G12" s="80" t="s">
        <v>564</v>
      </c>
      <c r="H12" s="80"/>
      <c r="I12" s="81" t="s">
        <v>585</v>
      </c>
      <c r="J12" s="81"/>
      <c r="K12" s="81" t="s">
        <v>602</v>
      </c>
      <c r="L12" s="81"/>
      <c r="M12" s="81" t="s">
        <v>584</v>
      </c>
      <c r="N12" s="81" t="s">
        <v>582</v>
      </c>
      <c r="O12" s="81"/>
      <c r="P12" s="80" t="s">
        <v>595</v>
      </c>
      <c r="Q12" s="80"/>
      <c r="R12" s="80" t="s">
        <v>606</v>
      </c>
      <c r="S12" s="80"/>
      <c r="T12" s="80" t="s">
        <v>579</v>
      </c>
      <c r="U12" s="80"/>
      <c r="V12" s="80"/>
      <c r="W12" s="81" t="s">
        <v>577</v>
      </c>
      <c r="X12" s="81" t="s">
        <v>565</v>
      </c>
      <c r="Y12" s="81"/>
      <c r="Z12" s="81"/>
      <c r="AA12" s="81" t="s">
        <v>583</v>
      </c>
      <c r="AB12" s="81"/>
      <c r="AC12" s="81"/>
      <c r="AD12" s="80"/>
      <c r="AE12" s="80"/>
      <c r="AF12" s="80" t="s">
        <v>584</v>
      </c>
      <c r="AG12" s="80"/>
      <c r="AH12" s="80" t="s">
        <v>620</v>
      </c>
      <c r="AI12" s="80" t="s">
        <v>578</v>
      </c>
      <c r="AJ12" s="80"/>
      <c r="AK12" s="81" t="s">
        <v>563</v>
      </c>
      <c r="AL12" s="81"/>
      <c r="AM12" s="81" t="s">
        <v>583</v>
      </c>
      <c r="AN12" s="81"/>
      <c r="AO12" s="81" t="s">
        <v>612</v>
      </c>
      <c r="AP12" s="81"/>
      <c r="AQ12" s="81" t="s">
        <v>567</v>
      </c>
      <c r="AR12" s="80"/>
      <c r="AS12" s="80" t="s">
        <v>590</v>
      </c>
      <c r="AT12" s="80" t="s">
        <v>575</v>
      </c>
      <c r="AU12" s="80"/>
      <c r="AV12" s="80" t="s">
        <v>585</v>
      </c>
      <c r="AW12" s="80"/>
      <c r="AX12" s="80"/>
      <c r="AY12" s="81" t="s">
        <v>614</v>
      </c>
      <c r="AZ12" s="81"/>
      <c r="BA12" s="81"/>
      <c r="BB12" s="81" t="s">
        <v>607</v>
      </c>
      <c r="BC12" s="81"/>
      <c r="BD12" s="81" t="s">
        <v>580</v>
      </c>
      <c r="BE12" s="81"/>
      <c r="BF12" s="80" t="s">
        <v>601</v>
      </c>
      <c r="BG12" s="80"/>
      <c r="BH12" s="80" t="s">
        <v>576</v>
      </c>
      <c r="BI12" s="80"/>
      <c r="BJ12" s="80" t="s">
        <v>592</v>
      </c>
      <c r="BK12" s="80" t="s">
        <v>568</v>
      </c>
      <c r="BL12" s="80"/>
      <c r="BM12" s="81" t="s">
        <v>564</v>
      </c>
      <c r="BN12" s="81"/>
      <c r="BO12" s="81"/>
      <c r="BP12" s="81" t="s">
        <v>601</v>
      </c>
      <c r="BQ12" s="81"/>
      <c r="BR12" s="81" t="s">
        <v>597</v>
      </c>
      <c r="BS12" s="81"/>
      <c r="BT12" s="80" t="s">
        <v>618</v>
      </c>
      <c r="BU12" s="80"/>
      <c r="BV12" s="80"/>
      <c r="BW12" s="80" t="s">
        <v>573</v>
      </c>
      <c r="BX12" s="80"/>
      <c r="BY12" s="80" t="s">
        <v>616</v>
      </c>
      <c r="BZ12" s="80" t="s">
        <v>574</v>
      </c>
      <c r="CA12" s="81"/>
      <c r="CB12" s="81" t="s">
        <v>590</v>
      </c>
      <c r="CC12" s="81"/>
      <c r="CD12" s="81" t="s">
        <v>613</v>
      </c>
      <c r="CE12" s="81"/>
      <c r="CF12" s="81" t="s">
        <v>568</v>
      </c>
      <c r="CG12" s="81"/>
      <c r="CH12" s="80" t="s">
        <v>619</v>
      </c>
      <c r="CI12" s="80"/>
      <c r="CJ12" s="80" t="s">
        <v>592</v>
      </c>
      <c r="CK12" s="80"/>
      <c r="CL12" s="80"/>
      <c r="CM12" s="80" t="s">
        <v>621</v>
      </c>
      <c r="CN12" s="80"/>
      <c r="CO12" s="81" t="s">
        <v>595</v>
      </c>
      <c r="CP12" s="81"/>
      <c r="CQ12" s="81" t="s">
        <v>569</v>
      </c>
      <c r="CR12" s="81"/>
      <c r="CS12" s="81" t="s">
        <v>610</v>
      </c>
      <c r="CT12" s="81" t="s">
        <v>582</v>
      </c>
      <c r="CU12" s="81"/>
      <c r="CV12" s="80" t="s">
        <v>613</v>
      </c>
      <c r="CW12" s="80"/>
      <c r="CX12" s="80" t="s">
        <v>589</v>
      </c>
      <c r="CY12" s="80"/>
      <c r="CZ12" s="80" t="s">
        <v>576</v>
      </c>
      <c r="DA12" s="80"/>
      <c r="DB12" s="80" t="s">
        <v>593</v>
      </c>
      <c r="DC12" s="81" t="s">
        <v>611</v>
      </c>
      <c r="DD12" s="81"/>
      <c r="DE12" s="81" t="s">
        <v>596</v>
      </c>
      <c r="DF12" s="81"/>
      <c r="DG12" s="81" t="s">
        <v>600</v>
      </c>
      <c r="DH12" s="81" t="s">
        <v>606</v>
      </c>
      <c r="DI12" s="81"/>
      <c r="DJ12" s="82" t="s">
        <v>612</v>
      </c>
      <c r="DK12" s="82"/>
      <c r="DL12" s="82" t="s">
        <v>591</v>
      </c>
      <c r="DM12" s="82"/>
      <c r="DN12" s="82"/>
      <c r="DO12" s="82"/>
      <c r="DP12" s="82"/>
      <c r="DQ12" s="82"/>
      <c r="DR12" s="82"/>
      <c r="DS12" s="82"/>
      <c r="DT12" s="82" t="s">
        <v>575</v>
      </c>
      <c r="DU12" s="82"/>
      <c r="DV12" s="82"/>
      <c r="DW12" s="82" t="s">
        <v>570</v>
      </c>
      <c r="DX12" s="80"/>
      <c r="DY12" s="80" t="s">
        <v>571</v>
      </c>
      <c r="DZ12" s="80"/>
      <c r="EA12" s="80"/>
      <c r="EB12" s="80" t="s">
        <v>572</v>
      </c>
      <c r="EC12" s="80"/>
      <c r="ED12" s="80" t="s">
        <v>617</v>
      </c>
      <c r="EE12" s="81"/>
      <c r="EF12" s="81"/>
      <c r="EG12" s="81" t="s">
        <v>615</v>
      </c>
      <c r="EH12" s="81"/>
      <c r="EI12" s="81"/>
      <c r="EJ12" s="81" t="s">
        <v>588</v>
      </c>
      <c r="EK12" s="81" t="s">
        <v>587</v>
      </c>
      <c r="EL12" s="80"/>
      <c r="EM12" s="80"/>
      <c r="EN12" s="80" t="s">
        <v>608</v>
      </c>
      <c r="EO12" s="80"/>
      <c r="EP12" s="80"/>
      <c r="EQ12" s="80" t="s">
        <v>602</v>
      </c>
      <c r="ER12" s="80"/>
      <c r="ES12" s="81"/>
      <c r="ET12" s="81" t="s">
        <v>563</v>
      </c>
      <c r="EU12" s="81"/>
      <c r="EV12" s="81"/>
      <c r="EW12" s="81" t="s">
        <v>581</v>
      </c>
      <c r="EX12" s="81"/>
      <c r="EY12" s="81" t="s">
        <v>586</v>
      </c>
      <c r="EZ12" s="80" t="s">
        <v>578</v>
      </c>
      <c r="FA12" s="80"/>
      <c r="FB12" s="80" t="s">
        <v>609</v>
      </c>
      <c r="FC12" s="80"/>
      <c r="FD12" s="80" t="s">
        <v>599</v>
      </c>
      <c r="FE12" s="80"/>
      <c r="FF12" s="80" t="s">
        <v>594</v>
      </c>
      <c r="FG12" s="81"/>
      <c r="FH12" s="81"/>
      <c r="FI12" s="81" t="s">
        <v>589</v>
      </c>
      <c r="FJ12" s="81"/>
      <c r="FK12" s="81" t="s">
        <v>566</v>
      </c>
      <c r="FL12" s="81"/>
      <c r="FM12" s="81" t="s">
        <v>605</v>
      </c>
      <c r="FN12" s="80"/>
      <c r="FO12" s="80" t="s">
        <v>621</v>
      </c>
      <c r="FP12" s="80"/>
      <c r="FQ12" s="80" t="s">
        <v>565</v>
      </c>
      <c r="FR12" s="80"/>
      <c r="FS12" s="80" t="s">
        <v>603</v>
      </c>
      <c r="FT12" s="80"/>
      <c r="FU12" s="83" t="s">
        <v>604</v>
      </c>
      <c r="FV12" s="83" t="s">
        <v>587</v>
      </c>
      <c r="FW12" s="83"/>
    </row>
    <row r="13" spans="1:179">
      <c r="A13" s="79" t="s">
        <v>187</v>
      </c>
      <c r="B13" s="80"/>
      <c r="C13" s="80"/>
      <c r="D13" s="80"/>
      <c r="E13" s="80" t="s">
        <v>599</v>
      </c>
      <c r="F13" s="80"/>
      <c r="G13" s="80"/>
      <c r="H13" s="80" t="s">
        <v>600</v>
      </c>
      <c r="I13" s="81" t="s">
        <v>614</v>
      </c>
      <c r="J13" s="81"/>
      <c r="K13" s="81" t="s">
        <v>596</v>
      </c>
      <c r="L13" s="81"/>
      <c r="M13" s="81" t="s">
        <v>567</v>
      </c>
      <c r="N13" s="81" t="s">
        <v>612</v>
      </c>
      <c r="O13" s="81"/>
      <c r="P13" s="80" t="s">
        <v>609</v>
      </c>
      <c r="Q13" s="80"/>
      <c r="R13" s="80" t="s">
        <v>580</v>
      </c>
      <c r="S13" s="80"/>
      <c r="T13" s="80" t="s">
        <v>605</v>
      </c>
      <c r="U13" s="80" t="s">
        <v>600</v>
      </c>
      <c r="V13" s="80"/>
      <c r="W13" s="81" t="s">
        <v>588</v>
      </c>
      <c r="X13" s="81"/>
      <c r="Y13" s="81" t="s">
        <v>574</v>
      </c>
      <c r="Z13" s="81"/>
      <c r="AA13" s="81" t="s">
        <v>604</v>
      </c>
      <c r="AB13" s="81"/>
      <c r="AC13" s="81" t="s">
        <v>614</v>
      </c>
      <c r="AD13" s="80"/>
      <c r="AE13" s="80" t="s">
        <v>611</v>
      </c>
      <c r="AF13" s="80" t="s">
        <v>603</v>
      </c>
      <c r="AG13" s="80"/>
      <c r="AH13" s="80" t="s">
        <v>618</v>
      </c>
      <c r="AI13" s="80"/>
      <c r="AJ13" s="80"/>
      <c r="AK13" s="81" t="s">
        <v>615</v>
      </c>
      <c r="AL13" s="81"/>
      <c r="AM13" s="81" t="s">
        <v>568</v>
      </c>
      <c r="AN13" s="81"/>
      <c r="AO13" s="81" t="s">
        <v>565</v>
      </c>
      <c r="AP13" s="81"/>
      <c r="AQ13" s="81" t="s">
        <v>591</v>
      </c>
      <c r="AR13" s="80" t="s">
        <v>621</v>
      </c>
      <c r="AS13" s="80"/>
      <c r="AT13" s="80" t="s">
        <v>583</v>
      </c>
      <c r="AU13" s="80"/>
      <c r="AV13" s="80" t="s">
        <v>584</v>
      </c>
      <c r="AW13" s="80"/>
      <c r="AX13" s="80"/>
      <c r="AY13" s="81" t="s">
        <v>610</v>
      </c>
      <c r="AZ13" s="81"/>
      <c r="BA13" s="81" t="s">
        <v>606</v>
      </c>
      <c r="BB13" s="81"/>
      <c r="BC13" s="81" t="s">
        <v>618</v>
      </c>
      <c r="BD13" s="81"/>
      <c r="BE13" s="81" t="s">
        <v>569</v>
      </c>
      <c r="BF13" s="80"/>
      <c r="BG13" s="80"/>
      <c r="BH13" s="80" t="s">
        <v>570</v>
      </c>
      <c r="BI13" s="80"/>
      <c r="BJ13" s="80" t="s">
        <v>619</v>
      </c>
      <c r="BK13" s="80"/>
      <c r="BL13" s="80"/>
      <c r="BM13" s="81" t="s">
        <v>577</v>
      </c>
      <c r="BN13" s="81"/>
      <c r="BO13" s="81" t="s">
        <v>594</v>
      </c>
      <c r="BP13" s="81"/>
      <c r="BQ13" s="81" t="s">
        <v>596</v>
      </c>
      <c r="BR13" s="81" t="s">
        <v>607</v>
      </c>
      <c r="BS13" s="81"/>
      <c r="BT13" s="80"/>
      <c r="BU13" s="80" t="s">
        <v>597</v>
      </c>
      <c r="BV13" s="80"/>
      <c r="BW13" s="80" t="s">
        <v>605</v>
      </c>
      <c r="BX13" s="80"/>
      <c r="BY13" s="80" t="s">
        <v>598</v>
      </c>
      <c r="BZ13" s="80"/>
      <c r="CA13" s="81" t="s">
        <v>617</v>
      </c>
      <c r="CB13" s="81"/>
      <c r="CC13" s="81" t="s">
        <v>575</v>
      </c>
      <c r="CD13" s="81"/>
      <c r="CE13" s="81" t="s">
        <v>573</v>
      </c>
      <c r="CF13" s="81"/>
      <c r="CG13" s="81" t="s">
        <v>611</v>
      </c>
      <c r="CH13" s="80"/>
      <c r="CI13" s="80" t="s">
        <v>607</v>
      </c>
      <c r="CJ13" s="80"/>
      <c r="CK13" s="80" t="s">
        <v>593</v>
      </c>
      <c r="CL13" s="80"/>
      <c r="CM13" s="80" t="s">
        <v>563</v>
      </c>
      <c r="CN13" s="80"/>
      <c r="CO13" s="81" t="s">
        <v>570</v>
      </c>
      <c r="CP13" s="81"/>
      <c r="CQ13" s="81" t="s">
        <v>588</v>
      </c>
      <c r="CR13" s="81"/>
      <c r="CS13" s="81" t="s">
        <v>585</v>
      </c>
      <c r="CT13" s="81"/>
      <c r="CU13" s="81"/>
      <c r="CV13" s="80"/>
      <c r="CW13" s="80" t="s">
        <v>608</v>
      </c>
      <c r="CX13" s="80"/>
      <c r="CY13" s="80" t="s">
        <v>592</v>
      </c>
      <c r="CZ13" s="80"/>
      <c r="DA13" s="80" t="s">
        <v>590</v>
      </c>
      <c r="DB13" s="80"/>
      <c r="DC13" s="81" t="s">
        <v>595</v>
      </c>
      <c r="DD13" s="81"/>
      <c r="DE13" s="81" t="s">
        <v>589</v>
      </c>
      <c r="DF13" s="81"/>
      <c r="DG13" s="81"/>
      <c r="DH13" s="81" t="s">
        <v>586</v>
      </c>
      <c r="DI13" s="81"/>
      <c r="DJ13" s="82" t="s">
        <v>566</v>
      </c>
      <c r="DK13" s="82"/>
      <c r="DL13" s="82" t="s">
        <v>572</v>
      </c>
      <c r="DM13" s="82"/>
      <c r="DN13" s="82"/>
      <c r="DO13" s="82"/>
      <c r="DP13" s="82"/>
      <c r="DQ13" s="82"/>
      <c r="DR13" s="82"/>
      <c r="DS13" s="82"/>
      <c r="DT13" s="82" t="s">
        <v>594</v>
      </c>
      <c r="DU13" s="82"/>
      <c r="DV13" s="82"/>
      <c r="DW13" s="82" t="s">
        <v>619</v>
      </c>
      <c r="DX13" s="80"/>
      <c r="DY13" s="80" t="s">
        <v>569</v>
      </c>
      <c r="DZ13" s="80"/>
      <c r="EA13" s="80" t="s">
        <v>586</v>
      </c>
      <c r="EB13" s="80"/>
      <c r="EC13" s="80" t="s">
        <v>572</v>
      </c>
      <c r="ED13" s="80" t="s">
        <v>601</v>
      </c>
      <c r="EE13" s="81"/>
      <c r="EF13" s="81" t="s">
        <v>571</v>
      </c>
      <c r="EG13" s="81"/>
      <c r="EH13" s="81" t="s">
        <v>576</v>
      </c>
      <c r="EI13" s="81"/>
      <c r="EJ13" s="81" t="s">
        <v>564</v>
      </c>
      <c r="EK13" s="81"/>
      <c r="EL13" s="80"/>
      <c r="EM13" s="80" t="s">
        <v>599</v>
      </c>
      <c r="EN13" s="80"/>
      <c r="EO13" s="80" t="s">
        <v>582</v>
      </c>
      <c r="EP13" s="80"/>
      <c r="EQ13" s="80" t="s">
        <v>578</v>
      </c>
      <c r="ER13" s="80"/>
      <c r="ES13" s="81" t="s">
        <v>602</v>
      </c>
      <c r="ET13" s="81"/>
      <c r="EU13" s="81" t="s">
        <v>579</v>
      </c>
      <c r="EV13" s="81"/>
      <c r="EW13" s="81" t="s">
        <v>562</v>
      </c>
      <c r="EX13" s="81" t="s">
        <v>587</v>
      </c>
      <c r="EY13" s="81"/>
      <c r="EZ13" s="80"/>
      <c r="FA13" s="80"/>
      <c r="FB13" s="80" t="s">
        <v>620</v>
      </c>
      <c r="FC13" s="80"/>
      <c r="FD13" s="80"/>
      <c r="FE13" s="80" t="s">
        <v>615</v>
      </c>
      <c r="FF13" s="80" t="s">
        <v>567</v>
      </c>
      <c r="FG13" s="81"/>
      <c r="FH13" s="81" t="s">
        <v>593</v>
      </c>
      <c r="FI13" s="81"/>
      <c r="FJ13" s="81" t="s">
        <v>580</v>
      </c>
      <c r="FK13" s="81" t="s">
        <v>597</v>
      </c>
      <c r="FL13" s="81"/>
      <c r="FM13" s="81"/>
      <c r="FN13" s="80"/>
      <c r="FO13" s="80"/>
      <c r="FP13" s="80" t="s">
        <v>613</v>
      </c>
      <c r="FQ13" s="80" t="s">
        <v>574</v>
      </c>
      <c r="FR13" s="80"/>
      <c r="FS13" s="80" t="s">
        <v>573</v>
      </c>
      <c r="FT13" s="80"/>
      <c r="FU13" s="83" t="s">
        <v>609</v>
      </c>
      <c r="FV13" s="83"/>
      <c r="FW13" s="83" t="s">
        <v>617</v>
      </c>
    </row>
    <row r="14" spans="1:179">
      <c r="A14" s="79" t="s">
        <v>184</v>
      </c>
      <c r="B14" s="80"/>
      <c r="C14" s="80"/>
      <c r="D14" s="80"/>
      <c r="E14" s="80" t="s">
        <v>575</v>
      </c>
      <c r="F14" s="80"/>
      <c r="G14" s="80" t="s">
        <v>619</v>
      </c>
      <c r="H14" s="80"/>
      <c r="I14" s="81" t="s">
        <v>615</v>
      </c>
      <c r="J14" s="81"/>
      <c r="K14" s="81" t="s">
        <v>595</v>
      </c>
      <c r="L14" s="81"/>
      <c r="M14" s="81" t="s">
        <v>589</v>
      </c>
      <c r="N14" s="81"/>
      <c r="O14" s="81" t="s">
        <v>565</v>
      </c>
      <c r="P14" s="80" t="s">
        <v>611</v>
      </c>
      <c r="Q14" s="80"/>
      <c r="R14" s="80" t="s">
        <v>581</v>
      </c>
      <c r="S14" s="80"/>
      <c r="T14" s="80"/>
      <c r="U14" s="80" t="s">
        <v>584</v>
      </c>
      <c r="V14" s="80"/>
      <c r="W14" s="81" t="s">
        <v>614</v>
      </c>
      <c r="X14" s="81"/>
      <c r="Y14" s="81" t="s">
        <v>599</v>
      </c>
      <c r="Z14" s="81"/>
      <c r="AA14" s="81" t="s">
        <v>585</v>
      </c>
      <c r="AB14" s="81" t="s">
        <v>605</v>
      </c>
      <c r="AC14" s="81"/>
      <c r="AD14" s="80" t="s">
        <v>609</v>
      </c>
      <c r="AE14" s="80"/>
      <c r="AF14" s="80" t="s">
        <v>571</v>
      </c>
      <c r="AG14" s="80"/>
      <c r="AH14" s="80" t="s">
        <v>573</v>
      </c>
      <c r="AI14" s="80"/>
      <c r="AJ14" s="80" t="s">
        <v>607</v>
      </c>
      <c r="AK14" s="81"/>
      <c r="AL14" s="81"/>
      <c r="AM14" s="81" t="s">
        <v>566</v>
      </c>
      <c r="AN14" s="81"/>
      <c r="AO14" s="81"/>
      <c r="AP14" s="81" t="s">
        <v>620</v>
      </c>
      <c r="AQ14" s="81"/>
      <c r="AR14" s="80"/>
      <c r="AS14" s="80" t="s">
        <v>597</v>
      </c>
      <c r="AT14" s="80"/>
      <c r="AU14" s="80" t="s">
        <v>602</v>
      </c>
      <c r="AV14" s="80"/>
      <c r="AW14" s="80" t="s">
        <v>596</v>
      </c>
      <c r="AX14" s="80"/>
      <c r="AY14" s="81" t="s">
        <v>569</v>
      </c>
      <c r="AZ14" s="81"/>
      <c r="BA14" s="81" t="s">
        <v>590</v>
      </c>
      <c r="BB14" s="81"/>
      <c r="BC14" s="81" t="s">
        <v>591</v>
      </c>
      <c r="BD14" s="81" t="s">
        <v>598</v>
      </c>
      <c r="BE14" s="81"/>
      <c r="BF14" s="80" t="s">
        <v>567</v>
      </c>
      <c r="BG14" s="80"/>
      <c r="BH14" s="80"/>
      <c r="BI14" s="80" t="s">
        <v>573</v>
      </c>
      <c r="BJ14" s="80"/>
      <c r="BK14" s="80" t="s">
        <v>572</v>
      </c>
      <c r="BL14" s="80"/>
      <c r="BM14" s="81" t="s">
        <v>617</v>
      </c>
      <c r="BN14" s="81"/>
      <c r="BO14" s="81" t="s">
        <v>616</v>
      </c>
      <c r="BP14" s="81"/>
      <c r="BQ14" s="81"/>
      <c r="BR14" s="81" t="s">
        <v>582</v>
      </c>
      <c r="BS14" s="81" t="s">
        <v>614</v>
      </c>
      <c r="BT14" s="80"/>
      <c r="BU14" s="80" t="s">
        <v>593</v>
      </c>
      <c r="BV14" s="80"/>
      <c r="BW14" s="80"/>
      <c r="BX14" s="80" t="s">
        <v>564</v>
      </c>
      <c r="BY14" s="80"/>
      <c r="BZ14" s="80"/>
      <c r="CA14" s="81"/>
      <c r="CB14" s="81"/>
      <c r="CC14" s="81" t="s">
        <v>621</v>
      </c>
      <c r="CD14" s="81" t="s">
        <v>600</v>
      </c>
      <c r="CE14" s="81"/>
      <c r="CF14" s="81" t="s">
        <v>577</v>
      </c>
      <c r="CG14" s="81"/>
      <c r="CH14" s="80"/>
      <c r="CI14" s="80" t="s">
        <v>611</v>
      </c>
      <c r="CJ14" s="80" t="s">
        <v>609</v>
      </c>
      <c r="CK14" s="80"/>
      <c r="CL14" s="80"/>
      <c r="CM14" s="80" t="s">
        <v>586</v>
      </c>
      <c r="CN14" s="80"/>
      <c r="CO14" s="81" t="s">
        <v>615</v>
      </c>
      <c r="CP14" s="81"/>
      <c r="CQ14" s="81" t="s">
        <v>593</v>
      </c>
      <c r="CR14" s="81"/>
      <c r="CS14" s="81" t="s">
        <v>605</v>
      </c>
      <c r="CT14" s="81"/>
      <c r="CU14" s="81" t="s">
        <v>571</v>
      </c>
      <c r="CV14" s="80" t="s">
        <v>618</v>
      </c>
      <c r="CW14" s="80"/>
      <c r="CX14" s="80" t="s">
        <v>570</v>
      </c>
      <c r="CY14" s="80"/>
      <c r="CZ14" s="80" t="s">
        <v>607</v>
      </c>
      <c r="DA14" s="80"/>
      <c r="DB14" s="80" t="s">
        <v>619</v>
      </c>
      <c r="DC14" s="81"/>
      <c r="DD14" s="81" t="s">
        <v>612</v>
      </c>
      <c r="DE14" s="81"/>
      <c r="DF14" s="81" t="s">
        <v>574</v>
      </c>
      <c r="DG14" s="81" t="s">
        <v>572</v>
      </c>
      <c r="DH14" s="81"/>
      <c r="DI14" s="81" t="s">
        <v>588</v>
      </c>
      <c r="DJ14" s="82"/>
      <c r="DK14" s="82" t="s">
        <v>604</v>
      </c>
      <c r="DL14" s="82"/>
      <c r="DM14" s="82"/>
      <c r="DN14" s="82"/>
      <c r="DO14" s="82"/>
      <c r="DP14" s="82"/>
      <c r="DQ14" s="82"/>
      <c r="DR14" s="82"/>
      <c r="DS14" s="82"/>
      <c r="DT14" s="82" t="s">
        <v>616</v>
      </c>
      <c r="DU14" s="82"/>
      <c r="DV14" s="82" t="s">
        <v>618</v>
      </c>
      <c r="DW14" s="82"/>
      <c r="DX14" s="80" t="s">
        <v>606</v>
      </c>
      <c r="DY14" s="80"/>
      <c r="DZ14" s="80" t="s">
        <v>610</v>
      </c>
      <c r="EA14" s="80"/>
      <c r="EB14" s="80"/>
      <c r="EC14" s="80" t="s">
        <v>592</v>
      </c>
      <c r="ED14" s="80"/>
      <c r="EE14" s="81" t="s">
        <v>587</v>
      </c>
      <c r="EF14" s="81"/>
      <c r="EG14" s="81"/>
      <c r="EH14" s="81" t="s">
        <v>599</v>
      </c>
      <c r="EI14" s="81"/>
      <c r="EJ14" s="81" t="s">
        <v>583</v>
      </c>
      <c r="EK14" s="81" t="s">
        <v>563</v>
      </c>
      <c r="EL14" s="80"/>
      <c r="EM14" s="80" t="s">
        <v>577</v>
      </c>
      <c r="EN14" s="80"/>
      <c r="EO14" s="80" t="s">
        <v>574</v>
      </c>
      <c r="EP14" s="80"/>
      <c r="EQ14" s="80"/>
      <c r="ER14" s="80" t="s">
        <v>570</v>
      </c>
      <c r="ES14" s="81"/>
      <c r="ET14" s="81" t="s">
        <v>613</v>
      </c>
      <c r="EU14" s="81"/>
      <c r="EV14" s="81" t="s">
        <v>569</v>
      </c>
      <c r="EW14" s="81"/>
      <c r="EX14" s="81" t="s">
        <v>568</v>
      </c>
      <c r="EY14" s="81"/>
      <c r="EZ14" s="80" t="s">
        <v>603</v>
      </c>
      <c r="FA14" s="80"/>
      <c r="FB14" s="80" t="s">
        <v>578</v>
      </c>
      <c r="FC14" s="80"/>
      <c r="FD14" s="80" t="s">
        <v>579</v>
      </c>
      <c r="FE14" s="80"/>
      <c r="FF14" s="80" t="s">
        <v>562</v>
      </c>
      <c r="FG14" s="81"/>
      <c r="FH14" s="81" t="s">
        <v>608</v>
      </c>
      <c r="FI14" s="81"/>
      <c r="FJ14" s="81" t="s">
        <v>581</v>
      </c>
      <c r="FK14" s="81"/>
      <c r="FL14" s="81"/>
      <c r="FM14" s="81" t="s">
        <v>576</v>
      </c>
      <c r="FN14" s="80"/>
      <c r="FO14" s="80" t="s">
        <v>603</v>
      </c>
      <c r="FP14" s="80" t="s">
        <v>567</v>
      </c>
      <c r="FQ14" s="80"/>
      <c r="FR14" s="80" t="s">
        <v>601</v>
      </c>
      <c r="FS14" s="80"/>
      <c r="FT14" s="80" t="s">
        <v>597</v>
      </c>
      <c r="FU14" s="83" t="s">
        <v>596</v>
      </c>
      <c r="FV14" s="83"/>
      <c r="FW14" s="83" t="s">
        <v>610</v>
      </c>
    </row>
    <row r="15" spans="1:179">
      <c r="A15" s="79" t="s">
        <v>251</v>
      </c>
      <c r="B15" s="80"/>
      <c r="C15" s="80"/>
      <c r="D15" s="80" t="s">
        <v>598</v>
      </c>
      <c r="E15" s="80"/>
      <c r="F15" s="80"/>
      <c r="G15" s="80" t="s">
        <v>590</v>
      </c>
      <c r="H15" s="80"/>
      <c r="I15" s="81" t="s">
        <v>562</v>
      </c>
      <c r="J15" s="81"/>
      <c r="K15" s="81" t="s">
        <v>589</v>
      </c>
      <c r="L15" s="81"/>
      <c r="M15" s="81" t="s">
        <v>613</v>
      </c>
      <c r="N15" s="81"/>
      <c r="O15" s="81" t="s">
        <v>568</v>
      </c>
      <c r="P15" s="80"/>
      <c r="Q15" s="80" t="s">
        <v>583</v>
      </c>
      <c r="R15" s="80" t="s">
        <v>601</v>
      </c>
      <c r="S15" s="80"/>
      <c r="T15" s="80" t="s">
        <v>598</v>
      </c>
      <c r="U15" s="80"/>
      <c r="V15" s="80" t="s">
        <v>591</v>
      </c>
      <c r="W15" s="81"/>
      <c r="X15" s="81" t="s">
        <v>615</v>
      </c>
      <c r="Y15" s="81"/>
      <c r="Z15" s="81"/>
      <c r="AA15" s="81" t="s">
        <v>580</v>
      </c>
      <c r="AB15" s="81" t="s">
        <v>575</v>
      </c>
      <c r="AC15" s="81"/>
      <c r="AD15" s="80" t="s">
        <v>589</v>
      </c>
      <c r="AE15" s="80"/>
      <c r="AF15" s="80"/>
      <c r="AG15" s="80"/>
      <c r="AH15" s="80"/>
      <c r="AI15" s="80" t="s">
        <v>563</v>
      </c>
      <c r="AJ15" s="80"/>
      <c r="AK15" s="81" t="s">
        <v>610</v>
      </c>
      <c r="AL15" s="81"/>
      <c r="AM15" s="81" t="s">
        <v>588</v>
      </c>
      <c r="AN15" s="81"/>
      <c r="AO15" s="81" t="s">
        <v>620</v>
      </c>
      <c r="AP15" s="81" t="s">
        <v>608</v>
      </c>
      <c r="AQ15" s="81"/>
      <c r="AR15" s="80" t="s">
        <v>611</v>
      </c>
      <c r="AS15" s="80"/>
      <c r="AT15" s="80" t="s">
        <v>600</v>
      </c>
      <c r="AU15" s="80"/>
      <c r="AV15" s="80" t="s">
        <v>562</v>
      </c>
      <c r="AW15" s="80" t="s">
        <v>587</v>
      </c>
      <c r="AX15" s="80"/>
      <c r="AY15" s="81" t="s">
        <v>599</v>
      </c>
      <c r="AZ15" s="81"/>
      <c r="BA15" s="81" t="s">
        <v>604</v>
      </c>
      <c r="BB15" s="81"/>
      <c r="BC15" s="81" t="s">
        <v>621</v>
      </c>
      <c r="BD15" s="81"/>
      <c r="BE15" s="81" t="s">
        <v>612</v>
      </c>
      <c r="BF15" s="80"/>
      <c r="BG15" s="80" t="s">
        <v>586</v>
      </c>
      <c r="BH15" s="80"/>
      <c r="BI15" s="80"/>
      <c r="BJ15" s="80" t="s">
        <v>569</v>
      </c>
      <c r="BK15" s="80"/>
      <c r="BL15" s="80" t="s">
        <v>578</v>
      </c>
      <c r="BM15" s="81" t="s">
        <v>576</v>
      </c>
      <c r="BN15" s="81"/>
      <c r="BO15" s="81"/>
      <c r="BP15" s="81"/>
      <c r="BQ15" s="81" t="s">
        <v>565</v>
      </c>
      <c r="BR15" s="81" t="s">
        <v>614</v>
      </c>
      <c r="BS15" s="81"/>
      <c r="BT15" s="80"/>
      <c r="BU15" s="80" t="s">
        <v>564</v>
      </c>
      <c r="BV15" s="80"/>
      <c r="BW15" s="80" t="s">
        <v>593</v>
      </c>
      <c r="BX15" s="80"/>
      <c r="BY15" s="80" t="s">
        <v>621</v>
      </c>
      <c r="BZ15" s="80"/>
      <c r="CA15" s="81" t="s">
        <v>583</v>
      </c>
      <c r="CB15" s="81"/>
      <c r="CC15" s="81" t="s">
        <v>566</v>
      </c>
      <c r="CD15" s="81"/>
      <c r="CE15" s="81" t="s">
        <v>584</v>
      </c>
      <c r="CF15" s="81"/>
      <c r="CG15" s="81"/>
      <c r="CH15" s="80" t="s">
        <v>564</v>
      </c>
      <c r="CI15" s="80"/>
      <c r="CJ15" s="80" t="s">
        <v>605</v>
      </c>
      <c r="CK15" s="80"/>
      <c r="CL15" s="80" t="s">
        <v>577</v>
      </c>
      <c r="CM15" s="80"/>
      <c r="CN15" s="80" t="s">
        <v>571</v>
      </c>
      <c r="CO15" s="81" t="s">
        <v>618</v>
      </c>
      <c r="CP15" s="81"/>
      <c r="CQ15" s="81" t="s">
        <v>572</v>
      </c>
      <c r="CR15" s="81"/>
      <c r="CS15" s="81" t="s">
        <v>616</v>
      </c>
      <c r="CT15" s="81"/>
      <c r="CU15" s="81" t="s">
        <v>570</v>
      </c>
      <c r="CV15" s="80"/>
      <c r="CW15" s="80"/>
      <c r="CX15" s="80" t="s">
        <v>568</v>
      </c>
      <c r="CY15" s="80"/>
      <c r="CZ15" s="80"/>
      <c r="DA15" s="80" t="s">
        <v>606</v>
      </c>
      <c r="DB15" s="80"/>
      <c r="DC15" s="81" t="s">
        <v>607</v>
      </c>
      <c r="DD15" s="81"/>
      <c r="DE15" s="81" t="s">
        <v>602</v>
      </c>
      <c r="DF15" s="81"/>
      <c r="DG15" s="81" t="s">
        <v>576</v>
      </c>
      <c r="DH15" s="81" t="s">
        <v>619</v>
      </c>
      <c r="DI15" s="81"/>
      <c r="DJ15" s="82" t="s">
        <v>582</v>
      </c>
      <c r="DK15" s="82"/>
      <c r="DL15" s="82" t="s">
        <v>575</v>
      </c>
      <c r="DM15" s="82"/>
      <c r="DN15" s="82"/>
      <c r="DO15" s="82"/>
      <c r="DP15" s="82"/>
      <c r="DQ15" s="82"/>
      <c r="DR15" s="82"/>
      <c r="DS15" s="82"/>
      <c r="DT15" s="82"/>
      <c r="DU15" s="82" t="s">
        <v>587</v>
      </c>
      <c r="DV15" s="82"/>
      <c r="DW15" s="82" t="s">
        <v>602</v>
      </c>
      <c r="DX15" s="80"/>
      <c r="DY15" s="80" t="s">
        <v>612</v>
      </c>
      <c r="DZ15" s="80"/>
      <c r="EA15" s="80" t="s">
        <v>609</v>
      </c>
      <c r="EB15" s="80"/>
      <c r="EC15" s="80" t="s">
        <v>590</v>
      </c>
      <c r="ED15" s="80"/>
      <c r="EE15" s="81" t="s">
        <v>597</v>
      </c>
      <c r="EF15" s="81"/>
      <c r="EG15" s="81" t="s">
        <v>578</v>
      </c>
      <c r="EH15" s="81"/>
      <c r="EI15" s="81" t="s">
        <v>584</v>
      </c>
      <c r="EJ15" s="81"/>
      <c r="EK15" s="81" t="s">
        <v>603</v>
      </c>
      <c r="EL15" s="80"/>
      <c r="EM15" s="80" t="s">
        <v>604</v>
      </c>
      <c r="EN15" s="80"/>
      <c r="EO15" s="80"/>
      <c r="EP15" s="80"/>
      <c r="EQ15" s="80" t="s">
        <v>608</v>
      </c>
      <c r="ER15" s="80"/>
      <c r="ES15" s="81"/>
      <c r="ET15" s="81"/>
      <c r="EU15" s="81" t="s">
        <v>581</v>
      </c>
      <c r="EV15" s="81"/>
      <c r="EW15" s="81" t="s">
        <v>566</v>
      </c>
      <c r="EX15" s="81" t="s">
        <v>613</v>
      </c>
      <c r="EY15" s="81"/>
      <c r="EZ15" s="80" t="s">
        <v>596</v>
      </c>
      <c r="FA15" s="80"/>
      <c r="FB15" s="80" t="s">
        <v>591</v>
      </c>
      <c r="FC15" s="80"/>
      <c r="FD15" s="80" t="s">
        <v>594</v>
      </c>
      <c r="FE15" s="80"/>
      <c r="FF15" s="80" t="s">
        <v>617</v>
      </c>
      <c r="FG15" s="81" t="s">
        <v>573</v>
      </c>
      <c r="FH15" s="81"/>
      <c r="FI15" s="81" t="s">
        <v>574</v>
      </c>
      <c r="FJ15" s="81"/>
      <c r="FK15" s="81" t="s">
        <v>582</v>
      </c>
      <c r="FL15" s="81"/>
      <c r="FM15" s="81" t="s">
        <v>601</v>
      </c>
      <c r="FN15" s="80"/>
      <c r="FO15" s="80" t="s">
        <v>565</v>
      </c>
      <c r="FP15" s="80" t="s">
        <v>592</v>
      </c>
      <c r="FQ15" s="80"/>
      <c r="FR15" s="80"/>
      <c r="FS15" s="80" t="s">
        <v>563</v>
      </c>
      <c r="FT15" s="80"/>
      <c r="FU15" s="83" t="s">
        <v>567</v>
      </c>
      <c r="FV15" s="83"/>
      <c r="FW15" s="83" t="s">
        <v>595</v>
      </c>
    </row>
    <row r="16" spans="1:179">
      <c r="A16" s="79" t="s">
        <v>204</v>
      </c>
      <c r="B16" s="80"/>
      <c r="C16" s="80" t="s">
        <v>586</v>
      </c>
      <c r="D16" s="80"/>
      <c r="E16" s="80" t="s">
        <v>616</v>
      </c>
      <c r="F16" s="80"/>
      <c r="G16" s="80" t="s">
        <v>572</v>
      </c>
      <c r="H16" s="80"/>
      <c r="I16" s="81" t="s">
        <v>612</v>
      </c>
      <c r="J16" s="81"/>
      <c r="K16" s="81" t="s">
        <v>618</v>
      </c>
      <c r="L16" s="81" t="s">
        <v>567</v>
      </c>
      <c r="M16" s="81"/>
      <c r="N16" s="81"/>
      <c r="O16" s="81" t="s">
        <v>588</v>
      </c>
      <c r="P16" s="80"/>
      <c r="Q16" s="80"/>
      <c r="R16" s="80" t="s">
        <v>575</v>
      </c>
      <c r="S16" s="80" t="s">
        <v>609</v>
      </c>
      <c r="T16" s="80"/>
      <c r="U16" s="80"/>
      <c r="V16" s="80"/>
      <c r="W16" s="81" t="s">
        <v>576</v>
      </c>
      <c r="X16" s="81"/>
      <c r="Y16" s="81" t="s">
        <v>580</v>
      </c>
      <c r="Z16" s="81" t="s">
        <v>614</v>
      </c>
      <c r="AA16" s="81"/>
      <c r="AB16" s="81" t="s">
        <v>620</v>
      </c>
      <c r="AC16" s="81"/>
      <c r="AD16" s="80" t="s">
        <v>615</v>
      </c>
      <c r="AE16" s="80"/>
      <c r="AF16" s="80" t="s">
        <v>604</v>
      </c>
      <c r="AG16" s="80"/>
      <c r="AH16" s="80" t="s">
        <v>594</v>
      </c>
      <c r="AI16" s="80"/>
      <c r="AJ16" s="80" t="s">
        <v>619</v>
      </c>
      <c r="AK16" s="81"/>
      <c r="AL16" s="81" t="s">
        <v>603</v>
      </c>
      <c r="AM16" s="81" t="s">
        <v>611</v>
      </c>
      <c r="AN16" s="81"/>
      <c r="AO16" s="81" t="s">
        <v>597</v>
      </c>
      <c r="AP16" s="81"/>
      <c r="AQ16" s="81" t="s">
        <v>601</v>
      </c>
      <c r="AR16" s="80"/>
      <c r="AS16" s="80" t="s">
        <v>609</v>
      </c>
      <c r="AT16" s="80"/>
      <c r="AU16" s="80"/>
      <c r="AV16" s="80" t="s">
        <v>578</v>
      </c>
      <c r="AW16" s="80"/>
      <c r="AX16" s="80" t="s">
        <v>595</v>
      </c>
      <c r="AY16" s="81" t="s">
        <v>579</v>
      </c>
      <c r="AZ16" s="81"/>
      <c r="BA16" s="81" t="s">
        <v>602</v>
      </c>
      <c r="BB16" s="81"/>
      <c r="BC16" s="81" t="s">
        <v>605</v>
      </c>
      <c r="BD16" s="81" t="s">
        <v>584</v>
      </c>
      <c r="BE16" s="81"/>
      <c r="BF16" s="80"/>
      <c r="BG16" s="80" t="s">
        <v>596</v>
      </c>
      <c r="BH16" s="80"/>
      <c r="BI16" s="80" t="s">
        <v>594</v>
      </c>
      <c r="BJ16" s="80"/>
      <c r="BK16" s="80" t="s">
        <v>597</v>
      </c>
      <c r="BL16" s="80" t="s">
        <v>600</v>
      </c>
      <c r="BM16" s="81"/>
      <c r="BN16" s="81"/>
      <c r="BO16" s="81" t="s">
        <v>574</v>
      </c>
      <c r="BP16" s="81"/>
      <c r="BQ16" s="81"/>
      <c r="BR16" s="81" t="s">
        <v>588</v>
      </c>
      <c r="BS16" s="81"/>
      <c r="BT16" s="80"/>
      <c r="BU16" s="80" t="s">
        <v>617</v>
      </c>
      <c r="BV16" s="80"/>
      <c r="BW16" s="80" t="s">
        <v>598</v>
      </c>
      <c r="BX16" s="80"/>
      <c r="BY16" s="80" t="s">
        <v>610</v>
      </c>
      <c r="BZ16" s="80" t="s">
        <v>606</v>
      </c>
      <c r="CA16" s="81"/>
      <c r="CB16" s="81"/>
      <c r="CC16" s="81"/>
      <c r="CD16" s="81"/>
      <c r="CE16" s="81" t="s">
        <v>581</v>
      </c>
      <c r="CF16" s="81"/>
      <c r="CG16" s="81" t="s">
        <v>571</v>
      </c>
      <c r="CH16" s="80"/>
      <c r="CI16" s="80" t="s">
        <v>613</v>
      </c>
      <c r="CJ16" s="80"/>
      <c r="CK16" s="80" t="s">
        <v>563</v>
      </c>
      <c r="CL16" s="80"/>
      <c r="CM16" s="80" t="s">
        <v>614</v>
      </c>
      <c r="CN16" s="80"/>
      <c r="CO16" s="81"/>
      <c r="CP16" s="81" t="s">
        <v>603</v>
      </c>
      <c r="CQ16" s="81" t="s">
        <v>621</v>
      </c>
      <c r="CR16" s="81"/>
      <c r="CS16" s="81" t="s">
        <v>565</v>
      </c>
      <c r="CT16" s="81"/>
      <c r="CU16" s="81" t="s">
        <v>591</v>
      </c>
      <c r="CV16" s="80"/>
      <c r="CW16" s="80" t="s">
        <v>574</v>
      </c>
      <c r="CX16" s="80"/>
      <c r="CY16" s="80" t="s">
        <v>569</v>
      </c>
      <c r="CZ16" s="80"/>
      <c r="DA16" s="80" t="s">
        <v>577</v>
      </c>
      <c r="DB16" s="80"/>
      <c r="DC16" s="81" t="s">
        <v>567</v>
      </c>
      <c r="DD16" s="81"/>
      <c r="DE16" s="81" t="s">
        <v>566</v>
      </c>
      <c r="DF16" s="81"/>
      <c r="DG16" s="81"/>
      <c r="DH16" s="81" t="s">
        <v>605</v>
      </c>
      <c r="DI16" s="81" t="s">
        <v>590</v>
      </c>
      <c r="DJ16" s="82"/>
      <c r="DK16" s="82" t="s">
        <v>608</v>
      </c>
      <c r="DL16" s="82"/>
      <c r="DM16" s="82" t="s">
        <v>592</v>
      </c>
      <c r="DN16" s="82"/>
      <c r="DO16" s="82"/>
      <c r="DP16" s="82"/>
      <c r="DQ16" s="82"/>
      <c r="DR16" s="82"/>
      <c r="DS16" s="82"/>
      <c r="DT16" s="82"/>
      <c r="DU16" s="82"/>
      <c r="DV16" s="82" t="s">
        <v>569</v>
      </c>
      <c r="DW16" s="82"/>
      <c r="DX16" s="80" t="s">
        <v>610</v>
      </c>
      <c r="DY16" s="80"/>
      <c r="DZ16" s="80" t="s">
        <v>572</v>
      </c>
      <c r="EA16" s="80"/>
      <c r="EB16" s="80" t="s">
        <v>593</v>
      </c>
      <c r="EC16" s="80"/>
      <c r="ED16" s="80" t="s">
        <v>564</v>
      </c>
      <c r="EE16" s="81"/>
      <c r="EF16" s="81" t="s">
        <v>600</v>
      </c>
      <c r="EG16" s="81"/>
      <c r="EH16" s="81" t="s">
        <v>580</v>
      </c>
      <c r="EI16" s="81"/>
      <c r="EJ16" s="81"/>
      <c r="EK16" s="81" t="s">
        <v>586</v>
      </c>
      <c r="EL16" s="80"/>
      <c r="EM16" s="80" t="s">
        <v>616</v>
      </c>
      <c r="EN16" s="80"/>
      <c r="EO16" s="80"/>
      <c r="EP16" s="80" t="s">
        <v>582</v>
      </c>
      <c r="EQ16" s="80" t="s">
        <v>619</v>
      </c>
      <c r="ER16" s="80"/>
      <c r="ES16" s="81" t="s">
        <v>607</v>
      </c>
      <c r="ET16" s="81"/>
      <c r="EU16" s="81" t="s">
        <v>571</v>
      </c>
      <c r="EV16" s="81"/>
      <c r="EW16" s="81" t="s">
        <v>596</v>
      </c>
      <c r="EX16" s="81"/>
      <c r="EY16" s="81"/>
      <c r="EZ16" s="80" t="s">
        <v>587</v>
      </c>
      <c r="FA16" s="80"/>
      <c r="FB16" s="80" t="s">
        <v>589</v>
      </c>
      <c r="FC16" s="80"/>
      <c r="FD16" s="80" t="s">
        <v>562</v>
      </c>
      <c r="FE16" s="80" t="s">
        <v>583</v>
      </c>
      <c r="FF16" s="80"/>
      <c r="FG16" s="81" t="s">
        <v>585</v>
      </c>
      <c r="FH16" s="81"/>
      <c r="FI16" s="81"/>
      <c r="FJ16" s="81" t="s">
        <v>617</v>
      </c>
      <c r="FK16" s="81"/>
      <c r="FL16" s="81" t="s">
        <v>615</v>
      </c>
      <c r="FM16" s="81"/>
      <c r="FN16" s="80"/>
      <c r="FO16" s="80" t="s">
        <v>618</v>
      </c>
      <c r="FP16" s="80" t="s">
        <v>568</v>
      </c>
      <c r="FQ16" s="80"/>
      <c r="FR16" s="80"/>
      <c r="FS16" s="80" t="s">
        <v>581</v>
      </c>
      <c r="FT16" s="80"/>
      <c r="FU16" s="83" t="s">
        <v>577</v>
      </c>
      <c r="FV16" s="83"/>
      <c r="FW16" s="83" t="s">
        <v>570</v>
      </c>
    </row>
    <row r="17" spans="1:179">
      <c r="A17" s="79" t="s">
        <v>180</v>
      </c>
      <c r="B17" s="80"/>
      <c r="C17" s="80" t="s">
        <v>573</v>
      </c>
      <c r="D17" s="80"/>
      <c r="E17" s="80"/>
      <c r="F17" s="80" t="s">
        <v>588</v>
      </c>
      <c r="G17" s="80"/>
      <c r="H17" s="80" t="s">
        <v>612</v>
      </c>
      <c r="I17" s="81"/>
      <c r="J17" s="81" t="s">
        <v>610</v>
      </c>
      <c r="K17" s="81"/>
      <c r="L17" s="81"/>
      <c r="M17" s="81" t="s">
        <v>603</v>
      </c>
      <c r="N17" s="81"/>
      <c r="O17" s="81" t="s">
        <v>597</v>
      </c>
      <c r="P17" s="80"/>
      <c r="Q17" s="80" t="s">
        <v>584</v>
      </c>
      <c r="R17" s="80"/>
      <c r="S17" s="80"/>
      <c r="T17" s="80" t="s">
        <v>566</v>
      </c>
      <c r="U17" s="80"/>
      <c r="V17" s="80" t="s">
        <v>576</v>
      </c>
      <c r="W17" s="81"/>
      <c r="X17" s="81" t="s">
        <v>572</v>
      </c>
      <c r="Y17" s="81" t="s">
        <v>581</v>
      </c>
      <c r="Z17" s="81"/>
      <c r="AA17" s="81" t="s">
        <v>569</v>
      </c>
      <c r="AB17" s="81"/>
      <c r="AC17" s="81" t="s">
        <v>620</v>
      </c>
      <c r="AD17" s="80"/>
      <c r="AE17" s="80" t="s">
        <v>615</v>
      </c>
      <c r="AF17" s="80"/>
      <c r="AG17" s="80"/>
      <c r="AH17" s="80" t="s">
        <v>600</v>
      </c>
      <c r="AI17" s="80" t="s">
        <v>611</v>
      </c>
      <c r="AJ17" s="80"/>
      <c r="AK17" s="81" t="s">
        <v>597</v>
      </c>
      <c r="AL17" s="81"/>
      <c r="AM17" s="81" t="s">
        <v>614</v>
      </c>
      <c r="AN17" s="81"/>
      <c r="AO17" s="81" t="s">
        <v>601</v>
      </c>
      <c r="AP17" s="81"/>
      <c r="AQ17" s="81" t="s">
        <v>607</v>
      </c>
      <c r="AR17" s="80"/>
      <c r="AS17" s="80" t="s">
        <v>571</v>
      </c>
      <c r="AT17" s="80" t="s">
        <v>618</v>
      </c>
      <c r="AU17" s="80"/>
      <c r="AV17" s="80" t="s">
        <v>570</v>
      </c>
      <c r="AW17" s="80"/>
      <c r="AX17" s="80" t="s">
        <v>577</v>
      </c>
      <c r="AY17" s="81"/>
      <c r="AZ17" s="81"/>
      <c r="BA17" s="81" t="s">
        <v>591</v>
      </c>
      <c r="BB17" s="81"/>
      <c r="BC17" s="81" t="s">
        <v>565</v>
      </c>
      <c r="BD17" s="81"/>
      <c r="BE17" s="81" t="s">
        <v>621</v>
      </c>
      <c r="BF17" s="80"/>
      <c r="BG17" s="80" t="s">
        <v>579</v>
      </c>
      <c r="BH17" s="80"/>
      <c r="BI17" s="80" t="s">
        <v>578</v>
      </c>
      <c r="BJ17" s="80"/>
      <c r="BK17" s="80"/>
      <c r="BL17" s="80" t="s">
        <v>593</v>
      </c>
      <c r="BM17" s="81"/>
      <c r="BN17" s="81"/>
      <c r="BO17" s="81" t="s">
        <v>599</v>
      </c>
      <c r="BP17" s="81"/>
      <c r="BQ17" s="81"/>
      <c r="BR17" s="81" t="s">
        <v>570</v>
      </c>
      <c r="BS17" s="81" t="s">
        <v>607</v>
      </c>
      <c r="BT17" s="80"/>
      <c r="BU17" s="80"/>
      <c r="BV17" s="80" t="s">
        <v>596</v>
      </c>
      <c r="BW17" s="80"/>
      <c r="BX17" s="80" t="s">
        <v>619</v>
      </c>
      <c r="BY17" s="80"/>
      <c r="BZ17" s="80" t="s">
        <v>598</v>
      </c>
      <c r="CA17" s="81"/>
      <c r="CB17" s="81" t="s">
        <v>606</v>
      </c>
      <c r="CC17" s="81"/>
      <c r="CD17" s="81"/>
      <c r="CE17" s="81" t="s">
        <v>603</v>
      </c>
      <c r="CF17" s="81" t="s">
        <v>600</v>
      </c>
      <c r="CG17" s="81"/>
      <c r="CH17" s="80" t="s">
        <v>613</v>
      </c>
      <c r="CI17" s="80"/>
      <c r="CJ17" s="80" t="s">
        <v>563</v>
      </c>
      <c r="CK17" s="80"/>
      <c r="CL17" s="80"/>
      <c r="CM17" s="80" t="s">
        <v>580</v>
      </c>
      <c r="CN17" s="80"/>
      <c r="CO17" s="81" t="s">
        <v>592</v>
      </c>
      <c r="CP17" s="81"/>
      <c r="CQ17" s="81" t="s">
        <v>587</v>
      </c>
      <c r="CR17" s="81" t="s">
        <v>589</v>
      </c>
      <c r="CS17" s="81"/>
      <c r="CT17" s="81" t="s">
        <v>608</v>
      </c>
      <c r="CU17" s="81"/>
      <c r="CV17" s="80"/>
      <c r="CW17" s="80" t="s">
        <v>599</v>
      </c>
      <c r="CX17" s="80"/>
      <c r="CY17" s="80"/>
      <c r="CZ17" s="80" t="s">
        <v>609</v>
      </c>
      <c r="DA17" s="80" t="s">
        <v>617</v>
      </c>
      <c r="DB17" s="80"/>
      <c r="DC17" s="81"/>
      <c r="DD17" s="81" t="s">
        <v>567</v>
      </c>
      <c r="DE17" s="81"/>
      <c r="DF17" s="81" t="s">
        <v>594</v>
      </c>
      <c r="DG17" s="81"/>
      <c r="DH17" s="81" t="s">
        <v>616</v>
      </c>
      <c r="DI17" s="81"/>
      <c r="DJ17" s="82" t="s">
        <v>596</v>
      </c>
      <c r="DK17" s="82"/>
      <c r="DL17" s="82" t="s">
        <v>571</v>
      </c>
      <c r="DM17" s="82"/>
      <c r="DN17" s="82"/>
      <c r="DO17" s="82"/>
      <c r="DP17" s="82"/>
      <c r="DQ17" s="82"/>
      <c r="DR17" s="82"/>
      <c r="DS17" s="82"/>
      <c r="DT17" s="82"/>
      <c r="DU17" s="82" t="s">
        <v>610</v>
      </c>
      <c r="DV17" s="82"/>
      <c r="DW17" s="82" t="s">
        <v>604</v>
      </c>
      <c r="DX17" s="80"/>
      <c r="DY17" s="80" t="s">
        <v>619</v>
      </c>
      <c r="DZ17" s="80"/>
      <c r="EA17" s="80" t="s">
        <v>616</v>
      </c>
      <c r="EB17" s="80"/>
      <c r="EC17" s="80" t="s">
        <v>611</v>
      </c>
      <c r="ED17" s="80" t="s">
        <v>614</v>
      </c>
      <c r="EE17" s="81"/>
      <c r="EF17" s="81" t="s">
        <v>564</v>
      </c>
      <c r="EG17" s="81"/>
      <c r="EH17" s="81"/>
      <c r="EI17" s="81" t="s">
        <v>575</v>
      </c>
      <c r="EJ17" s="81"/>
      <c r="EK17" s="81" t="s">
        <v>573</v>
      </c>
      <c r="EL17" s="80"/>
      <c r="EM17" s="80" t="s">
        <v>582</v>
      </c>
      <c r="EN17" s="80"/>
      <c r="EO17" s="80" t="s">
        <v>594</v>
      </c>
      <c r="EP17" s="80"/>
      <c r="EQ17" s="80"/>
      <c r="ER17" s="80" t="s">
        <v>593</v>
      </c>
      <c r="ES17" s="81" t="s">
        <v>618</v>
      </c>
      <c r="ET17" s="81"/>
      <c r="EU17" s="81" t="s">
        <v>588</v>
      </c>
      <c r="EV17" s="81"/>
      <c r="EW17" s="81"/>
      <c r="EX17" s="81" t="s">
        <v>583</v>
      </c>
      <c r="EY17" s="81" t="s">
        <v>562</v>
      </c>
      <c r="EZ17" s="80"/>
      <c r="FA17" s="80" t="s">
        <v>602</v>
      </c>
      <c r="FB17" s="80"/>
      <c r="FC17" s="80" t="s">
        <v>590</v>
      </c>
      <c r="FD17" s="80"/>
      <c r="FE17" s="80" t="s">
        <v>595</v>
      </c>
      <c r="FF17" s="80"/>
      <c r="FG17" s="81" t="s">
        <v>605</v>
      </c>
      <c r="FH17" s="81"/>
      <c r="FI17" s="81" t="s">
        <v>585</v>
      </c>
      <c r="FJ17" s="81"/>
      <c r="FK17" s="81"/>
      <c r="FL17" s="81" t="s">
        <v>617</v>
      </c>
      <c r="FM17" s="81" t="s">
        <v>615</v>
      </c>
      <c r="FN17" s="80"/>
      <c r="FO17" s="80" t="s">
        <v>568</v>
      </c>
      <c r="FP17" s="80"/>
      <c r="FQ17" s="80" t="s">
        <v>581</v>
      </c>
      <c r="FR17" s="80"/>
      <c r="FS17" s="80"/>
      <c r="FT17" s="80" t="s">
        <v>577</v>
      </c>
      <c r="FU17" s="83"/>
      <c r="FV17" s="83" t="s">
        <v>569</v>
      </c>
      <c r="FW17" s="83" t="s">
        <v>572</v>
      </c>
    </row>
    <row r="18" spans="1:179">
      <c r="A18" s="79" t="s">
        <v>308</v>
      </c>
      <c r="B18" s="80"/>
      <c r="C18" s="80"/>
      <c r="D18" s="80" t="s">
        <v>565</v>
      </c>
      <c r="E18" s="80"/>
      <c r="F18" s="80" t="s">
        <v>568</v>
      </c>
      <c r="G18" s="80"/>
      <c r="H18" s="80" t="s">
        <v>582</v>
      </c>
      <c r="I18" s="81"/>
      <c r="J18" s="81" t="s">
        <v>574</v>
      </c>
      <c r="K18" s="81"/>
      <c r="L18" s="81"/>
      <c r="M18" s="81"/>
      <c r="N18" s="81" t="s">
        <v>596</v>
      </c>
      <c r="O18" s="81"/>
      <c r="P18" s="80" t="s">
        <v>594</v>
      </c>
      <c r="Q18" s="80"/>
      <c r="R18" s="80" t="s">
        <v>577</v>
      </c>
      <c r="S18" s="80"/>
      <c r="T18" s="80" t="s">
        <v>591</v>
      </c>
      <c r="U18" s="80" t="s">
        <v>607</v>
      </c>
      <c r="V18" s="80"/>
      <c r="W18" s="81" t="s">
        <v>597</v>
      </c>
      <c r="X18" s="81"/>
      <c r="Y18" s="81" t="s">
        <v>583</v>
      </c>
      <c r="Z18" s="81"/>
      <c r="AA18" s="81" t="s">
        <v>588</v>
      </c>
      <c r="AB18" s="81"/>
      <c r="AC18" s="81" t="s">
        <v>593</v>
      </c>
      <c r="AD18" s="80"/>
      <c r="AE18" s="80" t="s">
        <v>581</v>
      </c>
      <c r="AF18" s="80"/>
      <c r="AG18" s="80"/>
      <c r="AH18" s="80"/>
      <c r="AI18" s="80" t="s">
        <v>586</v>
      </c>
      <c r="AJ18" s="80"/>
      <c r="AK18" s="81" t="s">
        <v>579</v>
      </c>
      <c r="AL18" s="81"/>
      <c r="AM18" s="81" t="s">
        <v>599</v>
      </c>
      <c r="AN18" s="81"/>
      <c r="AO18" s="81" t="s">
        <v>588</v>
      </c>
      <c r="AP18" s="81"/>
      <c r="AQ18" s="81" t="s">
        <v>605</v>
      </c>
      <c r="AR18" s="80" t="s">
        <v>585</v>
      </c>
      <c r="AS18" s="80"/>
      <c r="AT18" s="80" t="s">
        <v>584</v>
      </c>
      <c r="AU18" s="80"/>
      <c r="AV18" s="80"/>
      <c r="AW18" s="80" t="s">
        <v>618</v>
      </c>
      <c r="AX18" s="80"/>
      <c r="AY18" s="81" t="s">
        <v>616</v>
      </c>
      <c r="AZ18" s="81"/>
      <c r="BA18" s="81" t="s">
        <v>572</v>
      </c>
      <c r="BB18" s="81"/>
      <c r="BC18" s="81" t="s">
        <v>575</v>
      </c>
      <c r="BD18" s="81" t="s">
        <v>601</v>
      </c>
      <c r="BE18" s="81"/>
      <c r="BF18" s="80" t="s">
        <v>566</v>
      </c>
      <c r="BG18" s="80"/>
      <c r="BH18" s="80" t="s">
        <v>600</v>
      </c>
      <c r="BI18" s="80"/>
      <c r="BJ18" s="80" t="s">
        <v>590</v>
      </c>
      <c r="BK18" s="80" t="s">
        <v>569</v>
      </c>
      <c r="BL18" s="80"/>
      <c r="BM18" s="81" t="s">
        <v>567</v>
      </c>
      <c r="BN18" s="81"/>
      <c r="BO18" s="81"/>
      <c r="BP18" s="81" t="s">
        <v>600</v>
      </c>
      <c r="BQ18" s="81"/>
      <c r="BR18" s="81" t="s">
        <v>571</v>
      </c>
      <c r="BS18" s="81" t="s">
        <v>612</v>
      </c>
      <c r="BT18" s="80"/>
      <c r="BU18" s="80"/>
      <c r="BV18" s="80"/>
      <c r="BW18" s="80" t="s">
        <v>617</v>
      </c>
      <c r="BX18" s="80"/>
      <c r="BY18" s="80" t="s">
        <v>573</v>
      </c>
      <c r="BZ18" s="80" t="s">
        <v>572</v>
      </c>
      <c r="CA18" s="81"/>
      <c r="CB18" s="81" t="s">
        <v>577</v>
      </c>
      <c r="CC18" s="81"/>
      <c r="CD18" s="81"/>
      <c r="CE18" s="81" t="s">
        <v>567</v>
      </c>
      <c r="CF18" s="81"/>
      <c r="CG18" s="81" t="s">
        <v>581</v>
      </c>
      <c r="CH18" s="80"/>
      <c r="CI18" s="80" t="s">
        <v>594</v>
      </c>
      <c r="CJ18" s="80"/>
      <c r="CK18" s="80"/>
      <c r="CL18" s="80" t="s">
        <v>613</v>
      </c>
      <c r="CM18" s="80"/>
      <c r="CN18" s="80"/>
      <c r="CO18" s="81" t="s">
        <v>619</v>
      </c>
      <c r="CP18" s="81"/>
      <c r="CQ18" s="81" t="s">
        <v>592</v>
      </c>
      <c r="CR18" s="81"/>
      <c r="CS18" s="81" t="s">
        <v>562</v>
      </c>
      <c r="CT18" s="81"/>
      <c r="CU18" s="81" t="s">
        <v>596</v>
      </c>
      <c r="CV18" s="80"/>
      <c r="CW18" s="80" t="s">
        <v>593</v>
      </c>
      <c r="CX18" s="80" t="s">
        <v>587</v>
      </c>
      <c r="CY18" s="80"/>
      <c r="CZ18" s="80" t="s">
        <v>614</v>
      </c>
      <c r="DA18" s="80"/>
      <c r="DB18" s="80"/>
      <c r="DC18" s="81" t="s">
        <v>598</v>
      </c>
      <c r="DD18" s="81"/>
      <c r="DE18" s="81" t="s">
        <v>603</v>
      </c>
      <c r="DF18" s="81"/>
      <c r="DG18" s="81" t="s">
        <v>608</v>
      </c>
      <c r="DH18" s="81"/>
      <c r="DI18" s="81" t="s">
        <v>595</v>
      </c>
      <c r="DJ18" s="82"/>
      <c r="DK18" s="82"/>
      <c r="DL18" s="82" t="s">
        <v>609</v>
      </c>
      <c r="DM18" s="82"/>
      <c r="DN18" s="82"/>
      <c r="DO18" s="82"/>
      <c r="DP18" s="82"/>
      <c r="DQ18" s="82"/>
      <c r="DR18" s="82"/>
      <c r="DS18" s="82"/>
      <c r="DT18" s="82" t="s">
        <v>617</v>
      </c>
      <c r="DU18" s="82" t="s">
        <v>574</v>
      </c>
      <c r="DV18" s="82"/>
      <c r="DW18" s="82"/>
      <c r="DX18" s="80" t="s">
        <v>573</v>
      </c>
      <c r="DY18" s="80"/>
      <c r="DZ18" s="80" t="s">
        <v>580</v>
      </c>
      <c r="EA18" s="80"/>
      <c r="EB18" s="80" t="s">
        <v>569</v>
      </c>
      <c r="EC18" s="80" t="s">
        <v>586</v>
      </c>
      <c r="ED18" s="80"/>
      <c r="EE18" s="81" t="s">
        <v>621</v>
      </c>
      <c r="EF18" s="81"/>
      <c r="EG18" s="81" t="s">
        <v>589</v>
      </c>
      <c r="EH18" s="81"/>
      <c r="EI18" s="81" t="s">
        <v>603</v>
      </c>
      <c r="EJ18" s="81" t="s">
        <v>620</v>
      </c>
      <c r="EK18" s="81"/>
      <c r="EL18" s="80"/>
      <c r="EM18" s="80" t="s">
        <v>563</v>
      </c>
      <c r="EN18" s="80"/>
      <c r="EO18" s="80" t="s">
        <v>570</v>
      </c>
      <c r="EP18" s="80"/>
      <c r="EQ18" s="80" t="s">
        <v>618</v>
      </c>
      <c r="ER18" s="80"/>
      <c r="ES18" s="81" t="s">
        <v>597</v>
      </c>
      <c r="ET18" s="81" t="s">
        <v>615</v>
      </c>
      <c r="EU18" s="81"/>
      <c r="EV18" s="81" t="s">
        <v>578</v>
      </c>
      <c r="EW18" s="81"/>
      <c r="EX18" s="81" t="s">
        <v>619</v>
      </c>
      <c r="EY18" s="81"/>
      <c r="EZ18" s="80"/>
      <c r="FA18" s="80" t="s">
        <v>614</v>
      </c>
      <c r="FB18" s="80" t="s">
        <v>604</v>
      </c>
      <c r="FC18" s="80"/>
      <c r="FD18" s="80"/>
      <c r="FE18" s="80" t="s">
        <v>576</v>
      </c>
      <c r="FF18" s="80"/>
      <c r="FG18" s="81" t="s">
        <v>602</v>
      </c>
      <c r="FH18" s="81"/>
      <c r="FI18" s="81" t="s">
        <v>606</v>
      </c>
      <c r="FJ18" s="81"/>
      <c r="FK18" s="81" t="s">
        <v>607</v>
      </c>
      <c r="FL18" s="81"/>
      <c r="FM18" s="81" t="s">
        <v>570</v>
      </c>
      <c r="FN18" s="80"/>
      <c r="FO18" s="80" t="s">
        <v>571</v>
      </c>
      <c r="FP18" s="80"/>
      <c r="FQ18" s="80"/>
      <c r="FR18" s="80"/>
      <c r="FS18" s="80" t="s">
        <v>615</v>
      </c>
      <c r="FT18" s="80"/>
      <c r="FU18" s="83" t="s">
        <v>564</v>
      </c>
      <c r="FV18" s="83"/>
      <c r="FW18" s="83" t="s">
        <v>580</v>
      </c>
    </row>
    <row r="19" spans="1:179">
      <c r="A19" s="79" t="s">
        <v>212</v>
      </c>
      <c r="B19" s="80"/>
      <c r="C19" s="80"/>
      <c r="D19" s="80" t="s">
        <v>610</v>
      </c>
      <c r="E19" s="80"/>
      <c r="F19" s="80"/>
      <c r="G19" s="80" t="s">
        <v>578</v>
      </c>
      <c r="H19" s="80" t="s">
        <v>605</v>
      </c>
      <c r="I19" s="81"/>
      <c r="J19" s="81" t="s">
        <v>620</v>
      </c>
      <c r="K19" s="81"/>
      <c r="L19" s="81" t="s">
        <v>621</v>
      </c>
      <c r="M19" s="81"/>
      <c r="N19" s="81"/>
      <c r="O19" s="81" t="s">
        <v>594</v>
      </c>
      <c r="P19" s="80"/>
      <c r="Q19" s="80" t="s">
        <v>571</v>
      </c>
      <c r="R19" s="80"/>
      <c r="S19" s="80" t="s">
        <v>572</v>
      </c>
      <c r="T19" s="80" t="s">
        <v>574</v>
      </c>
      <c r="U19" s="80"/>
      <c r="V19" s="80"/>
      <c r="W19" s="81"/>
      <c r="X19" s="81" t="s">
        <v>598</v>
      </c>
      <c r="Y19" s="81"/>
      <c r="Z19" s="81" t="s">
        <v>590</v>
      </c>
      <c r="AA19" s="81"/>
      <c r="AB19" s="81" t="s">
        <v>619</v>
      </c>
      <c r="AC19" s="81"/>
      <c r="AD19" s="80"/>
      <c r="AE19" s="80"/>
      <c r="AF19" s="80" t="s">
        <v>613</v>
      </c>
      <c r="AG19" s="80"/>
      <c r="AH19" s="80" t="s">
        <v>584</v>
      </c>
      <c r="AI19" s="80" t="s">
        <v>608</v>
      </c>
      <c r="AJ19" s="80"/>
      <c r="AK19" s="81" t="s">
        <v>612</v>
      </c>
      <c r="AL19" s="81"/>
      <c r="AM19" s="81" t="s">
        <v>580</v>
      </c>
      <c r="AN19" s="81"/>
      <c r="AO19" s="81" t="s">
        <v>581</v>
      </c>
      <c r="AP19" s="81"/>
      <c r="AQ19" s="81" t="s">
        <v>589</v>
      </c>
      <c r="AR19" s="80"/>
      <c r="AS19" s="80" t="s">
        <v>602</v>
      </c>
      <c r="AT19" s="80" t="s">
        <v>592</v>
      </c>
      <c r="AU19" s="80"/>
      <c r="AV19" s="80" t="s">
        <v>601</v>
      </c>
      <c r="AW19" s="80"/>
      <c r="AX19" s="80" t="s">
        <v>568</v>
      </c>
      <c r="AY19" s="81"/>
      <c r="AZ19" s="81" t="s">
        <v>620</v>
      </c>
      <c r="BA19" s="81"/>
      <c r="BB19" s="81"/>
      <c r="BC19" s="81" t="s">
        <v>586</v>
      </c>
      <c r="BD19" s="81" t="s">
        <v>603</v>
      </c>
      <c r="BE19" s="81"/>
      <c r="BF19" s="80" t="s">
        <v>611</v>
      </c>
      <c r="BG19" s="80"/>
      <c r="BH19" s="80" t="s">
        <v>608</v>
      </c>
      <c r="BI19" s="80"/>
      <c r="BJ19" s="80" t="s">
        <v>606</v>
      </c>
      <c r="BK19" s="80"/>
      <c r="BL19" s="80"/>
      <c r="BM19" s="81" t="s">
        <v>588</v>
      </c>
      <c r="BN19" s="81"/>
      <c r="BO19" s="81"/>
      <c r="BP19" s="81"/>
      <c r="BQ19" s="81" t="s">
        <v>585</v>
      </c>
      <c r="BR19" s="81" t="s">
        <v>564</v>
      </c>
      <c r="BS19" s="81"/>
      <c r="BT19" s="80" t="s">
        <v>595</v>
      </c>
      <c r="BU19" s="80"/>
      <c r="BV19" s="80"/>
      <c r="BW19" s="80" t="s">
        <v>576</v>
      </c>
      <c r="BX19" s="80" t="s">
        <v>591</v>
      </c>
      <c r="BY19" s="80"/>
      <c r="BZ19" s="80" t="s">
        <v>609</v>
      </c>
      <c r="CA19" s="81"/>
      <c r="CB19" s="81"/>
      <c r="CC19" s="81" t="s">
        <v>579</v>
      </c>
      <c r="CD19" s="81"/>
      <c r="CE19" s="81" t="s">
        <v>589</v>
      </c>
      <c r="CF19" s="81"/>
      <c r="CG19" s="81" t="s">
        <v>587</v>
      </c>
      <c r="CH19" s="80"/>
      <c r="CI19" s="80"/>
      <c r="CJ19" s="80" t="s">
        <v>567</v>
      </c>
      <c r="CK19" s="80"/>
      <c r="CL19" s="80" t="s">
        <v>600</v>
      </c>
      <c r="CM19" s="80"/>
      <c r="CN19" s="80" t="s">
        <v>597</v>
      </c>
      <c r="CO19" s="81" t="s">
        <v>569</v>
      </c>
      <c r="CP19" s="81"/>
      <c r="CQ19" s="81" t="s">
        <v>601</v>
      </c>
      <c r="CR19" s="81"/>
      <c r="CS19" s="81" t="s">
        <v>599</v>
      </c>
      <c r="CT19" s="81"/>
      <c r="CU19" s="81"/>
      <c r="CV19" s="80" t="s">
        <v>563</v>
      </c>
      <c r="CW19" s="80" t="s">
        <v>604</v>
      </c>
      <c r="CX19" s="80"/>
      <c r="CY19" s="80"/>
      <c r="CZ19" s="80"/>
      <c r="DA19" s="80" t="s">
        <v>591</v>
      </c>
      <c r="DB19" s="80"/>
      <c r="DC19" s="81" t="s">
        <v>564</v>
      </c>
      <c r="DD19" s="81"/>
      <c r="DE19" s="81" t="s">
        <v>573</v>
      </c>
      <c r="DF19" s="81"/>
      <c r="DG19" s="81" t="s">
        <v>617</v>
      </c>
      <c r="DH19" s="81"/>
      <c r="DI19" s="81" t="s">
        <v>570</v>
      </c>
      <c r="DJ19" s="82" t="s">
        <v>616</v>
      </c>
      <c r="DK19" s="82"/>
      <c r="DL19" s="82" t="s">
        <v>618</v>
      </c>
      <c r="DM19" s="82"/>
      <c r="DN19" s="82"/>
      <c r="DO19" s="82"/>
      <c r="DP19" s="82"/>
      <c r="DQ19" s="82"/>
      <c r="DR19" s="82"/>
      <c r="DS19" s="82"/>
      <c r="DT19" s="82" t="s">
        <v>621</v>
      </c>
      <c r="DU19" s="82"/>
      <c r="DV19" s="82" t="s">
        <v>613</v>
      </c>
      <c r="DW19" s="82"/>
      <c r="DX19" s="80" t="s">
        <v>590</v>
      </c>
      <c r="DY19" s="80"/>
      <c r="DZ19" s="80" t="s">
        <v>577</v>
      </c>
      <c r="EA19" s="80"/>
      <c r="EB19" s="80" t="s">
        <v>607</v>
      </c>
      <c r="EC19" s="80" t="s">
        <v>582</v>
      </c>
      <c r="ED19" s="80"/>
      <c r="EE19" s="81" t="s">
        <v>575</v>
      </c>
      <c r="EF19" s="81"/>
      <c r="EG19" s="81" t="s">
        <v>563</v>
      </c>
      <c r="EH19" s="81"/>
      <c r="EI19" s="81" t="s">
        <v>614</v>
      </c>
      <c r="EJ19" s="81"/>
      <c r="EK19" s="81" t="s">
        <v>595</v>
      </c>
      <c r="EL19" s="80"/>
      <c r="EM19" s="80"/>
      <c r="EN19" s="80" t="s">
        <v>612</v>
      </c>
      <c r="EO19" s="80"/>
      <c r="EP19" s="80" t="s">
        <v>606</v>
      </c>
      <c r="EQ19" s="80" t="s">
        <v>568</v>
      </c>
      <c r="ER19" s="80"/>
      <c r="ES19" s="81" t="s">
        <v>578</v>
      </c>
      <c r="ET19" s="81"/>
      <c r="EU19" s="81" t="s">
        <v>584</v>
      </c>
      <c r="EV19" s="81"/>
      <c r="EW19" s="81" t="s">
        <v>579</v>
      </c>
      <c r="EX19" s="81"/>
      <c r="EY19" s="81"/>
      <c r="EZ19" s="80" t="s">
        <v>615</v>
      </c>
      <c r="FA19" s="80"/>
      <c r="FB19" s="80" t="s">
        <v>593</v>
      </c>
      <c r="FC19" s="80"/>
      <c r="FD19" s="80"/>
      <c r="FE19" s="80" t="s">
        <v>596</v>
      </c>
      <c r="FF19" s="80"/>
      <c r="FG19" s="81" t="s">
        <v>583</v>
      </c>
      <c r="FH19" s="81"/>
      <c r="FI19" s="81" t="s">
        <v>592</v>
      </c>
      <c r="FJ19" s="81"/>
      <c r="FK19" s="81" t="s">
        <v>562</v>
      </c>
      <c r="FL19" s="81"/>
      <c r="FM19" s="81" t="s">
        <v>587</v>
      </c>
      <c r="FN19" s="80"/>
      <c r="FO19" s="80" t="s">
        <v>585</v>
      </c>
      <c r="FP19" s="80"/>
      <c r="FQ19" s="80" t="s">
        <v>598</v>
      </c>
      <c r="FR19" s="80"/>
      <c r="FS19" s="80" t="s">
        <v>604</v>
      </c>
      <c r="FT19" s="80"/>
      <c r="FU19" s="83" t="s">
        <v>583</v>
      </c>
      <c r="FV19" s="83" t="s">
        <v>576</v>
      </c>
      <c r="FW19" s="83"/>
    </row>
    <row r="20" spans="1:179">
      <c r="A20" s="79" t="s">
        <v>191</v>
      </c>
      <c r="B20" s="80"/>
      <c r="C20" s="80"/>
      <c r="D20" s="80"/>
      <c r="E20" s="80" t="s">
        <v>580</v>
      </c>
      <c r="F20" s="80"/>
      <c r="G20" s="80" t="s">
        <v>566</v>
      </c>
      <c r="H20" s="80"/>
      <c r="I20" s="81" t="s">
        <v>613</v>
      </c>
      <c r="J20" s="81"/>
      <c r="K20" s="81" t="s">
        <v>592</v>
      </c>
      <c r="L20" s="81"/>
      <c r="M20" s="81" t="s">
        <v>591</v>
      </c>
      <c r="N20" s="81" t="s">
        <v>576</v>
      </c>
      <c r="O20" s="81"/>
      <c r="P20" s="80" t="s">
        <v>605</v>
      </c>
      <c r="Q20" s="80"/>
      <c r="R20" s="80" t="s">
        <v>573</v>
      </c>
      <c r="S20" s="80"/>
      <c r="T20" s="80" t="s">
        <v>618</v>
      </c>
      <c r="U20" s="80"/>
      <c r="V20" s="80" t="s">
        <v>600</v>
      </c>
      <c r="W20" s="81"/>
      <c r="X20" s="81"/>
      <c r="Y20" s="81"/>
      <c r="Z20" s="81" t="s">
        <v>568</v>
      </c>
      <c r="AA20" s="81"/>
      <c r="AB20" s="81" t="s">
        <v>579</v>
      </c>
      <c r="AC20" s="81"/>
      <c r="AD20" s="80" t="s">
        <v>584</v>
      </c>
      <c r="AE20" s="80"/>
      <c r="AF20" s="80" t="s">
        <v>621</v>
      </c>
      <c r="AG20" s="80" t="s">
        <v>609</v>
      </c>
      <c r="AH20" s="80"/>
      <c r="AI20" s="80" t="s">
        <v>598</v>
      </c>
      <c r="AJ20" s="80"/>
      <c r="AK20" s="81" t="s">
        <v>588</v>
      </c>
      <c r="AL20" s="81"/>
      <c r="AM20" s="81" t="s">
        <v>620</v>
      </c>
      <c r="AN20" s="81"/>
      <c r="AO20" s="81" t="s">
        <v>590</v>
      </c>
      <c r="AP20" s="81" t="s">
        <v>612</v>
      </c>
      <c r="AQ20" s="81"/>
      <c r="AR20" s="80" t="s">
        <v>606</v>
      </c>
      <c r="AS20" s="80"/>
      <c r="AT20" s="80" t="s">
        <v>562</v>
      </c>
      <c r="AU20" s="80"/>
      <c r="AV20" s="80" t="s">
        <v>599</v>
      </c>
      <c r="AW20" s="80"/>
      <c r="AX20" s="80"/>
      <c r="AY20" s="81" t="s">
        <v>563</v>
      </c>
      <c r="AZ20" s="81"/>
      <c r="BA20" s="81" t="s">
        <v>619</v>
      </c>
      <c r="BB20" s="81"/>
      <c r="BC20" s="81" t="s">
        <v>611</v>
      </c>
      <c r="BD20" s="81" t="s">
        <v>613</v>
      </c>
      <c r="BE20" s="81"/>
      <c r="BF20" s="80" t="s">
        <v>607</v>
      </c>
      <c r="BG20" s="80"/>
      <c r="BH20" s="80"/>
      <c r="BI20" s="80" t="s">
        <v>586</v>
      </c>
      <c r="BJ20" s="80"/>
      <c r="BK20" s="80" t="s">
        <v>587</v>
      </c>
      <c r="BL20" s="80" t="s">
        <v>585</v>
      </c>
      <c r="BM20" s="81"/>
      <c r="BN20" s="81"/>
      <c r="BO20" s="81" t="s">
        <v>608</v>
      </c>
      <c r="BP20" s="81"/>
      <c r="BQ20" s="81" t="s">
        <v>621</v>
      </c>
      <c r="BR20" s="81" t="s">
        <v>563</v>
      </c>
      <c r="BS20" s="81"/>
      <c r="BT20" s="80" t="s">
        <v>584</v>
      </c>
      <c r="BU20" s="80"/>
      <c r="BV20" s="80" t="s">
        <v>577</v>
      </c>
      <c r="BW20" s="80"/>
      <c r="BX20" s="80"/>
      <c r="BY20" s="80" t="s">
        <v>567</v>
      </c>
      <c r="BZ20" s="80"/>
      <c r="CA20" s="81" t="s">
        <v>597</v>
      </c>
      <c r="CB20" s="81"/>
      <c r="CC20" s="81" t="s">
        <v>616</v>
      </c>
      <c r="CD20" s="81"/>
      <c r="CE20" s="81" t="s">
        <v>617</v>
      </c>
      <c r="CF20" s="81" t="s">
        <v>570</v>
      </c>
      <c r="CG20" s="81"/>
      <c r="CH20" s="80"/>
      <c r="CI20" s="80" t="s">
        <v>606</v>
      </c>
      <c r="CJ20" s="80"/>
      <c r="CK20" s="80" t="s">
        <v>604</v>
      </c>
      <c r="CL20" s="80"/>
      <c r="CM20" s="80" t="s">
        <v>589</v>
      </c>
      <c r="CN20" s="80"/>
      <c r="CO20" s="81" t="s">
        <v>568</v>
      </c>
      <c r="CP20" s="81"/>
      <c r="CQ20" s="81"/>
      <c r="CR20" s="81"/>
      <c r="CS20" s="81" t="s">
        <v>583</v>
      </c>
      <c r="CT20" s="81"/>
      <c r="CU20" s="81"/>
      <c r="CV20" s="80"/>
      <c r="CW20" s="80" t="s">
        <v>601</v>
      </c>
      <c r="CX20" s="80"/>
      <c r="CY20" s="80"/>
      <c r="CZ20" s="80" t="s">
        <v>593</v>
      </c>
      <c r="DA20" s="80"/>
      <c r="DB20" s="80" t="s">
        <v>596</v>
      </c>
      <c r="DC20" s="81"/>
      <c r="DD20" s="81" t="s">
        <v>614</v>
      </c>
      <c r="DE20" s="81"/>
      <c r="DF20" s="81" t="s">
        <v>564</v>
      </c>
      <c r="DG20" s="81"/>
      <c r="DH20" s="81" t="s">
        <v>591</v>
      </c>
      <c r="DI20" s="81"/>
      <c r="DJ20" s="82" t="s">
        <v>569</v>
      </c>
      <c r="DK20" s="82"/>
      <c r="DL20" s="82" t="s">
        <v>579</v>
      </c>
      <c r="DM20" s="82"/>
      <c r="DN20" s="82"/>
      <c r="DO20" s="82"/>
      <c r="DP20" s="82"/>
      <c r="DQ20" s="82"/>
      <c r="DR20" s="82"/>
      <c r="DS20" s="82"/>
      <c r="DT20" s="82" t="s">
        <v>562</v>
      </c>
      <c r="DU20" s="82"/>
      <c r="DV20" s="82" t="s">
        <v>564</v>
      </c>
      <c r="DW20" s="82"/>
      <c r="DX20" s="80" t="s">
        <v>595</v>
      </c>
      <c r="DY20" s="80" t="s">
        <v>602</v>
      </c>
      <c r="DZ20" s="80"/>
      <c r="EA20" s="80"/>
      <c r="EB20" s="80" t="s">
        <v>615</v>
      </c>
      <c r="EC20" s="80"/>
      <c r="ED20" s="80" t="s">
        <v>583</v>
      </c>
      <c r="EE20" s="81" t="s">
        <v>565</v>
      </c>
      <c r="EF20" s="81"/>
      <c r="EG20" s="81" t="s">
        <v>585</v>
      </c>
      <c r="EH20" s="81"/>
      <c r="EI20" s="81" t="s">
        <v>574</v>
      </c>
      <c r="EJ20" s="81"/>
      <c r="EK20" s="81" t="s">
        <v>572</v>
      </c>
      <c r="EL20" s="80" t="s">
        <v>571</v>
      </c>
      <c r="EM20" s="80"/>
      <c r="EN20" s="80"/>
      <c r="EO20" s="80" t="s">
        <v>604</v>
      </c>
      <c r="EP20" s="80"/>
      <c r="EQ20" s="80" t="s">
        <v>581</v>
      </c>
      <c r="ER20" s="80"/>
      <c r="ES20" s="81" t="s">
        <v>566</v>
      </c>
      <c r="ET20" s="81"/>
      <c r="EU20" s="81"/>
      <c r="EV20" s="81" t="s">
        <v>610</v>
      </c>
      <c r="EW20" s="81"/>
      <c r="EX20" s="81" t="s">
        <v>595</v>
      </c>
      <c r="EY20" s="81"/>
      <c r="EZ20" s="80" t="s">
        <v>598</v>
      </c>
      <c r="FA20" s="80"/>
      <c r="FB20" s="80" t="s">
        <v>594</v>
      </c>
      <c r="FC20" s="80"/>
      <c r="FD20" s="80" t="s">
        <v>601</v>
      </c>
      <c r="FE20" s="80"/>
      <c r="FF20" s="80" t="s">
        <v>603</v>
      </c>
      <c r="FG20" s="81"/>
      <c r="FH20" s="81"/>
      <c r="FI20" s="81" t="s">
        <v>576</v>
      </c>
      <c r="FJ20" s="81"/>
      <c r="FK20" s="81" t="s">
        <v>602</v>
      </c>
      <c r="FL20" s="81"/>
      <c r="FM20" s="81" t="s">
        <v>592</v>
      </c>
      <c r="FN20" s="80"/>
      <c r="FO20" s="80" t="s">
        <v>608</v>
      </c>
      <c r="FP20" s="80"/>
      <c r="FQ20" s="80" t="s">
        <v>582</v>
      </c>
      <c r="FR20" s="80"/>
      <c r="FS20" s="80" t="s">
        <v>590</v>
      </c>
      <c r="FT20" s="80" t="s">
        <v>620</v>
      </c>
      <c r="FU20" s="83"/>
      <c r="FV20" s="83"/>
      <c r="FW20" s="83" t="s">
        <v>589</v>
      </c>
    </row>
    <row r="21" spans="1:179">
      <c r="A21" s="79" t="s">
        <v>195</v>
      </c>
      <c r="B21" s="80"/>
      <c r="C21" s="80"/>
      <c r="D21" s="80" t="s">
        <v>589</v>
      </c>
      <c r="E21" s="80"/>
      <c r="F21" s="80" t="s">
        <v>583</v>
      </c>
      <c r="G21" s="80"/>
      <c r="H21" s="80" t="s">
        <v>566</v>
      </c>
      <c r="I21" s="81"/>
      <c r="J21" s="81"/>
      <c r="K21" s="81" t="s">
        <v>608</v>
      </c>
      <c r="L21" s="81"/>
      <c r="M21" s="81"/>
      <c r="N21" s="81" t="s">
        <v>595</v>
      </c>
      <c r="O21" s="81"/>
      <c r="P21" s="80" t="s">
        <v>575</v>
      </c>
      <c r="Q21" s="80"/>
      <c r="R21" s="80" t="s">
        <v>611</v>
      </c>
      <c r="S21" s="80"/>
      <c r="T21" s="80" t="s">
        <v>581</v>
      </c>
      <c r="U21" s="80"/>
      <c r="V21" s="80" t="s">
        <v>593</v>
      </c>
      <c r="W21" s="81" t="s">
        <v>562</v>
      </c>
      <c r="X21" s="81"/>
      <c r="Y21" s="81" t="s">
        <v>567</v>
      </c>
      <c r="Z21" s="81"/>
      <c r="AA21" s="81" t="s">
        <v>601</v>
      </c>
      <c r="AB21" s="81" t="s">
        <v>594</v>
      </c>
      <c r="AC21" s="81"/>
      <c r="AD21" s="80" t="s">
        <v>618</v>
      </c>
      <c r="AE21" s="80"/>
      <c r="AF21" s="80" t="s">
        <v>588</v>
      </c>
      <c r="AG21" s="80"/>
      <c r="AH21" s="80"/>
      <c r="AI21" s="80" t="s">
        <v>596</v>
      </c>
      <c r="AJ21" s="80"/>
      <c r="AK21" s="81" t="s">
        <v>621</v>
      </c>
      <c r="AL21" s="81"/>
      <c r="AM21" s="81" t="s">
        <v>597</v>
      </c>
      <c r="AN21" s="81"/>
      <c r="AO21" s="81"/>
      <c r="AP21" s="81"/>
      <c r="AQ21" s="81" t="s">
        <v>610</v>
      </c>
      <c r="AR21" s="80"/>
      <c r="AS21" s="80"/>
      <c r="AT21" s="80" t="s">
        <v>603</v>
      </c>
      <c r="AU21" s="80"/>
      <c r="AV21" s="80" t="s">
        <v>600</v>
      </c>
      <c r="AW21" s="80"/>
      <c r="AX21" s="80" t="s">
        <v>574</v>
      </c>
      <c r="AY21" s="81" t="s">
        <v>572</v>
      </c>
      <c r="AZ21" s="81"/>
      <c r="BA21" s="81" t="s">
        <v>588</v>
      </c>
      <c r="BB21" s="81"/>
      <c r="BC21" s="81" t="s">
        <v>599</v>
      </c>
      <c r="BD21" s="81"/>
      <c r="BE21" s="81"/>
      <c r="BF21" s="80"/>
      <c r="BG21" s="80"/>
      <c r="BH21" s="80" t="s">
        <v>619</v>
      </c>
      <c r="BI21" s="80"/>
      <c r="BJ21" s="80" t="s">
        <v>571</v>
      </c>
      <c r="BK21" s="80" t="s">
        <v>570</v>
      </c>
      <c r="BL21" s="80"/>
      <c r="BM21" s="81" t="s">
        <v>616</v>
      </c>
      <c r="BN21" s="81"/>
      <c r="BO21" s="81"/>
      <c r="BP21" s="81" t="s">
        <v>617</v>
      </c>
      <c r="BQ21" s="81"/>
      <c r="BR21" s="81" t="s">
        <v>613</v>
      </c>
      <c r="BS21" s="81"/>
      <c r="BT21" s="80" t="s">
        <v>582</v>
      </c>
      <c r="BU21" s="80"/>
      <c r="BV21" s="80" t="s">
        <v>578</v>
      </c>
      <c r="BW21" s="80" t="s">
        <v>581</v>
      </c>
      <c r="BX21" s="80"/>
      <c r="BY21" s="80"/>
      <c r="BZ21" s="80" t="s">
        <v>590</v>
      </c>
      <c r="CA21" s="81"/>
      <c r="CB21" s="81" t="s">
        <v>611</v>
      </c>
      <c r="CC21" s="81"/>
      <c r="CD21" s="81" t="s">
        <v>609</v>
      </c>
      <c r="CE21" s="81"/>
      <c r="CF21" s="81" t="s">
        <v>580</v>
      </c>
      <c r="CG21" s="81"/>
      <c r="CH21" s="80" t="s">
        <v>615</v>
      </c>
      <c r="CI21" s="80"/>
      <c r="CJ21" s="80" t="s">
        <v>585</v>
      </c>
      <c r="CK21" s="80"/>
      <c r="CL21" s="80" t="s">
        <v>579</v>
      </c>
      <c r="CM21" s="80" t="s">
        <v>576</v>
      </c>
      <c r="CN21" s="80"/>
      <c r="CO21" s="81" t="s">
        <v>593</v>
      </c>
      <c r="CP21" s="81"/>
      <c r="CQ21" s="81" t="s">
        <v>584</v>
      </c>
      <c r="CR21" s="81"/>
      <c r="CS21" s="81" t="s">
        <v>594</v>
      </c>
      <c r="CT21" s="81" t="s">
        <v>615</v>
      </c>
      <c r="CU21" s="81"/>
      <c r="CV21" s="80" t="s">
        <v>569</v>
      </c>
      <c r="CW21" s="80"/>
      <c r="CX21" s="80"/>
      <c r="CY21" s="80"/>
      <c r="CZ21" s="80"/>
      <c r="DA21" s="80" t="s">
        <v>573</v>
      </c>
      <c r="DB21" s="80"/>
      <c r="DC21" s="81" t="s">
        <v>617</v>
      </c>
      <c r="DD21" s="81"/>
      <c r="DE21" s="81" t="s">
        <v>620</v>
      </c>
      <c r="DF21" s="81"/>
      <c r="DG21" s="81"/>
      <c r="DH21" s="81" t="s">
        <v>599</v>
      </c>
      <c r="DI21" s="81"/>
      <c r="DJ21" s="82" t="s">
        <v>602</v>
      </c>
      <c r="DK21" s="82"/>
      <c r="DL21" s="82" t="s">
        <v>612</v>
      </c>
      <c r="DM21" s="82"/>
      <c r="DN21" s="82"/>
      <c r="DO21" s="82"/>
      <c r="DP21" s="82"/>
      <c r="DQ21" s="82"/>
      <c r="DR21" s="82"/>
      <c r="DS21" s="82"/>
      <c r="DT21" s="82"/>
      <c r="DU21" s="82" t="s">
        <v>604</v>
      </c>
      <c r="DV21" s="82"/>
      <c r="DW21" s="82" t="s">
        <v>571</v>
      </c>
      <c r="DX21" s="80" t="s">
        <v>603</v>
      </c>
      <c r="DY21" s="80"/>
      <c r="DZ21" s="80" t="s">
        <v>565</v>
      </c>
      <c r="EA21" s="80"/>
      <c r="EB21" s="80" t="s">
        <v>591</v>
      </c>
      <c r="EC21" s="80"/>
      <c r="ED21" s="80" t="s">
        <v>607</v>
      </c>
      <c r="EE21" s="81"/>
      <c r="EF21" s="81" t="s">
        <v>614</v>
      </c>
      <c r="EG21" s="81" t="s">
        <v>568</v>
      </c>
      <c r="EH21" s="81"/>
      <c r="EI21" s="81" t="s">
        <v>563</v>
      </c>
      <c r="EJ21" s="81"/>
      <c r="EK21" s="81" t="s">
        <v>619</v>
      </c>
      <c r="EL21" s="80"/>
      <c r="EM21" s="80" t="s">
        <v>580</v>
      </c>
      <c r="EN21" s="80"/>
      <c r="EO21" s="80"/>
      <c r="EP21" s="80" t="s">
        <v>600</v>
      </c>
      <c r="EQ21" s="80" t="s">
        <v>597</v>
      </c>
      <c r="ER21" s="80"/>
      <c r="ES21" s="81"/>
      <c r="ET21" s="81" t="s">
        <v>570</v>
      </c>
      <c r="EU21" s="81" t="s">
        <v>572</v>
      </c>
      <c r="EV21" s="81"/>
      <c r="EW21" s="81" t="s">
        <v>618</v>
      </c>
      <c r="EX21" s="81"/>
      <c r="EY21" s="81" t="s">
        <v>609</v>
      </c>
      <c r="EZ21" s="80"/>
      <c r="FA21" s="80" t="s">
        <v>564</v>
      </c>
      <c r="FB21" s="80"/>
      <c r="FC21" s="80" t="s">
        <v>567</v>
      </c>
      <c r="FD21" s="80"/>
      <c r="FE21" s="80"/>
      <c r="FF21" s="80" t="s">
        <v>592</v>
      </c>
      <c r="FG21" s="81" t="s">
        <v>586</v>
      </c>
      <c r="FH21" s="81"/>
      <c r="FI21" s="81" t="s">
        <v>607</v>
      </c>
      <c r="FJ21" s="81"/>
      <c r="FK21" s="81" t="s">
        <v>587</v>
      </c>
      <c r="FL21" s="81"/>
      <c r="FM21" s="81" t="s">
        <v>598</v>
      </c>
      <c r="FN21" s="80"/>
      <c r="FO21" s="80" t="s">
        <v>596</v>
      </c>
      <c r="FP21" s="80"/>
      <c r="FQ21" s="80" t="s">
        <v>569</v>
      </c>
      <c r="FR21" s="80"/>
      <c r="FS21" s="80"/>
      <c r="FT21" s="80" t="s">
        <v>574</v>
      </c>
      <c r="FU21" s="83" t="s">
        <v>573</v>
      </c>
      <c r="FV21" s="83"/>
      <c r="FW21" s="83" t="s">
        <v>606</v>
      </c>
    </row>
    <row r="22" spans="1:179">
      <c r="A22" s="79" t="s">
        <v>622</v>
      </c>
      <c r="B22" s="80"/>
      <c r="C22" s="80" t="s">
        <v>602</v>
      </c>
      <c r="D22" s="80"/>
      <c r="E22" s="80"/>
      <c r="F22" s="80" t="s">
        <v>607</v>
      </c>
      <c r="G22" s="80" t="s">
        <v>580</v>
      </c>
      <c r="H22" s="80"/>
      <c r="I22" s="81" t="s">
        <v>581</v>
      </c>
      <c r="J22" s="81"/>
      <c r="K22" s="81"/>
      <c r="L22" s="81" t="s">
        <v>593</v>
      </c>
      <c r="M22" s="81"/>
      <c r="N22" s="81" t="s">
        <v>600</v>
      </c>
      <c r="O22" s="81"/>
      <c r="P22" s="80" t="s">
        <v>589</v>
      </c>
      <c r="Q22" s="80"/>
      <c r="R22" s="80"/>
      <c r="S22" s="80"/>
      <c r="T22" s="80" t="s">
        <v>576</v>
      </c>
      <c r="U22" s="80" t="s">
        <v>583</v>
      </c>
      <c r="V22" s="80"/>
      <c r="W22" s="81" t="s">
        <v>594</v>
      </c>
      <c r="X22" s="81"/>
      <c r="Y22" s="81"/>
      <c r="Z22" s="81" t="s">
        <v>599</v>
      </c>
      <c r="AA22" s="81"/>
      <c r="AB22" s="81" t="s">
        <v>565</v>
      </c>
      <c r="AC22" s="81" t="s">
        <v>581</v>
      </c>
      <c r="AD22" s="80"/>
      <c r="AE22" s="80" t="s">
        <v>609</v>
      </c>
      <c r="AF22" s="80"/>
      <c r="AG22" s="80" t="s">
        <v>572</v>
      </c>
      <c r="AH22" s="80"/>
      <c r="AI22" s="80" t="s">
        <v>618</v>
      </c>
      <c r="AJ22" s="80" t="s">
        <v>573</v>
      </c>
      <c r="AK22" s="81"/>
      <c r="AL22" s="81"/>
      <c r="AM22" s="81" t="s">
        <v>586</v>
      </c>
      <c r="AN22" s="81"/>
      <c r="AO22" s="81" t="s">
        <v>600</v>
      </c>
      <c r="AP22" s="81"/>
      <c r="AQ22" s="81" t="s">
        <v>615</v>
      </c>
      <c r="AR22" s="80"/>
      <c r="AS22" s="80" t="s">
        <v>607</v>
      </c>
      <c r="AT22" s="80"/>
      <c r="AU22" s="80" t="s">
        <v>596</v>
      </c>
      <c r="AV22" s="80"/>
      <c r="AW22" s="80" t="s">
        <v>603</v>
      </c>
      <c r="AX22" s="80"/>
      <c r="AY22" s="81" t="s">
        <v>598</v>
      </c>
      <c r="AZ22" s="81"/>
      <c r="BA22" s="81" t="s">
        <v>578</v>
      </c>
      <c r="BB22" s="81"/>
      <c r="BC22" s="81" t="s">
        <v>608</v>
      </c>
      <c r="BD22" s="81"/>
      <c r="BE22" s="81" t="s">
        <v>563</v>
      </c>
      <c r="BF22" s="80"/>
      <c r="BG22" s="80" t="s">
        <v>582</v>
      </c>
      <c r="BH22" s="80" t="s">
        <v>605</v>
      </c>
      <c r="BI22" s="80"/>
      <c r="BJ22" s="80" t="s">
        <v>616</v>
      </c>
      <c r="BK22" s="80"/>
      <c r="BL22" s="80"/>
      <c r="BM22" s="81" t="s">
        <v>570</v>
      </c>
      <c r="BN22" s="81"/>
      <c r="BO22" s="81" t="s">
        <v>571</v>
      </c>
      <c r="BP22" s="81"/>
      <c r="BQ22" s="81"/>
      <c r="BR22" s="81" t="s">
        <v>585</v>
      </c>
      <c r="BS22" s="81" t="s">
        <v>594</v>
      </c>
      <c r="BT22" s="80"/>
      <c r="BU22" s="80"/>
      <c r="BV22" s="80"/>
      <c r="BW22" s="80"/>
      <c r="BX22" s="80" t="s">
        <v>574</v>
      </c>
      <c r="BY22" s="80" t="s">
        <v>617</v>
      </c>
      <c r="BZ22" s="80"/>
      <c r="CA22" s="81" t="s">
        <v>588</v>
      </c>
      <c r="CB22" s="81"/>
      <c r="CC22" s="81" t="s">
        <v>568</v>
      </c>
      <c r="CD22" s="81"/>
      <c r="CE22" s="81" t="s">
        <v>587</v>
      </c>
      <c r="CF22" s="81" t="s">
        <v>592</v>
      </c>
      <c r="CG22" s="81"/>
      <c r="CH22" s="80" t="s">
        <v>562</v>
      </c>
      <c r="CI22" s="80"/>
      <c r="CJ22" s="80"/>
      <c r="CK22" s="80" t="s">
        <v>588</v>
      </c>
      <c r="CL22" s="80"/>
      <c r="CM22" s="80" t="s">
        <v>599</v>
      </c>
      <c r="CN22" s="80"/>
      <c r="CO22" s="81" t="s">
        <v>611</v>
      </c>
      <c r="CP22" s="81"/>
      <c r="CQ22" s="81" t="s">
        <v>567</v>
      </c>
      <c r="CR22" s="81"/>
      <c r="CS22" s="81" t="s">
        <v>593</v>
      </c>
      <c r="CT22" s="81"/>
      <c r="CU22" s="81" t="s">
        <v>604</v>
      </c>
      <c r="CV22" s="80"/>
      <c r="CW22" s="80" t="s">
        <v>590</v>
      </c>
      <c r="CX22" s="80"/>
      <c r="CY22" s="80"/>
      <c r="CZ22" s="80" t="s">
        <v>610</v>
      </c>
      <c r="DA22" s="80"/>
      <c r="DB22" s="80" t="s">
        <v>580</v>
      </c>
      <c r="DC22" s="81"/>
      <c r="DD22" s="81" t="s">
        <v>575</v>
      </c>
      <c r="DE22" s="81"/>
      <c r="DF22" s="81" t="s">
        <v>584</v>
      </c>
      <c r="DG22" s="81"/>
      <c r="DH22" s="81" t="s">
        <v>579</v>
      </c>
      <c r="DI22" s="81"/>
      <c r="DJ22" s="82"/>
      <c r="DK22" s="82" t="s">
        <v>609</v>
      </c>
      <c r="DL22" s="82"/>
      <c r="DM22" s="82" t="s">
        <v>615</v>
      </c>
      <c r="DN22" s="82"/>
      <c r="DO22" s="82"/>
      <c r="DP22" s="82"/>
      <c r="DQ22" s="82"/>
      <c r="DR22" s="82"/>
      <c r="DS22" s="82"/>
      <c r="DT22" s="82"/>
      <c r="DU22" s="82" t="s">
        <v>570</v>
      </c>
      <c r="DV22" s="82"/>
      <c r="DW22" s="82" t="s">
        <v>616</v>
      </c>
      <c r="DX22" s="80"/>
      <c r="DY22" s="80" t="s">
        <v>574</v>
      </c>
      <c r="DZ22" s="80"/>
      <c r="EA22" s="80"/>
      <c r="EB22" s="80" t="s">
        <v>613</v>
      </c>
      <c r="EC22" s="80"/>
      <c r="ED22" s="80" t="s">
        <v>586</v>
      </c>
      <c r="EE22" s="81"/>
      <c r="EF22" s="81" t="s">
        <v>577</v>
      </c>
      <c r="EG22" s="81" t="s">
        <v>603</v>
      </c>
      <c r="EH22" s="81"/>
      <c r="EI22" s="81" t="s">
        <v>566</v>
      </c>
      <c r="EJ22" s="81"/>
      <c r="EK22" s="81" t="s">
        <v>605</v>
      </c>
      <c r="EL22" s="80"/>
      <c r="EM22" s="80"/>
      <c r="EN22" s="80" t="s">
        <v>617</v>
      </c>
      <c r="EO22" s="80"/>
      <c r="EP22" s="80" t="s">
        <v>618</v>
      </c>
      <c r="EQ22" s="80" t="s">
        <v>573</v>
      </c>
      <c r="ER22" s="80"/>
      <c r="ES22" s="81" t="s">
        <v>620</v>
      </c>
      <c r="ET22" s="81"/>
      <c r="EU22" s="81" t="s">
        <v>567</v>
      </c>
      <c r="EV22" s="81"/>
      <c r="EW22" s="81"/>
      <c r="EX22" s="81" t="s">
        <v>611</v>
      </c>
      <c r="EY22" s="81" t="s">
        <v>569</v>
      </c>
      <c r="EZ22" s="80"/>
      <c r="FA22" s="80" t="s">
        <v>610</v>
      </c>
      <c r="FB22" s="80"/>
      <c r="FC22" s="80"/>
      <c r="FD22" s="80" t="s">
        <v>606</v>
      </c>
      <c r="FE22" s="80"/>
      <c r="FF22" s="80" t="s">
        <v>591</v>
      </c>
      <c r="FG22" s="81"/>
      <c r="FH22" s="81" t="s">
        <v>621</v>
      </c>
      <c r="FI22" s="81" t="s">
        <v>595</v>
      </c>
      <c r="FJ22" s="81"/>
      <c r="FK22" s="81"/>
      <c r="FL22" s="81"/>
      <c r="FM22" s="81" t="s">
        <v>597</v>
      </c>
      <c r="FN22" s="80"/>
      <c r="FO22" s="80" t="s">
        <v>612</v>
      </c>
      <c r="FP22" s="80"/>
      <c r="FQ22" s="80" t="s">
        <v>596</v>
      </c>
      <c r="FR22" s="80"/>
      <c r="FS22" s="80" t="s">
        <v>564</v>
      </c>
      <c r="FT22" s="80"/>
      <c r="FU22" s="83" t="s">
        <v>601</v>
      </c>
      <c r="FV22" s="83"/>
      <c r="FW22" s="83" t="s">
        <v>597</v>
      </c>
    </row>
    <row r="23" spans="1:179">
      <c r="A23" s="79" t="s">
        <v>254</v>
      </c>
      <c r="B23" s="80"/>
      <c r="C23" s="80"/>
      <c r="D23" s="80" t="s">
        <v>597</v>
      </c>
      <c r="E23" s="80"/>
      <c r="F23" s="80" t="s">
        <v>589</v>
      </c>
      <c r="G23" s="80" t="s">
        <v>604</v>
      </c>
      <c r="H23" s="80"/>
      <c r="I23" s="81" t="s">
        <v>568</v>
      </c>
      <c r="J23" s="81"/>
      <c r="K23" s="81" t="s">
        <v>591</v>
      </c>
      <c r="L23" s="81"/>
      <c r="M23" s="81" t="s">
        <v>592</v>
      </c>
      <c r="N23" s="81"/>
      <c r="O23" s="81" t="s">
        <v>569</v>
      </c>
      <c r="P23" s="80"/>
      <c r="Q23" s="80"/>
      <c r="R23" s="80" t="s">
        <v>562</v>
      </c>
      <c r="S23" s="80"/>
      <c r="T23" s="80" t="s">
        <v>603</v>
      </c>
      <c r="U23" s="80"/>
      <c r="V23" s="80" t="s">
        <v>613</v>
      </c>
      <c r="W23" s="81"/>
      <c r="X23" s="81" t="s">
        <v>584</v>
      </c>
      <c r="Y23" s="81"/>
      <c r="Z23" s="81" t="s">
        <v>607</v>
      </c>
      <c r="AA23" s="81"/>
      <c r="AB23" s="81" t="s">
        <v>612</v>
      </c>
      <c r="AC23" s="81"/>
      <c r="AD23" s="80" t="s">
        <v>613</v>
      </c>
      <c r="AE23" s="80"/>
      <c r="AF23" s="80" t="s">
        <v>608</v>
      </c>
      <c r="AG23" s="80"/>
      <c r="AH23" s="80"/>
      <c r="AI23" s="80" t="s">
        <v>567</v>
      </c>
      <c r="AJ23" s="80" t="s">
        <v>582</v>
      </c>
      <c r="AK23" s="81"/>
      <c r="AL23" s="81"/>
      <c r="AM23" s="81" t="s">
        <v>602</v>
      </c>
      <c r="AN23" s="81"/>
      <c r="AO23" s="81" t="s">
        <v>564</v>
      </c>
      <c r="AP23" s="81"/>
      <c r="AQ23" s="81" t="s">
        <v>604</v>
      </c>
      <c r="AR23" s="80" t="s">
        <v>578</v>
      </c>
      <c r="AS23" s="80"/>
      <c r="AT23" s="80"/>
      <c r="AU23" s="80" t="s">
        <v>593</v>
      </c>
      <c r="AV23" s="80"/>
      <c r="AW23" s="80" t="s">
        <v>585</v>
      </c>
      <c r="AX23" s="80"/>
      <c r="AY23" s="81"/>
      <c r="AZ23" s="81" t="s">
        <v>570</v>
      </c>
      <c r="BA23" s="81" t="s">
        <v>616</v>
      </c>
      <c r="BB23" s="81"/>
      <c r="BC23" s="81" t="s">
        <v>617</v>
      </c>
      <c r="BD23" s="81"/>
      <c r="BE23" s="81" t="s">
        <v>571</v>
      </c>
      <c r="BF23" s="80"/>
      <c r="BG23" s="80" t="s">
        <v>620</v>
      </c>
      <c r="BH23" s="80"/>
      <c r="BI23" s="80"/>
      <c r="BJ23" s="80" t="s">
        <v>565</v>
      </c>
      <c r="BK23" s="80" t="s">
        <v>575</v>
      </c>
      <c r="BL23" s="80"/>
      <c r="BM23" s="81" t="s">
        <v>601</v>
      </c>
      <c r="BN23" s="81"/>
      <c r="BO23" s="81"/>
      <c r="BP23" s="81" t="s">
        <v>589</v>
      </c>
      <c r="BQ23" s="81"/>
      <c r="BR23" s="81" t="s">
        <v>595</v>
      </c>
      <c r="BS23" s="81"/>
      <c r="BT23" s="80"/>
      <c r="BU23" s="80"/>
      <c r="BV23" s="80" t="s">
        <v>609</v>
      </c>
      <c r="BW23" s="80"/>
      <c r="BX23" s="80" t="s">
        <v>572</v>
      </c>
      <c r="BY23" s="80"/>
      <c r="BZ23" s="80" t="s">
        <v>573</v>
      </c>
      <c r="CA23" s="81"/>
      <c r="CB23" s="81" t="s">
        <v>574</v>
      </c>
      <c r="CC23" s="81" t="s">
        <v>618</v>
      </c>
      <c r="CD23" s="81"/>
      <c r="CE23" s="81" t="s">
        <v>619</v>
      </c>
      <c r="CF23" s="81"/>
      <c r="CG23" s="81" t="s">
        <v>566</v>
      </c>
      <c r="CH23" s="80"/>
      <c r="CI23" s="80" t="s">
        <v>578</v>
      </c>
      <c r="CJ23" s="80"/>
      <c r="CK23" s="80" t="s">
        <v>596</v>
      </c>
      <c r="CL23" s="80"/>
      <c r="CM23" s="80" t="s">
        <v>564</v>
      </c>
      <c r="CN23" s="80"/>
      <c r="CO23" s="81" t="s">
        <v>590</v>
      </c>
      <c r="CP23" s="81"/>
      <c r="CQ23" s="81" t="s">
        <v>586</v>
      </c>
      <c r="CR23" s="81"/>
      <c r="CS23" s="81" t="s">
        <v>576</v>
      </c>
      <c r="CT23" s="81"/>
      <c r="CU23" s="81" t="s">
        <v>582</v>
      </c>
      <c r="CV23" s="80"/>
      <c r="CW23" s="80" t="s">
        <v>583</v>
      </c>
      <c r="CX23" s="80" t="s">
        <v>610</v>
      </c>
      <c r="CY23" s="80"/>
      <c r="CZ23" s="80"/>
      <c r="DA23" s="80" t="s">
        <v>579</v>
      </c>
      <c r="DB23" s="80"/>
      <c r="DC23" s="81" t="s">
        <v>590</v>
      </c>
      <c r="DD23" s="81"/>
      <c r="DE23" s="81"/>
      <c r="DF23" s="81" t="s">
        <v>563</v>
      </c>
      <c r="DG23" s="81"/>
      <c r="DH23" s="81" t="s">
        <v>562</v>
      </c>
      <c r="DI23" s="81" t="s">
        <v>621</v>
      </c>
      <c r="DJ23" s="82"/>
      <c r="DK23" s="82"/>
      <c r="DL23" s="82" t="s">
        <v>601</v>
      </c>
      <c r="DM23" s="82"/>
      <c r="DN23" s="82"/>
      <c r="DO23" s="82"/>
      <c r="DP23" s="82"/>
      <c r="DQ23" s="82"/>
      <c r="DR23" s="82"/>
      <c r="DS23" s="82"/>
      <c r="DT23" s="82"/>
      <c r="DU23" s="82" t="s">
        <v>585</v>
      </c>
      <c r="DV23" s="82"/>
      <c r="DW23" s="82"/>
      <c r="DX23" s="80" t="s">
        <v>580</v>
      </c>
      <c r="DY23" s="80"/>
      <c r="DZ23" s="80" t="s">
        <v>583</v>
      </c>
      <c r="EA23" s="80" t="s">
        <v>608</v>
      </c>
      <c r="EB23" s="80"/>
      <c r="EC23" s="80" t="s">
        <v>568</v>
      </c>
      <c r="ED23" s="80"/>
      <c r="EE23" s="81" t="s">
        <v>594</v>
      </c>
      <c r="EF23" s="81"/>
      <c r="EG23" s="81" t="s">
        <v>588</v>
      </c>
      <c r="EH23" s="81"/>
      <c r="EI23" s="81" t="s">
        <v>615</v>
      </c>
      <c r="EJ23" s="81"/>
      <c r="EK23" s="81" t="s">
        <v>598</v>
      </c>
      <c r="EL23" s="80"/>
      <c r="EM23" s="80" t="s">
        <v>595</v>
      </c>
      <c r="EN23" s="80" t="s">
        <v>621</v>
      </c>
      <c r="EO23" s="80"/>
      <c r="EP23" s="80" t="s">
        <v>565</v>
      </c>
      <c r="EQ23" s="80"/>
      <c r="ER23" s="80"/>
      <c r="ES23" s="81"/>
      <c r="ET23" s="81" t="s">
        <v>612</v>
      </c>
      <c r="EU23" s="81" t="s">
        <v>592</v>
      </c>
      <c r="EV23" s="81"/>
      <c r="EW23" s="81"/>
      <c r="EX23" s="81" t="s">
        <v>581</v>
      </c>
      <c r="EY23" s="81"/>
      <c r="EZ23" s="80" t="s">
        <v>599</v>
      </c>
      <c r="FA23" s="80"/>
      <c r="FB23" s="80" t="s">
        <v>576</v>
      </c>
      <c r="FC23" s="80"/>
      <c r="FD23" s="80" t="s">
        <v>614</v>
      </c>
      <c r="FE23" s="80" t="s">
        <v>584</v>
      </c>
      <c r="FF23" s="80"/>
      <c r="FG23" s="81"/>
      <c r="FH23" s="81"/>
      <c r="FI23" s="81" t="s">
        <v>611</v>
      </c>
      <c r="FJ23" s="81"/>
      <c r="FK23" s="81" t="s">
        <v>577</v>
      </c>
      <c r="FL23" s="81"/>
      <c r="FM23" s="81" t="s">
        <v>566</v>
      </c>
      <c r="FN23" s="80"/>
      <c r="FO23" s="80"/>
      <c r="FP23" s="80" t="s">
        <v>563</v>
      </c>
      <c r="FQ23" s="80"/>
      <c r="FR23" s="80" t="s">
        <v>600</v>
      </c>
      <c r="FS23" s="80"/>
      <c r="FT23" s="80" t="s">
        <v>602</v>
      </c>
      <c r="FU23" s="83"/>
      <c r="FV23" s="83" t="s">
        <v>598</v>
      </c>
      <c r="FW23" s="83" t="s">
        <v>605</v>
      </c>
    </row>
    <row r="24" spans="1:179">
      <c r="A24" s="79" t="s">
        <v>257</v>
      </c>
      <c r="B24" s="80"/>
      <c r="C24" s="80"/>
      <c r="D24" s="80" t="s">
        <v>618</v>
      </c>
      <c r="E24" s="80"/>
      <c r="F24" s="80" t="s">
        <v>601</v>
      </c>
      <c r="G24" s="80"/>
      <c r="H24" s="80" t="s">
        <v>581</v>
      </c>
      <c r="I24" s="81" t="s">
        <v>580</v>
      </c>
      <c r="J24" s="81"/>
      <c r="K24" s="81" t="s">
        <v>609</v>
      </c>
      <c r="L24" s="81"/>
      <c r="M24" s="81"/>
      <c r="N24" s="81" t="s">
        <v>619</v>
      </c>
      <c r="O24" s="81"/>
      <c r="P24" s="80"/>
      <c r="Q24" s="80" t="s">
        <v>563</v>
      </c>
      <c r="R24" s="80"/>
      <c r="S24" s="80" t="s">
        <v>597</v>
      </c>
      <c r="T24" s="80"/>
      <c r="U24" s="80" t="s">
        <v>581</v>
      </c>
      <c r="V24" s="80" t="s">
        <v>575</v>
      </c>
      <c r="W24" s="81"/>
      <c r="X24" s="81" t="s">
        <v>579</v>
      </c>
      <c r="Y24" s="81"/>
      <c r="Z24" s="81"/>
      <c r="AA24" s="81" t="s">
        <v>564</v>
      </c>
      <c r="AB24" s="81"/>
      <c r="AC24" s="81"/>
      <c r="AD24" s="80" t="s">
        <v>573</v>
      </c>
      <c r="AE24" s="80" t="s">
        <v>574</v>
      </c>
      <c r="AF24" s="80"/>
      <c r="AG24" s="80"/>
      <c r="AH24" s="80" t="s">
        <v>586</v>
      </c>
      <c r="AI24" s="80"/>
      <c r="AJ24" s="80"/>
      <c r="AK24" s="81" t="s">
        <v>616</v>
      </c>
      <c r="AL24" s="81"/>
      <c r="AM24" s="81" t="s">
        <v>570</v>
      </c>
      <c r="AN24" s="81"/>
      <c r="AO24" s="81" t="s">
        <v>619</v>
      </c>
      <c r="AP24" s="81"/>
      <c r="AQ24" s="81" t="s">
        <v>614</v>
      </c>
      <c r="AR24" s="80"/>
      <c r="AS24" s="80"/>
      <c r="AT24" s="80" t="s">
        <v>585</v>
      </c>
      <c r="AU24" s="80"/>
      <c r="AV24" s="80" t="s">
        <v>577</v>
      </c>
      <c r="AW24" s="80"/>
      <c r="AX24" s="80" t="s">
        <v>570</v>
      </c>
      <c r="AY24" s="81" t="s">
        <v>618</v>
      </c>
      <c r="AZ24" s="81"/>
      <c r="BA24" s="81" t="s">
        <v>617</v>
      </c>
      <c r="BB24" s="81"/>
      <c r="BC24" s="81"/>
      <c r="BD24" s="81" t="s">
        <v>571</v>
      </c>
      <c r="BE24" s="81"/>
      <c r="BF24" s="80" t="s">
        <v>568</v>
      </c>
      <c r="BG24" s="80"/>
      <c r="BH24" s="80" t="s">
        <v>610</v>
      </c>
      <c r="BI24" s="80"/>
      <c r="BJ24" s="80" t="s">
        <v>596</v>
      </c>
      <c r="BK24" s="80"/>
      <c r="BL24" s="80" t="s">
        <v>599</v>
      </c>
      <c r="BM24" s="81"/>
      <c r="BN24" s="81"/>
      <c r="BO24" s="81"/>
      <c r="BP24" s="81" t="s">
        <v>610</v>
      </c>
      <c r="BQ24" s="81" t="s">
        <v>583</v>
      </c>
      <c r="BR24" s="81"/>
      <c r="BS24" s="81" t="s">
        <v>602</v>
      </c>
      <c r="BT24" s="80"/>
      <c r="BU24" s="80" t="s">
        <v>607</v>
      </c>
      <c r="BV24" s="80"/>
      <c r="BW24" s="80" t="s">
        <v>597</v>
      </c>
      <c r="BX24" s="80"/>
      <c r="BY24" s="80" t="s">
        <v>590</v>
      </c>
      <c r="BZ24" s="80"/>
      <c r="CA24" s="81" t="s">
        <v>608</v>
      </c>
      <c r="CB24" s="81" t="s">
        <v>589</v>
      </c>
      <c r="CC24" s="81"/>
      <c r="CD24" s="81" t="s">
        <v>594</v>
      </c>
      <c r="CE24" s="81"/>
      <c r="CF24" s="81" t="s">
        <v>586</v>
      </c>
      <c r="CG24" s="81"/>
      <c r="CH24" s="80" t="s">
        <v>605</v>
      </c>
      <c r="CI24" s="80"/>
      <c r="CJ24" s="80" t="s">
        <v>576</v>
      </c>
      <c r="CK24" s="80"/>
      <c r="CL24" s="80" t="s">
        <v>566</v>
      </c>
      <c r="CM24" s="80" t="s">
        <v>609</v>
      </c>
      <c r="CN24" s="80"/>
      <c r="CO24" s="81" t="s">
        <v>580</v>
      </c>
      <c r="CP24" s="81"/>
      <c r="CQ24" s="81" t="s">
        <v>591</v>
      </c>
      <c r="CR24" s="81"/>
      <c r="CS24" s="81" t="s">
        <v>620</v>
      </c>
      <c r="CT24" s="81" t="s">
        <v>605</v>
      </c>
      <c r="CU24" s="81"/>
      <c r="CV24" s="80" t="s">
        <v>607</v>
      </c>
      <c r="CW24" s="80"/>
      <c r="CX24" s="80" t="s">
        <v>617</v>
      </c>
      <c r="CY24" s="80"/>
      <c r="CZ24" s="80" t="s">
        <v>572</v>
      </c>
      <c r="DA24" s="80"/>
      <c r="DB24" s="80"/>
      <c r="DC24" s="81"/>
      <c r="DD24" s="81"/>
      <c r="DE24" s="81" t="s">
        <v>613</v>
      </c>
      <c r="DF24" s="81"/>
      <c r="DG24" s="81" t="s">
        <v>598</v>
      </c>
      <c r="DH24" s="81"/>
      <c r="DI24" s="81" t="s">
        <v>604</v>
      </c>
      <c r="DJ24" s="82"/>
      <c r="DK24" s="82" t="s">
        <v>567</v>
      </c>
      <c r="DL24" s="82"/>
      <c r="DM24" s="82" t="s">
        <v>614</v>
      </c>
      <c r="DN24" s="82"/>
      <c r="DO24" s="82"/>
      <c r="DP24" s="82"/>
      <c r="DQ24" s="82"/>
      <c r="DR24" s="82"/>
      <c r="DS24" s="82"/>
      <c r="DT24" s="82"/>
      <c r="DU24" s="82" t="s">
        <v>593</v>
      </c>
      <c r="DV24" s="82"/>
      <c r="DW24" s="82" t="s">
        <v>567</v>
      </c>
      <c r="DX24" s="80"/>
      <c r="DY24" s="80" t="s">
        <v>584</v>
      </c>
      <c r="DZ24" s="80"/>
      <c r="EA24" s="80" t="s">
        <v>569</v>
      </c>
      <c r="EB24" s="80" t="s">
        <v>578</v>
      </c>
      <c r="EC24" s="80"/>
      <c r="ED24" s="80"/>
      <c r="EE24" s="81"/>
      <c r="EF24" s="81" t="s">
        <v>599</v>
      </c>
      <c r="EG24" s="81" t="s">
        <v>562</v>
      </c>
      <c r="EH24" s="81"/>
      <c r="EI24" s="81" t="s">
        <v>587</v>
      </c>
      <c r="EJ24" s="81"/>
      <c r="EK24" s="81" t="s">
        <v>592</v>
      </c>
      <c r="EL24" s="80"/>
      <c r="EM24" s="80"/>
      <c r="EN24" s="80" t="s">
        <v>588</v>
      </c>
      <c r="EO24" s="80"/>
      <c r="EP24" s="80" t="s">
        <v>577</v>
      </c>
      <c r="EQ24" s="80"/>
      <c r="ER24" s="80" t="s">
        <v>595</v>
      </c>
      <c r="ES24" s="81"/>
      <c r="ET24" s="81" t="s">
        <v>611</v>
      </c>
      <c r="EU24" s="81" t="s">
        <v>621</v>
      </c>
      <c r="EV24" s="81"/>
      <c r="EW24" s="81" t="s">
        <v>593</v>
      </c>
      <c r="EX24" s="81"/>
      <c r="EY24" s="81"/>
      <c r="EZ24" s="80" t="s">
        <v>565</v>
      </c>
      <c r="FA24" s="80"/>
      <c r="FB24" s="80"/>
      <c r="FC24" s="80" t="s">
        <v>612</v>
      </c>
      <c r="FD24" s="80"/>
      <c r="FE24" s="80" t="s">
        <v>616</v>
      </c>
      <c r="FF24" s="80"/>
      <c r="FG24" s="81" t="s">
        <v>571</v>
      </c>
      <c r="FH24" s="81"/>
      <c r="FI24" s="81" t="s">
        <v>596</v>
      </c>
      <c r="FJ24" s="81"/>
      <c r="FK24" s="81"/>
      <c r="FL24" s="81" t="s">
        <v>573</v>
      </c>
      <c r="FM24" s="81" t="s">
        <v>574</v>
      </c>
      <c r="FN24" s="80"/>
      <c r="FO24" s="80" t="s">
        <v>582</v>
      </c>
      <c r="FP24" s="80"/>
      <c r="FQ24" s="80"/>
      <c r="FR24" s="80" t="s">
        <v>606</v>
      </c>
      <c r="FS24" s="80" t="s">
        <v>611</v>
      </c>
      <c r="FT24" s="80"/>
      <c r="FU24" s="83" t="s">
        <v>588</v>
      </c>
      <c r="FV24" s="83"/>
      <c r="FW24" s="83" t="s">
        <v>603</v>
      </c>
    </row>
    <row r="25" spans="1:179">
      <c r="A25" s="79" t="s">
        <v>224</v>
      </c>
      <c r="B25" s="80"/>
      <c r="C25" s="80"/>
      <c r="D25" s="80" t="s">
        <v>613</v>
      </c>
      <c r="E25" s="80"/>
      <c r="F25" s="80"/>
      <c r="G25" s="80" t="s">
        <v>621</v>
      </c>
      <c r="H25" s="80"/>
      <c r="I25" s="81" t="s">
        <v>602</v>
      </c>
      <c r="J25" s="81"/>
      <c r="K25" s="81" t="s">
        <v>606</v>
      </c>
      <c r="L25" s="81"/>
      <c r="M25" s="81" t="s">
        <v>575</v>
      </c>
      <c r="N25" s="81" t="s">
        <v>593</v>
      </c>
      <c r="O25" s="81"/>
      <c r="P25" s="80"/>
      <c r="Q25" s="80" t="s">
        <v>600</v>
      </c>
      <c r="R25" s="80" t="s">
        <v>603</v>
      </c>
      <c r="S25" s="80"/>
      <c r="T25" s="80" t="s">
        <v>610</v>
      </c>
      <c r="U25" s="80"/>
      <c r="V25" s="80" t="s">
        <v>585</v>
      </c>
      <c r="W25" s="81"/>
      <c r="X25" s="81"/>
      <c r="Y25" s="81" t="s">
        <v>564</v>
      </c>
      <c r="Z25" s="81"/>
      <c r="AA25" s="81" t="s">
        <v>567</v>
      </c>
      <c r="AB25" s="81"/>
      <c r="AC25" s="81" t="s">
        <v>601</v>
      </c>
      <c r="AD25" s="80"/>
      <c r="AE25" s="80"/>
      <c r="AF25" s="80" t="s">
        <v>602</v>
      </c>
      <c r="AG25" s="80"/>
      <c r="AH25" s="80"/>
      <c r="AI25" s="80" t="s">
        <v>579</v>
      </c>
      <c r="AJ25" s="80"/>
      <c r="AK25" s="81" t="s">
        <v>562</v>
      </c>
      <c r="AL25" s="81"/>
      <c r="AM25" s="81" t="s">
        <v>590</v>
      </c>
      <c r="AN25" s="81"/>
      <c r="AO25" s="81" t="s">
        <v>576</v>
      </c>
      <c r="AP25" s="81"/>
      <c r="AQ25" s="81" t="s">
        <v>581</v>
      </c>
      <c r="AR25" s="80"/>
      <c r="AS25" s="80" t="s">
        <v>595</v>
      </c>
      <c r="AT25" s="80" t="s">
        <v>596</v>
      </c>
      <c r="AU25" s="80"/>
      <c r="AV25" s="80" t="s">
        <v>590</v>
      </c>
      <c r="AW25" s="80"/>
      <c r="AX25" s="80"/>
      <c r="AY25" s="81" t="s">
        <v>578</v>
      </c>
      <c r="AZ25" s="81"/>
      <c r="BA25" s="81" t="s">
        <v>586</v>
      </c>
      <c r="BB25" s="81"/>
      <c r="BC25" s="81" t="s">
        <v>594</v>
      </c>
      <c r="BD25" s="81"/>
      <c r="BE25" s="81" t="s">
        <v>614</v>
      </c>
      <c r="BF25" s="80"/>
      <c r="BG25" s="80" t="s">
        <v>618</v>
      </c>
      <c r="BH25" s="80" t="s">
        <v>571</v>
      </c>
      <c r="BI25" s="80"/>
      <c r="BJ25" s="80" t="s">
        <v>570</v>
      </c>
      <c r="BK25" s="80"/>
      <c r="BL25" s="80"/>
      <c r="BM25" s="81" t="s">
        <v>568</v>
      </c>
      <c r="BN25" s="81"/>
      <c r="BO25" s="81"/>
      <c r="BP25" s="81"/>
      <c r="BQ25" s="81" t="s">
        <v>564</v>
      </c>
      <c r="BR25" s="81" t="s">
        <v>578</v>
      </c>
      <c r="BS25" s="81"/>
      <c r="BT25" s="80" t="s">
        <v>620</v>
      </c>
      <c r="BU25" s="80"/>
      <c r="BV25" s="80" t="s">
        <v>595</v>
      </c>
      <c r="BW25" s="80"/>
      <c r="BX25" s="80" t="s">
        <v>566</v>
      </c>
      <c r="BY25" s="80" t="s">
        <v>588</v>
      </c>
      <c r="BZ25" s="80"/>
      <c r="CA25" s="81" t="s">
        <v>582</v>
      </c>
      <c r="CB25" s="81"/>
      <c r="CC25" s="81" t="s">
        <v>601</v>
      </c>
      <c r="CD25" s="81"/>
      <c r="CE25" s="81" t="s">
        <v>572</v>
      </c>
      <c r="CF25" s="81"/>
      <c r="CG25" s="81"/>
      <c r="CH25" s="80" t="s">
        <v>617</v>
      </c>
      <c r="CI25" s="80"/>
      <c r="CJ25" s="80" t="s">
        <v>574</v>
      </c>
      <c r="CK25" s="80" t="s">
        <v>573</v>
      </c>
      <c r="CL25" s="80"/>
      <c r="CM25" s="80" t="s">
        <v>616</v>
      </c>
      <c r="CN25" s="80"/>
      <c r="CO25" s="81" t="s">
        <v>583</v>
      </c>
      <c r="CP25" s="81"/>
      <c r="CQ25" s="81" t="s">
        <v>615</v>
      </c>
      <c r="CR25" s="81"/>
      <c r="CS25" s="81" t="s">
        <v>604</v>
      </c>
      <c r="CT25" s="81"/>
      <c r="CU25" s="81" t="s">
        <v>599</v>
      </c>
      <c r="CV25" s="80" t="s">
        <v>565</v>
      </c>
      <c r="CW25" s="80"/>
      <c r="CX25" s="80"/>
      <c r="CY25" s="80"/>
      <c r="CZ25" s="80"/>
      <c r="DA25" s="80" t="s">
        <v>566</v>
      </c>
      <c r="DB25" s="80"/>
      <c r="DC25" s="81" t="s">
        <v>583</v>
      </c>
      <c r="DD25" s="81"/>
      <c r="DE25" s="81" t="s">
        <v>592</v>
      </c>
      <c r="DF25" s="81" t="s">
        <v>587</v>
      </c>
      <c r="DG25" s="81"/>
      <c r="DH25" s="81" t="s">
        <v>575</v>
      </c>
      <c r="DI25" s="81"/>
      <c r="DJ25" s="82" t="s">
        <v>620</v>
      </c>
      <c r="DK25" s="82"/>
      <c r="DL25" s="82" t="s">
        <v>598</v>
      </c>
      <c r="DM25" s="82"/>
      <c r="DN25" s="82"/>
      <c r="DO25" s="82"/>
      <c r="DP25" s="82"/>
      <c r="DQ25" s="82"/>
      <c r="DR25" s="82"/>
      <c r="DS25" s="82"/>
      <c r="DT25" s="82"/>
      <c r="DU25" s="82" t="s">
        <v>607</v>
      </c>
      <c r="DV25" s="82"/>
      <c r="DW25" s="82"/>
      <c r="DX25" s="80" t="s">
        <v>589</v>
      </c>
      <c r="DY25" s="80"/>
      <c r="DZ25" s="80" t="s">
        <v>621</v>
      </c>
      <c r="EA25" s="80"/>
      <c r="EB25" s="80" t="s">
        <v>577</v>
      </c>
      <c r="EC25" s="80" t="s">
        <v>597</v>
      </c>
      <c r="ED25" s="80"/>
      <c r="EE25" s="81" t="s">
        <v>609</v>
      </c>
      <c r="EF25" s="81"/>
      <c r="EG25" s="81" t="s">
        <v>565</v>
      </c>
      <c r="EH25" s="81"/>
      <c r="EI25" s="81" t="s">
        <v>605</v>
      </c>
      <c r="EJ25" s="81"/>
      <c r="EK25" s="81" t="s">
        <v>580</v>
      </c>
      <c r="EL25" s="80"/>
      <c r="EM25" s="80" t="s">
        <v>611</v>
      </c>
      <c r="EN25" s="80"/>
      <c r="EO25" s="80" t="s">
        <v>568</v>
      </c>
      <c r="EP25" s="80"/>
      <c r="EQ25" s="80"/>
      <c r="ER25" s="80" t="s">
        <v>612</v>
      </c>
      <c r="ES25" s="81"/>
      <c r="ET25" s="81" t="s">
        <v>562</v>
      </c>
      <c r="EU25" s="81"/>
      <c r="EV25" s="81" t="s">
        <v>613</v>
      </c>
      <c r="EW25" s="81"/>
      <c r="EX25" s="81" t="s">
        <v>569</v>
      </c>
      <c r="EY25" s="81"/>
      <c r="EZ25" s="80" t="s">
        <v>589</v>
      </c>
      <c r="FA25" s="80"/>
      <c r="FB25" s="80" t="s">
        <v>585</v>
      </c>
      <c r="FC25" s="80"/>
      <c r="FD25" s="80" t="s">
        <v>582</v>
      </c>
      <c r="FE25" s="80"/>
      <c r="FF25" s="80" t="s">
        <v>619</v>
      </c>
      <c r="FG25" s="81"/>
      <c r="FH25" s="81"/>
      <c r="FI25" s="81" t="s">
        <v>612</v>
      </c>
      <c r="FJ25" s="81"/>
      <c r="FK25" s="81" t="s">
        <v>592</v>
      </c>
      <c r="FL25" s="81"/>
      <c r="FM25" s="81" t="s">
        <v>608</v>
      </c>
      <c r="FN25" s="80"/>
      <c r="FO25" s="80"/>
      <c r="FP25" s="80" t="s">
        <v>587</v>
      </c>
      <c r="FQ25" s="80"/>
      <c r="FR25" s="80" t="s">
        <v>604</v>
      </c>
      <c r="FS25" s="80" t="s">
        <v>579</v>
      </c>
      <c r="FT25" s="80"/>
      <c r="FU25" s="83" t="s">
        <v>584</v>
      </c>
      <c r="FV25" s="83"/>
      <c r="FW25" s="83" t="s">
        <v>576</v>
      </c>
    </row>
    <row r="26" spans="1:179">
      <c r="A26" s="79" t="s">
        <v>201</v>
      </c>
      <c r="B26" s="80"/>
      <c r="C26" s="80"/>
      <c r="D26" s="80" t="s">
        <v>604</v>
      </c>
      <c r="E26" s="80"/>
      <c r="F26" s="80"/>
      <c r="G26" s="80" t="s">
        <v>562</v>
      </c>
      <c r="H26" s="80"/>
      <c r="I26" s="81" t="s">
        <v>621</v>
      </c>
      <c r="J26" s="81"/>
      <c r="K26" s="81" t="s">
        <v>577</v>
      </c>
      <c r="L26" s="81"/>
      <c r="M26" s="81"/>
      <c r="N26" s="81" t="s">
        <v>570</v>
      </c>
      <c r="O26" s="81"/>
      <c r="P26" s="80" t="s">
        <v>572</v>
      </c>
      <c r="Q26" s="80"/>
      <c r="R26" s="80" t="s">
        <v>618</v>
      </c>
      <c r="S26" s="80"/>
      <c r="T26" s="80" t="s">
        <v>571</v>
      </c>
      <c r="U26" s="80"/>
      <c r="V26" s="80" t="s">
        <v>612</v>
      </c>
      <c r="W26" s="81"/>
      <c r="X26" s="81" t="s">
        <v>613</v>
      </c>
      <c r="Y26" s="81" t="s">
        <v>591</v>
      </c>
      <c r="Z26" s="81"/>
      <c r="AA26" s="81" t="s">
        <v>600</v>
      </c>
      <c r="AB26" s="81"/>
      <c r="AC26" s="81" t="s">
        <v>590</v>
      </c>
      <c r="AD26" s="80"/>
      <c r="AE26" s="80"/>
      <c r="AF26" s="80" t="s">
        <v>606</v>
      </c>
      <c r="AG26" s="80"/>
      <c r="AH26" s="80" t="s">
        <v>567</v>
      </c>
      <c r="AI26" s="80" t="s">
        <v>566</v>
      </c>
      <c r="AJ26" s="80"/>
      <c r="AK26" s="81" t="s">
        <v>602</v>
      </c>
      <c r="AL26" s="81"/>
      <c r="AM26" s="81" t="s">
        <v>569</v>
      </c>
      <c r="AN26" s="81"/>
      <c r="AO26" s="81" t="s">
        <v>587</v>
      </c>
      <c r="AP26" s="81" t="s">
        <v>585</v>
      </c>
      <c r="AQ26" s="81"/>
      <c r="AR26" s="80" t="s">
        <v>588</v>
      </c>
      <c r="AS26" s="80"/>
      <c r="AT26" s="80"/>
      <c r="AU26" s="80" t="s">
        <v>595</v>
      </c>
      <c r="AV26" s="80"/>
      <c r="AW26" s="80" t="s">
        <v>613</v>
      </c>
      <c r="AX26" s="80" t="s">
        <v>576</v>
      </c>
      <c r="AY26" s="81"/>
      <c r="AZ26" s="81" t="s">
        <v>593</v>
      </c>
      <c r="BA26" s="81"/>
      <c r="BB26" s="81" t="s">
        <v>592</v>
      </c>
      <c r="BC26" s="81" t="s">
        <v>619</v>
      </c>
      <c r="BD26" s="81"/>
      <c r="BE26" s="81" t="s">
        <v>589</v>
      </c>
      <c r="BF26" s="80"/>
      <c r="BG26" s="80"/>
      <c r="BH26" s="80" t="s">
        <v>566</v>
      </c>
      <c r="BI26" s="80"/>
      <c r="BJ26" s="80" t="s">
        <v>607</v>
      </c>
      <c r="BK26" s="80" t="s">
        <v>601</v>
      </c>
      <c r="BL26" s="80"/>
      <c r="BM26" s="81" t="s">
        <v>562</v>
      </c>
      <c r="BN26" s="81"/>
      <c r="BO26" s="81" t="s">
        <v>575</v>
      </c>
      <c r="BP26" s="81"/>
      <c r="BQ26" s="81" t="s">
        <v>591</v>
      </c>
      <c r="BR26" s="81" t="s">
        <v>565</v>
      </c>
      <c r="BS26" s="81"/>
      <c r="BT26" s="80"/>
      <c r="BU26" s="80" t="s">
        <v>579</v>
      </c>
      <c r="BV26" s="80"/>
      <c r="BW26" s="80"/>
      <c r="BX26" s="80" t="s">
        <v>580</v>
      </c>
      <c r="BY26" s="80"/>
      <c r="BZ26" s="80"/>
      <c r="CA26" s="81" t="s">
        <v>615</v>
      </c>
      <c r="CB26" s="81"/>
      <c r="CC26" s="81"/>
      <c r="CD26" s="81" t="s">
        <v>604</v>
      </c>
      <c r="CE26" s="81"/>
      <c r="CF26" s="81" t="s">
        <v>603</v>
      </c>
      <c r="CG26" s="81"/>
      <c r="CH26" s="80" t="s">
        <v>579</v>
      </c>
      <c r="CI26" s="80"/>
      <c r="CJ26" s="80" t="s">
        <v>582</v>
      </c>
      <c r="CK26" s="80"/>
      <c r="CL26" s="80" t="s">
        <v>568</v>
      </c>
      <c r="CM26" s="80" t="s">
        <v>587</v>
      </c>
      <c r="CN26" s="80"/>
      <c r="CO26" s="81" t="s">
        <v>589</v>
      </c>
      <c r="CP26" s="81"/>
      <c r="CQ26" s="81" t="s">
        <v>602</v>
      </c>
      <c r="CR26" s="81"/>
      <c r="CS26" s="81"/>
      <c r="CT26" s="81" t="s">
        <v>586</v>
      </c>
      <c r="CU26" s="81"/>
      <c r="CV26" s="80"/>
      <c r="CW26" s="80" t="s">
        <v>581</v>
      </c>
      <c r="CX26" s="80"/>
      <c r="CY26" s="80" t="s">
        <v>621</v>
      </c>
      <c r="CZ26" s="80"/>
      <c r="DA26" s="80" t="s">
        <v>592</v>
      </c>
      <c r="DB26" s="80"/>
      <c r="DC26" s="81" t="s">
        <v>565</v>
      </c>
      <c r="DD26" s="81"/>
      <c r="DE26" s="81"/>
      <c r="DF26" s="81" t="s">
        <v>578</v>
      </c>
      <c r="DG26" s="81" t="s">
        <v>610</v>
      </c>
      <c r="DH26" s="81"/>
      <c r="DI26" s="81" t="s">
        <v>568</v>
      </c>
      <c r="DJ26" s="82"/>
      <c r="DK26" s="82" t="s">
        <v>599</v>
      </c>
      <c r="DL26" s="82"/>
      <c r="DM26" s="82"/>
      <c r="DN26" s="82"/>
      <c r="DO26" s="82"/>
      <c r="DP26" s="82"/>
      <c r="DQ26" s="82"/>
      <c r="DR26" s="82"/>
      <c r="DS26" s="82"/>
      <c r="DT26" s="82" t="s">
        <v>582</v>
      </c>
      <c r="DU26" s="82"/>
      <c r="DV26" s="82" t="s">
        <v>578</v>
      </c>
      <c r="DW26" s="82"/>
      <c r="DX26" s="80" t="s">
        <v>620</v>
      </c>
      <c r="DY26" s="80"/>
      <c r="DZ26" s="80" t="s">
        <v>590</v>
      </c>
      <c r="EA26" s="80" t="s">
        <v>606</v>
      </c>
      <c r="EB26" s="80"/>
      <c r="EC26" s="80"/>
      <c r="ED26" s="80" t="s">
        <v>573</v>
      </c>
      <c r="EE26" s="81"/>
      <c r="EF26" s="81" t="s">
        <v>574</v>
      </c>
      <c r="EG26" s="81"/>
      <c r="EH26" s="81" t="s">
        <v>617</v>
      </c>
      <c r="EI26" s="81"/>
      <c r="EJ26" s="81" t="s">
        <v>616</v>
      </c>
      <c r="EK26" s="81"/>
      <c r="EL26" s="80"/>
      <c r="EM26" s="80"/>
      <c r="EN26" s="80" t="s">
        <v>598</v>
      </c>
      <c r="EO26" s="80"/>
      <c r="EP26" s="80"/>
      <c r="EQ26" s="80" t="s">
        <v>585</v>
      </c>
      <c r="ER26" s="80"/>
      <c r="ES26" s="81" t="s">
        <v>601</v>
      </c>
      <c r="ET26" s="81"/>
      <c r="EU26" s="81" t="s">
        <v>576</v>
      </c>
      <c r="EV26" s="81" t="s">
        <v>583</v>
      </c>
      <c r="EW26" s="81"/>
      <c r="EX26" s="81" t="s">
        <v>620</v>
      </c>
      <c r="EY26" s="81"/>
      <c r="EZ26" s="80"/>
      <c r="FA26" s="80" t="s">
        <v>605</v>
      </c>
      <c r="FB26" s="80"/>
      <c r="FC26" s="80" t="s">
        <v>584</v>
      </c>
      <c r="FD26" s="80" t="s">
        <v>596</v>
      </c>
      <c r="FE26" s="80"/>
      <c r="FF26" s="80" t="s">
        <v>609</v>
      </c>
      <c r="FG26" s="81"/>
      <c r="FH26" s="81" t="s">
        <v>594</v>
      </c>
      <c r="FI26" s="81"/>
      <c r="FJ26" s="81"/>
      <c r="FK26" s="81" t="s">
        <v>595</v>
      </c>
      <c r="FL26" s="81"/>
      <c r="FM26" s="81" t="s">
        <v>563</v>
      </c>
      <c r="FN26" s="80"/>
      <c r="FO26" s="80" t="s">
        <v>575</v>
      </c>
      <c r="FP26" s="80"/>
      <c r="FQ26" s="80"/>
      <c r="FR26" s="80" t="s">
        <v>597</v>
      </c>
      <c r="FS26" s="80" t="s">
        <v>614</v>
      </c>
      <c r="FT26" s="80"/>
      <c r="FU26" s="83" t="s">
        <v>611</v>
      </c>
      <c r="FV26" s="83"/>
      <c r="FW26" s="83" t="s">
        <v>612</v>
      </c>
    </row>
    <row r="27" spans="1:179">
      <c r="A27" s="79" t="s">
        <v>230</v>
      </c>
      <c r="B27" s="80"/>
      <c r="C27" s="80"/>
      <c r="D27" s="80" t="s">
        <v>569</v>
      </c>
      <c r="E27" s="80"/>
      <c r="F27" s="80" t="s">
        <v>571</v>
      </c>
      <c r="G27" s="80" t="s">
        <v>599</v>
      </c>
      <c r="H27" s="80"/>
      <c r="I27" s="81" t="s">
        <v>588</v>
      </c>
      <c r="J27" s="81"/>
      <c r="K27" s="81" t="s">
        <v>616</v>
      </c>
      <c r="L27" s="81"/>
      <c r="M27" s="81"/>
      <c r="N27" s="81" t="s">
        <v>611</v>
      </c>
      <c r="O27" s="81"/>
      <c r="P27" s="80" t="s">
        <v>564</v>
      </c>
      <c r="Q27" s="80"/>
      <c r="R27" s="80"/>
      <c r="S27" s="80" t="s">
        <v>566</v>
      </c>
      <c r="T27" s="80"/>
      <c r="U27" s="80"/>
      <c r="V27" s="80" t="s">
        <v>582</v>
      </c>
      <c r="W27" s="81"/>
      <c r="X27" s="81" t="s">
        <v>586</v>
      </c>
      <c r="Y27" s="81"/>
      <c r="Z27" s="81" t="s">
        <v>620</v>
      </c>
      <c r="AA27" s="81"/>
      <c r="AB27" s="81"/>
      <c r="AC27" s="81"/>
      <c r="AD27" s="80" t="s">
        <v>604</v>
      </c>
      <c r="AE27" s="80" t="s">
        <v>617</v>
      </c>
      <c r="AF27" s="80"/>
      <c r="AG27" s="80" t="s">
        <v>619</v>
      </c>
      <c r="AH27" s="80"/>
      <c r="AI27" s="80" t="s">
        <v>605</v>
      </c>
      <c r="AJ27" s="80" t="s">
        <v>571</v>
      </c>
      <c r="AK27" s="81"/>
      <c r="AL27" s="81"/>
      <c r="AM27" s="81" t="s">
        <v>601</v>
      </c>
      <c r="AN27" s="81"/>
      <c r="AO27" s="81" t="s">
        <v>607</v>
      </c>
      <c r="AP27" s="81"/>
      <c r="AQ27" s="81"/>
      <c r="AR27" s="80" t="s">
        <v>583</v>
      </c>
      <c r="AS27" s="80"/>
      <c r="AT27" s="80" t="s">
        <v>591</v>
      </c>
      <c r="AU27" s="80" t="s">
        <v>614</v>
      </c>
      <c r="AV27" s="80"/>
      <c r="AW27" s="80" t="s">
        <v>580</v>
      </c>
      <c r="AX27" s="80"/>
      <c r="AY27" s="81" t="s">
        <v>577</v>
      </c>
      <c r="AZ27" s="81"/>
      <c r="BA27" s="81" t="s">
        <v>610</v>
      </c>
      <c r="BB27" s="81"/>
      <c r="BC27" s="81"/>
      <c r="BD27" s="81" t="s">
        <v>567</v>
      </c>
      <c r="BE27" s="81"/>
      <c r="BF27" s="80" t="s">
        <v>609</v>
      </c>
      <c r="BG27" s="80" t="s">
        <v>573</v>
      </c>
      <c r="BH27" s="80"/>
      <c r="BI27" s="80"/>
      <c r="BJ27" s="80" t="s">
        <v>600</v>
      </c>
      <c r="BK27" s="80" t="s">
        <v>594</v>
      </c>
      <c r="BL27" s="80"/>
      <c r="BM27" s="81" t="s">
        <v>593</v>
      </c>
      <c r="BN27" s="81"/>
      <c r="BO27" s="81"/>
      <c r="BP27" s="81"/>
      <c r="BQ27" s="81" t="s">
        <v>616</v>
      </c>
      <c r="BR27" s="81" t="s">
        <v>617</v>
      </c>
      <c r="BS27" s="81"/>
      <c r="BT27" s="80" t="s">
        <v>570</v>
      </c>
      <c r="BU27" s="80"/>
      <c r="BV27" s="80" t="s">
        <v>574</v>
      </c>
      <c r="BW27" s="80"/>
      <c r="BX27" s="80" t="s">
        <v>606</v>
      </c>
      <c r="BY27" s="80"/>
      <c r="BZ27" s="80" t="s">
        <v>610</v>
      </c>
      <c r="CA27" s="81"/>
      <c r="CB27" s="81" t="s">
        <v>569</v>
      </c>
      <c r="CC27" s="81"/>
      <c r="CD27" s="81"/>
      <c r="CE27" s="81" t="s">
        <v>563</v>
      </c>
      <c r="CF27" s="81"/>
      <c r="CG27" s="81" t="s">
        <v>612</v>
      </c>
      <c r="CH27" s="80"/>
      <c r="CI27" s="80" t="s">
        <v>621</v>
      </c>
      <c r="CJ27" s="80"/>
      <c r="CK27" s="80" t="s">
        <v>587</v>
      </c>
      <c r="CL27" s="80"/>
      <c r="CM27" s="80" t="s">
        <v>592</v>
      </c>
      <c r="CN27" s="80"/>
      <c r="CO27" s="81" t="s">
        <v>567</v>
      </c>
      <c r="CP27" s="81"/>
      <c r="CQ27" s="81" t="s">
        <v>585</v>
      </c>
      <c r="CR27" s="81"/>
      <c r="CS27" s="81" t="s">
        <v>597</v>
      </c>
      <c r="CT27" s="81"/>
      <c r="CU27" s="81" t="s">
        <v>611</v>
      </c>
      <c r="CV27" s="80"/>
      <c r="CW27" s="80" t="s">
        <v>603</v>
      </c>
      <c r="CX27" s="80"/>
      <c r="CY27" s="80"/>
      <c r="CZ27" s="80" t="s">
        <v>615</v>
      </c>
      <c r="DA27" s="80"/>
      <c r="DB27" s="80" t="s">
        <v>578</v>
      </c>
      <c r="DC27" s="81" t="s">
        <v>589</v>
      </c>
      <c r="DD27" s="81"/>
      <c r="DE27" s="81" t="s">
        <v>562</v>
      </c>
      <c r="DF27" s="81"/>
      <c r="DG27" s="81" t="s">
        <v>594</v>
      </c>
      <c r="DH27" s="81" t="s">
        <v>593</v>
      </c>
      <c r="DI27" s="81"/>
      <c r="DJ27" s="82" t="s">
        <v>574</v>
      </c>
      <c r="DK27" s="82"/>
      <c r="DL27" s="82" t="s">
        <v>581</v>
      </c>
      <c r="DM27" s="82"/>
      <c r="DN27" s="82"/>
      <c r="DO27" s="82"/>
      <c r="DP27" s="82"/>
      <c r="DQ27" s="82"/>
      <c r="DR27" s="82"/>
      <c r="DS27" s="82"/>
      <c r="DT27" s="82"/>
      <c r="DU27" s="82" t="s">
        <v>602</v>
      </c>
      <c r="DV27" s="82" t="s">
        <v>584</v>
      </c>
      <c r="DW27" s="82"/>
      <c r="DX27" s="80" t="s">
        <v>618</v>
      </c>
      <c r="DY27" s="80"/>
      <c r="DZ27" s="80" t="s">
        <v>599</v>
      </c>
      <c r="EA27" s="80"/>
      <c r="EB27" s="80" t="s">
        <v>598</v>
      </c>
      <c r="EC27" s="80" t="s">
        <v>581</v>
      </c>
      <c r="ED27" s="80"/>
      <c r="EE27" s="81"/>
      <c r="EF27" s="81" t="s">
        <v>576</v>
      </c>
      <c r="EG27" s="81"/>
      <c r="EH27" s="81"/>
      <c r="EI27" s="81" t="s">
        <v>609</v>
      </c>
      <c r="EJ27" s="81"/>
      <c r="EK27" s="81" t="s">
        <v>575</v>
      </c>
      <c r="EL27" s="80"/>
      <c r="EM27" s="80" t="s">
        <v>570</v>
      </c>
      <c r="EN27" s="80"/>
      <c r="EO27" s="80"/>
      <c r="EP27" s="80"/>
      <c r="EQ27" s="80" t="s">
        <v>603</v>
      </c>
      <c r="ER27" s="80"/>
      <c r="ES27" s="81"/>
      <c r="ET27" s="81"/>
      <c r="EU27" s="81" t="s">
        <v>577</v>
      </c>
      <c r="EV27" s="81"/>
      <c r="EW27" s="81" t="s">
        <v>573</v>
      </c>
      <c r="EX27" s="81" t="s">
        <v>607</v>
      </c>
      <c r="EY27" s="81"/>
      <c r="EZ27" s="80" t="s">
        <v>579</v>
      </c>
      <c r="FA27" s="80"/>
      <c r="FB27" s="80" t="s">
        <v>595</v>
      </c>
      <c r="FC27" s="80"/>
      <c r="FD27" s="80" t="s">
        <v>608</v>
      </c>
      <c r="FE27" s="80" t="s">
        <v>565</v>
      </c>
      <c r="FF27" s="80"/>
      <c r="FG27" s="81" t="s">
        <v>590</v>
      </c>
      <c r="FH27" s="81"/>
      <c r="FI27" s="81" t="s">
        <v>600</v>
      </c>
      <c r="FJ27" s="81"/>
      <c r="FK27" s="81" t="s">
        <v>613</v>
      </c>
      <c r="FL27" s="81"/>
      <c r="FM27" s="81" t="s">
        <v>568</v>
      </c>
      <c r="FN27" s="80"/>
      <c r="FO27" s="80" t="s">
        <v>605</v>
      </c>
      <c r="FP27" s="80"/>
      <c r="FQ27" s="80" t="s">
        <v>614</v>
      </c>
      <c r="FR27" s="80"/>
      <c r="FS27" s="80" t="s">
        <v>588</v>
      </c>
      <c r="FT27" s="80"/>
      <c r="FU27" s="83" t="s">
        <v>580</v>
      </c>
      <c r="FV27" s="83"/>
      <c r="FW27" s="83" t="s">
        <v>586</v>
      </c>
    </row>
    <row r="28" spans="1:179">
      <c r="A28" s="79" t="s">
        <v>209</v>
      </c>
      <c r="B28" s="80"/>
      <c r="C28" s="80"/>
      <c r="D28" s="80" t="s">
        <v>593</v>
      </c>
      <c r="E28" s="80"/>
      <c r="F28" s="80" t="s">
        <v>617</v>
      </c>
      <c r="G28" s="80"/>
      <c r="H28" s="80" t="s">
        <v>603</v>
      </c>
      <c r="I28" s="81" t="s">
        <v>597</v>
      </c>
      <c r="J28" s="81"/>
      <c r="K28" s="81" t="s">
        <v>600</v>
      </c>
      <c r="L28" s="81"/>
      <c r="M28" s="81"/>
      <c r="N28" s="81" t="s">
        <v>564</v>
      </c>
      <c r="O28" s="81"/>
      <c r="P28" s="80" t="s">
        <v>616</v>
      </c>
      <c r="Q28" s="80"/>
      <c r="R28" s="80"/>
      <c r="S28" s="80" t="s">
        <v>573</v>
      </c>
      <c r="T28" s="80" t="s">
        <v>582</v>
      </c>
      <c r="U28" s="80"/>
      <c r="V28" s="80" t="s">
        <v>620</v>
      </c>
      <c r="W28" s="81"/>
      <c r="X28" s="81" t="s">
        <v>617</v>
      </c>
      <c r="Y28" s="81" t="s">
        <v>576</v>
      </c>
      <c r="Z28" s="81"/>
      <c r="AA28" s="81"/>
      <c r="AB28" s="81" t="s">
        <v>597</v>
      </c>
      <c r="AC28" s="81"/>
      <c r="AD28" s="80" t="s">
        <v>580</v>
      </c>
      <c r="AE28" s="80" t="s">
        <v>614</v>
      </c>
      <c r="AF28" s="80"/>
      <c r="AG28" s="80" t="s">
        <v>578</v>
      </c>
      <c r="AH28" s="80"/>
      <c r="AI28" s="80" t="s">
        <v>590</v>
      </c>
      <c r="AJ28" s="80"/>
      <c r="AK28" s="81" t="s">
        <v>584</v>
      </c>
      <c r="AL28" s="81"/>
      <c r="AM28" s="81" t="s">
        <v>615</v>
      </c>
      <c r="AN28" s="81"/>
      <c r="AO28" s="81" t="s">
        <v>568</v>
      </c>
      <c r="AP28" s="81"/>
      <c r="AQ28" s="81"/>
      <c r="AR28" s="80"/>
      <c r="AS28" s="80" t="s">
        <v>573</v>
      </c>
      <c r="AT28" s="80" t="s">
        <v>569</v>
      </c>
      <c r="AU28" s="80"/>
      <c r="AV28" s="80" t="s">
        <v>586</v>
      </c>
      <c r="AW28" s="80"/>
      <c r="AX28" s="80" t="s">
        <v>615</v>
      </c>
      <c r="AY28" s="81"/>
      <c r="AZ28" s="81" t="s">
        <v>606</v>
      </c>
      <c r="BA28" s="81"/>
      <c r="BB28" s="81" t="s">
        <v>571</v>
      </c>
      <c r="BC28" s="81"/>
      <c r="BD28" s="81"/>
      <c r="BE28" s="81"/>
      <c r="BF28" s="80" t="s">
        <v>572</v>
      </c>
      <c r="BG28" s="80"/>
      <c r="BH28" s="80" t="s">
        <v>581</v>
      </c>
      <c r="BI28" s="80"/>
      <c r="BJ28" s="80" t="s">
        <v>563</v>
      </c>
      <c r="BK28" s="80" t="s">
        <v>577</v>
      </c>
      <c r="BL28" s="80"/>
      <c r="BM28" s="81" t="s">
        <v>619</v>
      </c>
      <c r="BN28" s="81"/>
      <c r="BO28" s="81"/>
      <c r="BP28" s="81" t="s">
        <v>618</v>
      </c>
      <c r="BQ28" s="81"/>
      <c r="BR28" s="81" t="s">
        <v>586</v>
      </c>
      <c r="BS28" s="81"/>
      <c r="BT28" s="80" t="s">
        <v>596</v>
      </c>
      <c r="BU28" s="80"/>
      <c r="BV28" s="80" t="s">
        <v>587</v>
      </c>
      <c r="BW28" s="80"/>
      <c r="BX28" s="80" t="s">
        <v>595</v>
      </c>
      <c r="BY28" s="80"/>
      <c r="BZ28" s="80" t="s">
        <v>565</v>
      </c>
      <c r="CA28" s="81"/>
      <c r="CB28" s="81" t="s">
        <v>602</v>
      </c>
      <c r="CC28" s="81"/>
      <c r="CD28" s="81" t="s">
        <v>605</v>
      </c>
      <c r="CE28" s="81"/>
      <c r="CF28" s="81" t="s">
        <v>575</v>
      </c>
      <c r="CG28" s="81"/>
      <c r="CH28" s="80" t="s">
        <v>612</v>
      </c>
      <c r="CI28" s="80"/>
      <c r="CJ28" s="80" t="s">
        <v>580</v>
      </c>
      <c r="CK28" s="80"/>
      <c r="CL28" s="80" t="s">
        <v>603</v>
      </c>
      <c r="CM28" s="80" t="s">
        <v>600</v>
      </c>
      <c r="CN28" s="80"/>
      <c r="CO28" s="81" t="s">
        <v>581</v>
      </c>
      <c r="CP28" s="81"/>
      <c r="CQ28" s="81"/>
      <c r="CR28" s="81" t="s">
        <v>607</v>
      </c>
      <c r="CS28" s="81"/>
      <c r="CT28" s="81"/>
      <c r="CU28" s="81" t="s">
        <v>585</v>
      </c>
      <c r="CV28" s="80"/>
      <c r="CW28" s="80"/>
      <c r="CX28" s="80" t="s">
        <v>594</v>
      </c>
      <c r="CY28" s="80"/>
      <c r="CZ28" s="80" t="s">
        <v>574</v>
      </c>
      <c r="DA28" s="80" t="s">
        <v>588</v>
      </c>
      <c r="DB28" s="80"/>
      <c r="DC28" s="81"/>
      <c r="DD28" s="81" t="s">
        <v>571</v>
      </c>
      <c r="DE28" s="81"/>
      <c r="DF28" s="81" t="s">
        <v>567</v>
      </c>
      <c r="DG28" s="81" t="s">
        <v>618</v>
      </c>
      <c r="DH28" s="81"/>
      <c r="DI28" s="81" t="s">
        <v>566</v>
      </c>
      <c r="DJ28" s="82"/>
      <c r="DK28" s="82" t="s">
        <v>614</v>
      </c>
      <c r="DL28" s="82" t="s">
        <v>611</v>
      </c>
      <c r="DM28" s="82"/>
      <c r="DN28" s="82"/>
      <c r="DO28" s="82"/>
      <c r="DP28" s="82"/>
      <c r="DQ28" s="82"/>
      <c r="DR28" s="82"/>
      <c r="DS28" s="82"/>
      <c r="DT28" s="82"/>
      <c r="DU28" s="82" t="s">
        <v>619</v>
      </c>
      <c r="DV28" s="82"/>
      <c r="DW28" s="82" t="s">
        <v>598</v>
      </c>
      <c r="DX28" s="80"/>
      <c r="DY28" s="80" t="s">
        <v>604</v>
      </c>
      <c r="DZ28" s="80"/>
      <c r="EA28" s="80" t="s">
        <v>579</v>
      </c>
      <c r="EB28" s="80"/>
      <c r="EC28" s="80" t="s">
        <v>621</v>
      </c>
      <c r="ED28" s="80"/>
      <c r="EE28" s="81" t="s">
        <v>591</v>
      </c>
      <c r="EF28" s="81"/>
      <c r="EG28" s="81" t="s">
        <v>601</v>
      </c>
      <c r="EH28" s="81"/>
      <c r="EI28" s="81" t="s">
        <v>572</v>
      </c>
      <c r="EJ28" s="81" t="s">
        <v>569</v>
      </c>
      <c r="EK28" s="81"/>
      <c r="EL28" s="80"/>
      <c r="EM28" s="80" t="s">
        <v>596</v>
      </c>
      <c r="EN28" s="80"/>
      <c r="EO28" s="80" t="s">
        <v>610</v>
      </c>
      <c r="EP28" s="80"/>
      <c r="EQ28" s="80"/>
      <c r="ER28" s="80" t="s">
        <v>594</v>
      </c>
      <c r="ES28" s="81"/>
      <c r="ET28" s="81" t="s">
        <v>577</v>
      </c>
      <c r="EU28" s="81"/>
      <c r="EV28" s="81" t="s">
        <v>607</v>
      </c>
      <c r="EW28" s="81"/>
      <c r="EX28" s="81"/>
      <c r="EY28" s="81" t="s">
        <v>605</v>
      </c>
      <c r="EZ28" s="80"/>
      <c r="FA28" s="80" t="s">
        <v>583</v>
      </c>
      <c r="FB28" s="80" t="s">
        <v>562</v>
      </c>
      <c r="FC28" s="80"/>
      <c r="FD28" s="80" t="s">
        <v>592</v>
      </c>
      <c r="FE28" s="80"/>
      <c r="FF28" s="80" t="s">
        <v>608</v>
      </c>
      <c r="FG28" s="81" t="s">
        <v>589</v>
      </c>
      <c r="FH28" s="81"/>
      <c r="FI28" s="81"/>
      <c r="FJ28" s="81" t="s">
        <v>588</v>
      </c>
      <c r="FK28" s="81"/>
      <c r="FL28" s="81"/>
      <c r="FM28" s="81" t="s">
        <v>610</v>
      </c>
      <c r="FN28" s="80"/>
      <c r="FO28" s="80" t="s">
        <v>613</v>
      </c>
      <c r="FP28" s="80"/>
      <c r="FQ28" s="80" t="s">
        <v>593</v>
      </c>
      <c r="FR28" s="80"/>
      <c r="FS28" s="80"/>
      <c r="FT28" s="80"/>
      <c r="FU28" s="83" t="s">
        <v>616</v>
      </c>
      <c r="FV28" s="83"/>
      <c r="FW28" s="83" t="s">
        <v>599</v>
      </c>
    </row>
    <row r="29" spans="1:179">
      <c r="A29" s="79" t="s">
        <v>273</v>
      </c>
      <c r="B29" s="80"/>
      <c r="C29" s="80"/>
      <c r="D29" s="80" t="s">
        <v>572</v>
      </c>
      <c r="E29" s="80"/>
      <c r="F29" s="80" t="s">
        <v>609</v>
      </c>
      <c r="G29" s="80" t="s">
        <v>618</v>
      </c>
      <c r="H29" s="80"/>
      <c r="I29" s="81" t="s">
        <v>593</v>
      </c>
      <c r="J29" s="81"/>
      <c r="K29" s="81" t="s">
        <v>612</v>
      </c>
      <c r="L29" s="81"/>
      <c r="M29" s="81" t="s">
        <v>588</v>
      </c>
      <c r="N29" s="81"/>
      <c r="O29" s="81" t="s">
        <v>587</v>
      </c>
      <c r="P29" s="80"/>
      <c r="Q29" s="80"/>
      <c r="R29" s="80" t="s">
        <v>602</v>
      </c>
      <c r="S29" s="80"/>
      <c r="T29" s="80" t="s">
        <v>621</v>
      </c>
      <c r="U29" s="80"/>
      <c r="V29" s="80"/>
      <c r="W29" s="81"/>
      <c r="X29" s="81" t="s">
        <v>609</v>
      </c>
      <c r="Y29" s="81"/>
      <c r="Z29" s="81"/>
      <c r="AA29" s="81" t="s">
        <v>574</v>
      </c>
      <c r="AB29" s="81"/>
      <c r="AC29" s="81" t="s">
        <v>604</v>
      </c>
      <c r="AD29" s="80"/>
      <c r="AE29" s="80" t="s">
        <v>596</v>
      </c>
      <c r="AF29" s="80"/>
      <c r="AG29" s="80"/>
      <c r="AH29" s="80" t="s">
        <v>589</v>
      </c>
      <c r="AI29" s="80"/>
      <c r="AJ29" s="80" t="s">
        <v>595</v>
      </c>
      <c r="AK29" s="81" t="s">
        <v>592</v>
      </c>
      <c r="AL29" s="81"/>
      <c r="AM29" s="81" t="s">
        <v>608</v>
      </c>
      <c r="AN29" s="81"/>
      <c r="AO29" s="81"/>
      <c r="AP29" s="81" t="s">
        <v>593</v>
      </c>
      <c r="AQ29" s="81"/>
      <c r="AR29" s="80" t="s">
        <v>568</v>
      </c>
      <c r="AS29" s="80"/>
      <c r="AT29" s="80" t="s">
        <v>570</v>
      </c>
      <c r="AU29" s="80"/>
      <c r="AV29" s="80" t="s">
        <v>597</v>
      </c>
      <c r="AW29" s="80"/>
      <c r="AX29" s="80" t="s">
        <v>603</v>
      </c>
      <c r="AY29" s="81" t="s">
        <v>580</v>
      </c>
      <c r="AZ29" s="81"/>
      <c r="BA29" s="81" t="s">
        <v>615</v>
      </c>
      <c r="BB29" s="81"/>
      <c r="BC29" s="81" t="s">
        <v>606</v>
      </c>
      <c r="BD29" s="81"/>
      <c r="BE29" s="81" t="s">
        <v>616</v>
      </c>
      <c r="BF29" s="80"/>
      <c r="BG29" s="80" t="s">
        <v>583</v>
      </c>
      <c r="BH29" s="80"/>
      <c r="BI29" s="80"/>
      <c r="BJ29" s="80" t="s">
        <v>579</v>
      </c>
      <c r="BK29" s="80" t="s">
        <v>611</v>
      </c>
      <c r="BL29" s="80"/>
      <c r="BM29" s="81" t="s">
        <v>594</v>
      </c>
      <c r="BN29" s="81"/>
      <c r="BO29" s="81"/>
      <c r="BP29" s="81" t="s">
        <v>577</v>
      </c>
      <c r="BQ29" s="81"/>
      <c r="BR29" s="81" t="s">
        <v>596</v>
      </c>
      <c r="BS29" s="81" t="s">
        <v>571</v>
      </c>
      <c r="BT29" s="80"/>
      <c r="BU29" s="80" t="s">
        <v>599</v>
      </c>
      <c r="BV29" s="80"/>
      <c r="BW29" s="80" t="s">
        <v>610</v>
      </c>
      <c r="BX29" s="80"/>
      <c r="BY29" s="80" t="s">
        <v>619</v>
      </c>
      <c r="BZ29" s="80"/>
      <c r="CA29" s="81" t="s">
        <v>581</v>
      </c>
      <c r="CB29" s="81" t="s">
        <v>572</v>
      </c>
      <c r="CC29" s="81"/>
      <c r="CD29" s="81"/>
      <c r="CE29" s="81" t="s">
        <v>575</v>
      </c>
      <c r="CF29" s="81"/>
      <c r="CG29" s="81"/>
      <c r="CH29" s="80" t="s">
        <v>563</v>
      </c>
      <c r="CI29" s="80"/>
      <c r="CJ29" s="80" t="s">
        <v>607</v>
      </c>
      <c r="CK29" s="80"/>
      <c r="CL29" s="80"/>
      <c r="CM29" s="80" t="s">
        <v>618</v>
      </c>
      <c r="CN29" s="80"/>
      <c r="CO29" s="81" t="s">
        <v>565</v>
      </c>
      <c r="CP29" s="81"/>
      <c r="CQ29" s="81" t="s">
        <v>562</v>
      </c>
      <c r="CR29" s="81"/>
      <c r="CS29" s="81" t="s">
        <v>584</v>
      </c>
      <c r="CT29" s="81"/>
      <c r="CU29" s="81"/>
      <c r="CV29" s="80" t="s">
        <v>605</v>
      </c>
      <c r="CW29" s="80"/>
      <c r="CX29" s="80" t="s">
        <v>615</v>
      </c>
      <c r="CY29" s="80" t="s">
        <v>573</v>
      </c>
      <c r="CZ29" s="80"/>
      <c r="DA29" s="80" t="s">
        <v>586</v>
      </c>
      <c r="DB29" s="80"/>
      <c r="DC29" s="81" t="s">
        <v>577</v>
      </c>
      <c r="DD29" s="81"/>
      <c r="DE29" s="81"/>
      <c r="DF29" s="81"/>
      <c r="DG29" s="81" t="s">
        <v>566</v>
      </c>
      <c r="DH29" s="81" t="s">
        <v>567</v>
      </c>
      <c r="DI29" s="81"/>
      <c r="DJ29" s="82" t="s">
        <v>578</v>
      </c>
      <c r="DK29" s="82"/>
      <c r="DL29" s="82" t="s">
        <v>603</v>
      </c>
      <c r="DM29" s="82"/>
      <c r="DN29" s="82"/>
      <c r="DO29" s="82"/>
      <c r="DP29" s="82"/>
      <c r="DQ29" s="82"/>
      <c r="DR29" s="82"/>
      <c r="DS29" s="82"/>
      <c r="DT29" s="82" t="s">
        <v>610</v>
      </c>
      <c r="DU29" s="82"/>
      <c r="DV29" s="82" t="s">
        <v>573</v>
      </c>
      <c r="DW29" s="82"/>
      <c r="DX29" s="80"/>
      <c r="DY29" s="80" t="s">
        <v>616</v>
      </c>
      <c r="DZ29" s="80"/>
      <c r="EA29" s="80" t="s">
        <v>600</v>
      </c>
      <c r="EB29" s="80" t="s">
        <v>611</v>
      </c>
      <c r="EC29" s="80"/>
      <c r="ED29" s="80" t="s">
        <v>598</v>
      </c>
      <c r="EE29" s="81"/>
      <c r="EF29" s="81" t="s">
        <v>601</v>
      </c>
      <c r="EG29" s="81"/>
      <c r="EH29" s="81" t="s">
        <v>564</v>
      </c>
      <c r="EI29" s="81"/>
      <c r="EJ29" s="81" t="s">
        <v>570</v>
      </c>
      <c r="EK29" s="81" t="s">
        <v>576</v>
      </c>
      <c r="EL29" s="80"/>
      <c r="EM29" s="80"/>
      <c r="EN29" s="80" t="s">
        <v>619</v>
      </c>
      <c r="EO29" s="80"/>
      <c r="EP29" s="80"/>
      <c r="EQ29" s="80"/>
      <c r="ER29" s="80" t="s">
        <v>582</v>
      </c>
      <c r="ES29" s="81"/>
      <c r="ET29" s="81" t="s">
        <v>607</v>
      </c>
      <c r="EU29" s="81"/>
      <c r="EV29" s="81" t="s">
        <v>580</v>
      </c>
      <c r="EW29" s="81"/>
      <c r="EX29" s="81" t="s">
        <v>591</v>
      </c>
      <c r="EY29" s="81" t="s">
        <v>614</v>
      </c>
      <c r="EZ29" s="80"/>
      <c r="FA29" s="80" t="s">
        <v>590</v>
      </c>
      <c r="FB29" s="80"/>
      <c r="FC29" s="80" t="s">
        <v>620</v>
      </c>
      <c r="FD29" s="80"/>
      <c r="FE29" s="80"/>
      <c r="FF29" s="80" t="s">
        <v>585</v>
      </c>
      <c r="FG29" s="81"/>
      <c r="FH29" s="81" t="s">
        <v>567</v>
      </c>
      <c r="FI29" s="81"/>
      <c r="FJ29" s="81" t="s">
        <v>599</v>
      </c>
      <c r="FK29" s="81"/>
      <c r="FL29" s="81" t="s">
        <v>586</v>
      </c>
      <c r="FM29" s="81" t="s">
        <v>613</v>
      </c>
      <c r="FN29" s="80"/>
      <c r="FO29" s="80" t="s">
        <v>597</v>
      </c>
      <c r="FP29" s="80"/>
      <c r="FQ29" s="80" t="s">
        <v>605</v>
      </c>
      <c r="FR29" s="80"/>
      <c r="FS29" s="80" t="s">
        <v>571</v>
      </c>
      <c r="FT29" s="80"/>
      <c r="FU29" s="83"/>
      <c r="FV29" s="83" t="s">
        <v>574</v>
      </c>
      <c r="FW29" s="83" t="s">
        <v>581</v>
      </c>
    </row>
    <row r="30" spans="1:179">
      <c r="A30" s="79" t="s">
        <v>264</v>
      </c>
      <c r="B30" s="80"/>
      <c r="C30" s="80"/>
      <c r="D30" s="80" t="s">
        <v>606</v>
      </c>
      <c r="E30" s="80"/>
      <c r="F30" s="80"/>
      <c r="G30" s="80" t="s">
        <v>601</v>
      </c>
      <c r="H30" s="80"/>
      <c r="I30" s="81" t="s">
        <v>609</v>
      </c>
      <c r="J30" s="81"/>
      <c r="K30" s="81"/>
      <c r="L30" s="81" t="s">
        <v>573</v>
      </c>
      <c r="M30" s="81" t="s">
        <v>616</v>
      </c>
      <c r="N30" s="81"/>
      <c r="O30" s="81" t="s">
        <v>586</v>
      </c>
      <c r="P30" s="80"/>
      <c r="Q30" s="80" t="s">
        <v>621</v>
      </c>
      <c r="R30" s="80"/>
      <c r="S30" s="80" t="s">
        <v>615</v>
      </c>
      <c r="T30" s="80"/>
      <c r="U30" s="80" t="s">
        <v>604</v>
      </c>
      <c r="V30" s="80"/>
      <c r="W30" s="81" t="s">
        <v>610</v>
      </c>
      <c r="X30" s="81"/>
      <c r="Y30" s="81" t="s">
        <v>605</v>
      </c>
      <c r="Z30" s="81"/>
      <c r="AA30" s="81" t="s">
        <v>591</v>
      </c>
      <c r="AB30" s="81" t="s">
        <v>609</v>
      </c>
      <c r="AC30" s="81"/>
      <c r="AD30" s="80" t="s">
        <v>603</v>
      </c>
      <c r="AE30" s="80"/>
      <c r="AF30" s="80" t="s">
        <v>595</v>
      </c>
      <c r="AG30" s="80"/>
      <c r="AH30" s="80" t="s">
        <v>608</v>
      </c>
      <c r="AI30" s="80" t="s">
        <v>587</v>
      </c>
      <c r="AJ30" s="80"/>
      <c r="AK30" s="81" t="s">
        <v>586</v>
      </c>
      <c r="AL30" s="81"/>
      <c r="AM30" s="81" t="s">
        <v>577</v>
      </c>
      <c r="AN30" s="81"/>
      <c r="AO30" s="81" t="s">
        <v>599</v>
      </c>
      <c r="AP30" s="81"/>
      <c r="AQ30" s="81" t="s">
        <v>562</v>
      </c>
      <c r="AR30" s="80"/>
      <c r="AS30" s="80" t="s">
        <v>594</v>
      </c>
      <c r="AT30" s="80"/>
      <c r="AU30" s="80"/>
      <c r="AV30" s="80" t="s">
        <v>569</v>
      </c>
      <c r="AW30" s="80"/>
      <c r="AX30" s="80"/>
      <c r="AY30" s="81"/>
      <c r="AZ30" s="81"/>
      <c r="BA30" s="81"/>
      <c r="BB30" s="81" t="s">
        <v>613</v>
      </c>
      <c r="BC30" s="81"/>
      <c r="BD30" s="81" t="s">
        <v>572</v>
      </c>
      <c r="BE30" s="81"/>
      <c r="BF30" s="80" t="s">
        <v>580</v>
      </c>
      <c r="BG30" s="80"/>
      <c r="BH30" s="80"/>
      <c r="BI30" s="80" t="s">
        <v>582</v>
      </c>
      <c r="BJ30" s="80"/>
      <c r="BK30" s="80" t="s">
        <v>599</v>
      </c>
      <c r="BL30" s="80"/>
      <c r="BM30" s="81" t="s">
        <v>611</v>
      </c>
      <c r="BN30" s="81"/>
      <c r="BO30" s="81"/>
      <c r="BP30" s="81" t="s">
        <v>603</v>
      </c>
      <c r="BQ30" s="81"/>
      <c r="BR30" s="81" t="s">
        <v>598</v>
      </c>
      <c r="BS30" s="81"/>
      <c r="BT30" s="80"/>
      <c r="BU30" s="80" t="s">
        <v>581</v>
      </c>
      <c r="BV30" s="80"/>
      <c r="BW30" s="80" t="s">
        <v>615</v>
      </c>
      <c r="BX30" s="80"/>
      <c r="BY30" s="80" t="s">
        <v>578</v>
      </c>
      <c r="BZ30" s="80"/>
      <c r="CA30" s="81" t="s">
        <v>575</v>
      </c>
      <c r="CB30" s="81"/>
      <c r="CC30" s="81" t="s">
        <v>592</v>
      </c>
      <c r="CD30" s="81"/>
      <c r="CE30" s="81" t="s">
        <v>611</v>
      </c>
      <c r="CF30" s="81"/>
      <c r="CG30" s="81" t="s">
        <v>602</v>
      </c>
      <c r="CH30" s="80"/>
      <c r="CI30" s="80"/>
      <c r="CJ30" s="80" t="s">
        <v>565</v>
      </c>
      <c r="CK30" s="80"/>
      <c r="CL30" s="80" t="s">
        <v>620</v>
      </c>
      <c r="CM30" s="80"/>
      <c r="CN30" s="80" t="s">
        <v>566</v>
      </c>
      <c r="CO30" s="81" t="s">
        <v>572</v>
      </c>
      <c r="CP30" s="81"/>
      <c r="CQ30" s="81" t="s">
        <v>614</v>
      </c>
      <c r="CR30" s="81"/>
      <c r="CS30" s="81" t="s">
        <v>596</v>
      </c>
      <c r="CT30" s="81"/>
      <c r="CU30" s="81" t="s">
        <v>576</v>
      </c>
      <c r="CV30" s="80" t="s">
        <v>584</v>
      </c>
      <c r="CW30" s="80"/>
      <c r="CX30" s="80" t="s">
        <v>588</v>
      </c>
      <c r="CY30" s="80"/>
      <c r="CZ30" s="80"/>
      <c r="DA30" s="80" t="s">
        <v>612</v>
      </c>
      <c r="DB30" s="80"/>
      <c r="DC30" s="81" t="s">
        <v>573</v>
      </c>
      <c r="DD30" s="81" t="s">
        <v>574</v>
      </c>
      <c r="DE30" s="81"/>
      <c r="DF30" s="81" t="s">
        <v>570</v>
      </c>
      <c r="DG30" s="81"/>
      <c r="DH30" s="81" t="s">
        <v>617</v>
      </c>
      <c r="DI30" s="81"/>
      <c r="DJ30" s="82" t="s">
        <v>571</v>
      </c>
      <c r="DK30" s="82" t="s">
        <v>600</v>
      </c>
      <c r="DL30" s="82"/>
      <c r="DM30" s="82"/>
      <c r="DN30" s="82"/>
      <c r="DO30" s="82"/>
      <c r="DP30" s="82"/>
      <c r="DQ30" s="82"/>
      <c r="DR30" s="82"/>
      <c r="DS30" s="82"/>
      <c r="DT30" s="82"/>
      <c r="DU30" s="82" t="s">
        <v>618</v>
      </c>
      <c r="DV30" s="82"/>
      <c r="DW30" s="82" t="s">
        <v>600</v>
      </c>
      <c r="DX30" s="80"/>
      <c r="DY30" s="80"/>
      <c r="DZ30" s="80" t="s">
        <v>607</v>
      </c>
      <c r="EA30" s="80"/>
      <c r="EB30" s="80"/>
      <c r="EC30" s="80" t="s">
        <v>563</v>
      </c>
      <c r="ED30" s="80"/>
      <c r="EE30" s="81" t="s">
        <v>585</v>
      </c>
      <c r="EF30" s="81" t="s">
        <v>583</v>
      </c>
      <c r="EG30" s="81"/>
      <c r="EH30" s="81"/>
      <c r="EI30" s="81" t="s">
        <v>589</v>
      </c>
      <c r="EJ30" s="81"/>
      <c r="EK30" s="81" t="s">
        <v>590</v>
      </c>
      <c r="EL30" s="80"/>
      <c r="EM30" s="80" t="s">
        <v>607</v>
      </c>
      <c r="EN30" s="80"/>
      <c r="EO30" s="80"/>
      <c r="EP30" s="80" t="s">
        <v>593</v>
      </c>
      <c r="EQ30" s="80" t="s">
        <v>577</v>
      </c>
      <c r="ER30" s="80"/>
      <c r="ES30" s="81" t="s">
        <v>610</v>
      </c>
      <c r="ET30" s="81"/>
      <c r="EU30" s="81" t="s">
        <v>614</v>
      </c>
      <c r="EV30" s="81"/>
      <c r="EW30" s="81" t="s">
        <v>568</v>
      </c>
      <c r="EX30" s="81"/>
      <c r="EY30" s="81" t="s">
        <v>588</v>
      </c>
      <c r="EZ30" s="80"/>
      <c r="FA30" s="80" t="s">
        <v>618</v>
      </c>
      <c r="FB30" s="80"/>
      <c r="FC30" s="80" t="s">
        <v>605</v>
      </c>
      <c r="FD30" s="80" t="s">
        <v>571</v>
      </c>
      <c r="FE30" s="80"/>
      <c r="FF30" s="80" t="s">
        <v>616</v>
      </c>
      <c r="FG30" s="81"/>
      <c r="FH30" s="81" t="s">
        <v>617</v>
      </c>
      <c r="FI30" s="81"/>
      <c r="FJ30" s="81"/>
      <c r="FK30" s="81" t="s">
        <v>581</v>
      </c>
      <c r="FL30" s="81"/>
      <c r="FM30" s="81" t="s">
        <v>619</v>
      </c>
      <c r="FN30" s="80"/>
      <c r="FO30" s="80" t="s">
        <v>569</v>
      </c>
      <c r="FP30" s="80" t="s">
        <v>580</v>
      </c>
      <c r="FQ30" s="80"/>
      <c r="FR30" s="80" t="s">
        <v>564</v>
      </c>
      <c r="FS30" s="80"/>
      <c r="FT30" s="80" t="s">
        <v>594</v>
      </c>
      <c r="FU30" s="83" t="s">
        <v>579</v>
      </c>
      <c r="FV30" s="83"/>
      <c r="FW30" s="83" t="s">
        <v>619</v>
      </c>
    </row>
    <row r="31" spans="1:179">
      <c r="A31" s="79" t="s">
        <v>268</v>
      </c>
      <c r="B31" s="80"/>
      <c r="C31" s="80" t="s">
        <v>619</v>
      </c>
      <c r="D31" s="80"/>
      <c r="E31" s="80"/>
      <c r="F31" s="80" t="s">
        <v>592</v>
      </c>
      <c r="G31" s="80" t="s">
        <v>584</v>
      </c>
      <c r="H31" s="80"/>
      <c r="I31" s="81" t="s">
        <v>563</v>
      </c>
      <c r="J31" s="81"/>
      <c r="K31" s="81" t="s">
        <v>598</v>
      </c>
      <c r="L31" s="81"/>
      <c r="M31" s="81"/>
      <c r="N31" s="81" t="s">
        <v>578</v>
      </c>
      <c r="O31" s="81"/>
      <c r="P31" s="80"/>
      <c r="Q31" s="80"/>
      <c r="R31" s="80" t="s">
        <v>569</v>
      </c>
      <c r="S31" s="80"/>
      <c r="T31" s="80" t="s">
        <v>614</v>
      </c>
      <c r="U31" s="80"/>
      <c r="V31" s="80" t="s">
        <v>574</v>
      </c>
      <c r="W31" s="81" t="s">
        <v>573</v>
      </c>
      <c r="X31" s="81"/>
      <c r="Y31" s="81" t="s">
        <v>570</v>
      </c>
      <c r="Z31" s="81"/>
      <c r="AA31" s="81"/>
      <c r="AB31" s="81" t="s">
        <v>603</v>
      </c>
      <c r="AC31" s="81"/>
      <c r="AD31" s="80" t="s">
        <v>612</v>
      </c>
      <c r="AE31" s="80"/>
      <c r="AF31" s="80" t="s">
        <v>563</v>
      </c>
      <c r="AG31" s="80"/>
      <c r="AH31" s="80"/>
      <c r="AI31" s="80" t="s">
        <v>621</v>
      </c>
      <c r="AJ31" s="80"/>
      <c r="AK31" s="81" t="s">
        <v>564</v>
      </c>
      <c r="AL31" s="81"/>
      <c r="AM31" s="81" t="s">
        <v>606</v>
      </c>
      <c r="AN31" s="81"/>
      <c r="AO31" s="81" t="s">
        <v>591</v>
      </c>
      <c r="AP31" s="81"/>
      <c r="AQ31" s="81" t="s">
        <v>588</v>
      </c>
      <c r="AR31" s="80"/>
      <c r="AS31" s="80" t="s">
        <v>566</v>
      </c>
      <c r="AT31" s="80"/>
      <c r="AU31" s="80" t="s">
        <v>594</v>
      </c>
      <c r="AV31" s="80"/>
      <c r="AW31" s="80"/>
      <c r="AX31" s="80" t="s">
        <v>608</v>
      </c>
      <c r="AY31" s="81" t="s">
        <v>584</v>
      </c>
      <c r="AZ31" s="81"/>
      <c r="BA31" s="81" t="s">
        <v>599</v>
      </c>
      <c r="BB31" s="81"/>
      <c r="BC31" s="81"/>
      <c r="BD31" s="81" t="s">
        <v>582</v>
      </c>
      <c r="BE31" s="81"/>
      <c r="BF31" s="80" t="s">
        <v>613</v>
      </c>
      <c r="BG31" s="80"/>
      <c r="BH31" s="80" t="s">
        <v>562</v>
      </c>
      <c r="BI31" s="80"/>
      <c r="BJ31" s="80" t="s">
        <v>601</v>
      </c>
      <c r="BK31" s="80"/>
      <c r="BL31" s="80" t="s">
        <v>607</v>
      </c>
      <c r="BM31" s="81" t="s">
        <v>579</v>
      </c>
      <c r="BN31" s="81"/>
      <c r="BO31" s="81" t="s">
        <v>604</v>
      </c>
      <c r="BP31" s="81"/>
      <c r="BQ31" s="81"/>
      <c r="BR31" s="81" t="s">
        <v>592</v>
      </c>
      <c r="BS31" s="81" t="s">
        <v>615</v>
      </c>
      <c r="BT31" s="80"/>
      <c r="BU31" s="80" t="s">
        <v>613</v>
      </c>
      <c r="BV31" s="80"/>
      <c r="BW31" s="80" t="s">
        <v>565</v>
      </c>
      <c r="BX31" s="80"/>
      <c r="BY31" s="80" t="s">
        <v>589</v>
      </c>
      <c r="BZ31" s="80"/>
      <c r="CA31" s="81"/>
      <c r="CB31" s="81" t="s">
        <v>609</v>
      </c>
      <c r="CC31" s="81" t="s">
        <v>583</v>
      </c>
      <c r="CD31" s="81"/>
      <c r="CE31" s="81"/>
      <c r="CF31" s="81"/>
      <c r="CG31" s="81" t="s">
        <v>567</v>
      </c>
      <c r="CH31" s="80"/>
      <c r="CI31" s="80"/>
      <c r="CJ31" s="80" t="s">
        <v>600</v>
      </c>
      <c r="CK31" s="80"/>
      <c r="CL31" s="80" t="s">
        <v>601</v>
      </c>
      <c r="CM31" s="80" t="s">
        <v>605</v>
      </c>
      <c r="CN31" s="80"/>
      <c r="CO31" s="81" t="s">
        <v>621</v>
      </c>
      <c r="CP31" s="81"/>
      <c r="CQ31" s="81" t="s">
        <v>564</v>
      </c>
      <c r="CR31" s="81"/>
      <c r="CS31" s="81" t="s">
        <v>587</v>
      </c>
      <c r="CT31" s="81"/>
      <c r="CU31" s="81" t="s">
        <v>597</v>
      </c>
      <c r="CV31" s="80"/>
      <c r="CW31" s="80" t="s">
        <v>620</v>
      </c>
      <c r="CX31" s="80"/>
      <c r="CY31" s="80" t="s">
        <v>590</v>
      </c>
      <c r="CZ31" s="80" t="s">
        <v>562</v>
      </c>
      <c r="DA31" s="80"/>
      <c r="DB31" s="80" t="s">
        <v>568</v>
      </c>
      <c r="DC31" s="81"/>
      <c r="DD31" s="81"/>
      <c r="DE31" s="81" t="s">
        <v>585</v>
      </c>
      <c r="DF31" s="81"/>
      <c r="DG31" s="81" t="s">
        <v>579</v>
      </c>
      <c r="DH31" s="81" t="s">
        <v>582</v>
      </c>
      <c r="DI31" s="81"/>
      <c r="DJ31" s="82" t="s">
        <v>577</v>
      </c>
      <c r="DK31" s="82"/>
      <c r="DL31" s="82" t="s">
        <v>589</v>
      </c>
      <c r="DM31" s="82"/>
      <c r="DN31" s="82"/>
      <c r="DO31" s="82"/>
      <c r="DP31" s="82"/>
      <c r="DQ31" s="82"/>
      <c r="DR31" s="82"/>
      <c r="DS31" s="82"/>
      <c r="DT31" s="82"/>
      <c r="DU31" s="82" t="s">
        <v>596</v>
      </c>
      <c r="DV31" s="82"/>
      <c r="DW31" s="82" t="s">
        <v>585</v>
      </c>
      <c r="DX31" s="80"/>
      <c r="DY31" s="80" t="s">
        <v>575</v>
      </c>
      <c r="DZ31" s="80"/>
      <c r="EA31" s="80"/>
      <c r="EB31" s="80" t="s">
        <v>612</v>
      </c>
      <c r="EC31" s="80"/>
      <c r="ED31" s="80" t="s">
        <v>571</v>
      </c>
      <c r="EE31" s="81"/>
      <c r="EF31" s="81" t="s">
        <v>572</v>
      </c>
      <c r="EG31" s="81"/>
      <c r="EH31" s="81" t="s">
        <v>616</v>
      </c>
      <c r="EI31" s="81"/>
      <c r="EJ31" s="81"/>
      <c r="EK31" s="81" t="s">
        <v>617</v>
      </c>
      <c r="EL31" s="80" t="s">
        <v>618</v>
      </c>
      <c r="EM31" s="80"/>
      <c r="EN31" s="80"/>
      <c r="EO31" s="80"/>
      <c r="EP31" s="80"/>
      <c r="EQ31" s="80" t="s">
        <v>598</v>
      </c>
      <c r="ER31" s="80"/>
      <c r="ES31" s="81" t="s">
        <v>581</v>
      </c>
      <c r="ET31" s="81"/>
      <c r="EU31" s="81" t="s">
        <v>608</v>
      </c>
      <c r="EV31" s="81"/>
      <c r="EW31" s="81" t="s">
        <v>604</v>
      </c>
      <c r="EX31" s="81"/>
      <c r="EY31" s="81" t="s">
        <v>593</v>
      </c>
      <c r="EZ31" s="80"/>
      <c r="FA31" s="80" t="s">
        <v>586</v>
      </c>
      <c r="FB31" s="80" t="s">
        <v>587</v>
      </c>
      <c r="FC31" s="80"/>
      <c r="FD31" s="80"/>
      <c r="FE31" s="80" t="s">
        <v>611</v>
      </c>
      <c r="FF31" s="80"/>
      <c r="FG31" s="81" t="s">
        <v>610</v>
      </c>
      <c r="FH31" s="81"/>
      <c r="FI31" s="81" t="s">
        <v>578</v>
      </c>
      <c r="FJ31" s="81"/>
      <c r="FK31" s="81" t="s">
        <v>575</v>
      </c>
      <c r="FL31" s="81"/>
      <c r="FM31" s="81" t="s">
        <v>580</v>
      </c>
      <c r="FN31" s="80"/>
      <c r="FO31" s="80" t="s">
        <v>595</v>
      </c>
      <c r="FP31" s="80" t="s">
        <v>583</v>
      </c>
      <c r="FQ31" s="80"/>
      <c r="FR31" s="80" t="s">
        <v>620</v>
      </c>
      <c r="FS31" s="80"/>
      <c r="FT31" s="80" t="s">
        <v>606</v>
      </c>
      <c r="FU31" s="83"/>
      <c r="FV31" s="83" t="s">
        <v>565</v>
      </c>
      <c r="FW31" s="83" t="s">
        <v>591</v>
      </c>
    </row>
    <row r="32" spans="1:179">
      <c r="A32" s="79" t="s">
        <v>233</v>
      </c>
      <c r="B32" s="80"/>
      <c r="C32" s="80"/>
      <c r="D32" s="80" t="s">
        <v>615</v>
      </c>
      <c r="E32" s="80"/>
      <c r="F32" s="80" t="s">
        <v>574</v>
      </c>
      <c r="G32" s="80" t="s">
        <v>569</v>
      </c>
      <c r="H32" s="80"/>
      <c r="I32" s="81" t="s">
        <v>572</v>
      </c>
      <c r="J32" s="81"/>
      <c r="K32" s="81" t="s">
        <v>599</v>
      </c>
      <c r="L32" s="81"/>
      <c r="M32" s="81" t="s">
        <v>617</v>
      </c>
      <c r="N32" s="81"/>
      <c r="O32" s="81" t="s">
        <v>573</v>
      </c>
      <c r="P32" s="80"/>
      <c r="Q32" s="80"/>
      <c r="R32" s="80" t="s">
        <v>564</v>
      </c>
      <c r="S32" s="80"/>
      <c r="T32" s="80" t="s">
        <v>575</v>
      </c>
      <c r="U32" s="80"/>
      <c r="V32" s="80"/>
      <c r="W32" s="81" t="s">
        <v>616</v>
      </c>
      <c r="X32" s="81" t="s">
        <v>582</v>
      </c>
      <c r="Y32" s="81"/>
      <c r="Z32" s="81"/>
      <c r="AA32" s="81" t="s">
        <v>611</v>
      </c>
      <c r="AB32" s="81"/>
      <c r="AC32" s="81"/>
      <c r="AD32" s="80" t="s">
        <v>577</v>
      </c>
      <c r="AE32" s="80"/>
      <c r="AF32" s="80" t="s">
        <v>605</v>
      </c>
      <c r="AG32" s="80"/>
      <c r="AH32" s="80" t="s">
        <v>581</v>
      </c>
      <c r="AI32" s="80" t="s">
        <v>619</v>
      </c>
      <c r="AJ32" s="80"/>
      <c r="AK32" s="81" t="s">
        <v>578</v>
      </c>
      <c r="AL32" s="81"/>
      <c r="AM32" s="81" t="s">
        <v>579</v>
      </c>
      <c r="AN32" s="81"/>
      <c r="AO32" s="81" t="s">
        <v>611</v>
      </c>
      <c r="AP32" s="81"/>
      <c r="AQ32" s="81" t="s">
        <v>602</v>
      </c>
      <c r="AR32" s="80" t="s">
        <v>608</v>
      </c>
      <c r="AS32" s="80"/>
      <c r="AT32" s="80" t="s">
        <v>586</v>
      </c>
      <c r="AU32" s="80"/>
      <c r="AV32" s="80"/>
      <c r="AW32" s="80" t="s">
        <v>610</v>
      </c>
      <c r="AX32" s="80"/>
      <c r="AY32" s="81" t="s">
        <v>615</v>
      </c>
      <c r="AZ32" s="81"/>
      <c r="BA32" s="81" t="s">
        <v>605</v>
      </c>
      <c r="BB32" s="81"/>
      <c r="BC32" s="81" t="s">
        <v>581</v>
      </c>
      <c r="BD32" s="81"/>
      <c r="BE32" s="81"/>
      <c r="BF32" s="80"/>
      <c r="BG32" s="80" t="s">
        <v>563</v>
      </c>
      <c r="BH32" s="80"/>
      <c r="BI32" s="80" t="s">
        <v>621</v>
      </c>
      <c r="BJ32" s="80"/>
      <c r="BK32" s="80" t="s">
        <v>583</v>
      </c>
      <c r="BL32" s="80"/>
      <c r="BM32" s="81" t="s">
        <v>565</v>
      </c>
      <c r="BN32" s="81"/>
      <c r="BO32" s="81"/>
      <c r="BP32" s="81" t="s">
        <v>609</v>
      </c>
      <c r="BQ32" s="81"/>
      <c r="BR32" s="81" t="s">
        <v>573</v>
      </c>
      <c r="BS32" s="81"/>
      <c r="BT32" s="80" t="s">
        <v>598</v>
      </c>
      <c r="BU32" s="80"/>
      <c r="BV32" s="80"/>
      <c r="BW32" s="80" t="s">
        <v>584</v>
      </c>
      <c r="BX32" s="80"/>
      <c r="BY32" s="80" t="s">
        <v>591</v>
      </c>
      <c r="BZ32" s="80"/>
      <c r="CA32" s="81" t="s">
        <v>614</v>
      </c>
      <c r="CB32" s="81"/>
      <c r="CC32" s="81" t="s">
        <v>606</v>
      </c>
      <c r="CD32" s="81"/>
      <c r="CE32" s="81" t="s">
        <v>612</v>
      </c>
      <c r="CF32" s="81"/>
      <c r="CG32" s="81" t="s">
        <v>595</v>
      </c>
      <c r="CH32" s="80"/>
      <c r="CI32" s="80" t="s">
        <v>589</v>
      </c>
      <c r="CJ32" s="80"/>
      <c r="CK32" s="80" t="s">
        <v>614</v>
      </c>
      <c r="CL32" s="80"/>
      <c r="CM32" s="80" t="s">
        <v>569</v>
      </c>
      <c r="CN32" s="80"/>
      <c r="CO32" s="81" t="s">
        <v>585</v>
      </c>
      <c r="CP32" s="81"/>
      <c r="CQ32" s="81" t="s">
        <v>616</v>
      </c>
      <c r="CR32" s="81"/>
      <c r="CS32" s="81"/>
      <c r="CT32" s="81" t="s">
        <v>607</v>
      </c>
      <c r="CU32" s="81"/>
      <c r="CV32" s="80" t="s">
        <v>594</v>
      </c>
      <c r="CW32" s="80"/>
      <c r="CX32" s="80" t="s">
        <v>597</v>
      </c>
      <c r="CY32" s="80" t="s">
        <v>571</v>
      </c>
      <c r="CZ32" s="80"/>
      <c r="DA32" s="80" t="s">
        <v>570</v>
      </c>
      <c r="DB32" s="80"/>
      <c r="DC32" s="81"/>
      <c r="DD32" s="81"/>
      <c r="DE32" s="81" t="s">
        <v>593</v>
      </c>
      <c r="DF32" s="81"/>
      <c r="DG32" s="81" t="s">
        <v>609</v>
      </c>
      <c r="DH32" s="81"/>
      <c r="DI32" s="81" t="s">
        <v>580</v>
      </c>
      <c r="DJ32" s="82" t="s">
        <v>603</v>
      </c>
      <c r="DK32" s="82"/>
      <c r="DL32" s="82" t="s">
        <v>566</v>
      </c>
      <c r="DM32" s="82"/>
      <c r="DN32" s="82"/>
      <c r="DO32" s="82"/>
      <c r="DP32" s="82"/>
      <c r="DQ32" s="82"/>
      <c r="DR32" s="82"/>
      <c r="DS32" s="82"/>
      <c r="DT32" s="82"/>
      <c r="DU32" s="82" t="s">
        <v>567</v>
      </c>
      <c r="DV32" s="82" t="s">
        <v>594</v>
      </c>
      <c r="DW32" s="82"/>
      <c r="DX32" s="80" t="s">
        <v>596</v>
      </c>
      <c r="DY32" s="80"/>
      <c r="DZ32" s="80" t="s">
        <v>604</v>
      </c>
      <c r="EA32" s="80"/>
      <c r="EB32" s="80" t="s">
        <v>601</v>
      </c>
      <c r="EC32" s="80"/>
      <c r="ED32" s="80"/>
      <c r="EE32" s="81" t="s">
        <v>590</v>
      </c>
      <c r="EF32" s="81"/>
      <c r="EG32" s="81" t="s">
        <v>587</v>
      </c>
      <c r="EH32" s="81"/>
      <c r="EI32" s="81" t="s">
        <v>592</v>
      </c>
      <c r="EJ32" s="81" t="s">
        <v>562</v>
      </c>
      <c r="EK32" s="81"/>
      <c r="EL32" s="80" t="s">
        <v>576</v>
      </c>
      <c r="EM32" s="80"/>
      <c r="EN32" s="80" t="s">
        <v>600</v>
      </c>
      <c r="EO32" s="80"/>
      <c r="EP32" s="80" t="s">
        <v>619</v>
      </c>
      <c r="EQ32" s="80" t="s">
        <v>610</v>
      </c>
      <c r="ER32" s="80"/>
      <c r="ES32" s="81" t="s">
        <v>586</v>
      </c>
      <c r="ET32" s="81"/>
      <c r="EU32" s="81" t="s">
        <v>574</v>
      </c>
      <c r="EV32" s="81"/>
      <c r="EW32" s="81" t="s">
        <v>577</v>
      </c>
      <c r="EX32" s="81"/>
      <c r="EY32" s="81" t="s">
        <v>597</v>
      </c>
      <c r="EZ32" s="80"/>
      <c r="FA32" s="80" t="s">
        <v>567</v>
      </c>
      <c r="FB32" s="80"/>
      <c r="FC32" s="80" t="s">
        <v>603</v>
      </c>
      <c r="FD32" s="80"/>
      <c r="FE32" s="80" t="s">
        <v>620</v>
      </c>
      <c r="FF32" s="80"/>
      <c r="FG32" s="81" t="s">
        <v>568</v>
      </c>
      <c r="FH32" s="81"/>
      <c r="FI32" s="81" t="s">
        <v>613</v>
      </c>
      <c r="FJ32" s="81" t="s">
        <v>570</v>
      </c>
      <c r="FK32" s="81"/>
      <c r="FL32" s="81"/>
      <c r="FM32" s="81" t="s">
        <v>571</v>
      </c>
      <c r="FN32" s="80"/>
      <c r="FO32" s="80" t="s">
        <v>599</v>
      </c>
      <c r="FP32" s="80"/>
      <c r="FQ32" s="80"/>
      <c r="FR32" s="80"/>
      <c r="FS32" s="80" t="s">
        <v>572</v>
      </c>
      <c r="FT32" s="80"/>
      <c r="FU32" s="83" t="s">
        <v>600</v>
      </c>
      <c r="FV32" s="83" t="s">
        <v>593</v>
      </c>
      <c r="FW32" s="83"/>
    </row>
    <row r="33" spans="1:179">
      <c r="A33" s="79" t="s">
        <v>221</v>
      </c>
      <c r="B33" s="80"/>
      <c r="C33" s="80"/>
      <c r="D33" s="80" t="s">
        <v>603</v>
      </c>
      <c r="E33" s="80"/>
      <c r="F33" s="80" t="s">
        <v>600</v>
      </c>
      <c r="G33" s="80" t="s">
        <v>597</v>
      </c>
      <c r="H33" s="80"/>
      <c r="I33" s="81"/>
      <c r="J33" s="81"/>
      <c r="K33" s="81" t="s">
        <v>594</v>
      </c>
      <c r="L33" s="81"/>
      <c r="M33" s="81"/>
      <c r="N33" s="81" t="s">
        <v>577</v>
      </c>
      <c r="O33" s="81"/>
      <c r="P33" s="80" t="s">
        <v>598</v>
      </c>
      <c r="Q33" s="80"/>
      <c r="R33" s="80" t="s">
        <v>579</v>
      </c>
      <c r="S33" s="80"/>
      <c r="T33" s="80" t="s">
        <v>613</v>
      </c>
      <c r="U33" s="80"/>
      <c r="V33" s="80"/>
      <c r="W33" s="81"/>
      <c r="X33" s="81"/>
      <c r="Y33" s="81" t="s">
        <v>592</v>
      </c>
      <c r="Z33" s="81"/>
      <c r="AA33" s="81" t="s">
        <v>605</v>
      </c>
      <c r="AB33" s="81"/>
      <c r="AC33" s="81" t="s">
        <v>591</v>
      </c>
      <c r="AD33" s="80"/>
      <c r="AE33" s="80"/>
      <c r="AF33" s="80" t="s">
        <v>567</v>
      </c>
      <c r="AG33" s="80"/>
      <c r="AH33" s="80" t="s">
        <v>612</v>
      </c>
      <c r="AI33" s="80"/>
      <c r="AJ33" s="80" t="s">
        <v>569</v>
      </c>
      <c r="AK33" s="81"/>
      <c r="AL33" s="81" t="s">
        <v>571</v>
      </c>
      <c r="AM33" s="81" t="s">
        <v>572</v>
      </c>
      <c r="AN33" s="81"/>
      <c r="AO33" s="81" t="s">
        <v>574</v>
      </c>
      <c r="AP33" s="81"/>
      <c r="AQ33" s="81" t="s">
        <v>573</v>
      </c>
      <c r="AR33" s="80"/>
      <c r="AS33" s="80" t="s">
        <v>563</v>
      </c>
      <c r="AT33" s="80"/>
      <c r="AU33" s="80" t="s">
        <v>564</v>
      </c>
      <c r="AV33" s="80" t="s">
        <v>565</v>
      </c>
      <c r="AW33" s="80"/>
      <c r="AX33" s="80" t="s">
        <v>599</v>
      </c>
      <c r="AY33" s="81"/>
      <c r="AZ33" s="81" t="s">
        <v>583</v>
      </c>
      <c r="BA33" s="81"/>
      <c r="BB33" s="81"/>
      <c r="BC33" s="81"/>
      <c r="BD33" s="81" t="s">
        <v>611</v>
      </c>
      <c r="BE33" s="81"/>
      <c r="BF33" s="80" t="s">
        <v>562</v>
      </c>
      <c r="BG33" s="80"/>
      <c r="BH33" s="80" t="s">
        <v>568</v>
      </c>
      <c r="BI33" s="80"/>
      <c r="BJ33" s="80" t="s">
        <v>602</v>
      </c>
      <c r="BK33" s="80" t="s">
        <v>608</v>
      </c>
      <c r="BL33" s="80"/>
      <c r="BM33" s="81" t="s">
        <v>587</v>
      </c>
      <c r="BN33" s="81"/>
      <c r="BO33" s="81"/>
      <c r="BP33" s="81" t="s">
        <v>562</v>
      </c>
      <c r="BQ33" s="81"/>
      <c r="BR33" s="81" t="s">
        <v>606</v>
      </c>
      <c r="BS33" s="81"/>
      <c r="BT33" s="80" t="s">
        <v>566</v>
      </c>
      <c r="BU33" s="80"/>
      <c r="BV33" s="80" t="s">
        <v>563</v>
      </c>
      <c r="BW33" s="80"/>
      <c r="BX33" s="80" t="s">
        <v>609</v>
      </c>
      <c r="BY33" s="80" t="s">
        <v>593</v>
      </c>
      <c r="BZ33" s="80"/>
      <c r="CA33" s="81" t="s">
        <v>604</v>
      </c>
      <c r="CB33" s="81"/>
      <c r="CC33" s="81" t="s">
        <v>591</v>
      </c>
      <c r="CD33" s="81"/>
      <c r="CE33" s="81" t="s">
        <v>620</v>
      </c>
      <c r="CF33" s="81"/>
      <c r="CG33" s="81" t="s">
        <v>588</v>
      </c>
      <c r="CH33" s="80"/>
      <c r="CI33" s="80"/>
      <c r="CJ33" s="80" t="s">
        <v>584</v>
      </c>
      <c r="CK33" s="80"/>
      <c r="CL33" s="80" t="s">
        <v>602</v>
      </c>
      <c r="CM33" s="80"/>
      <c r="CN33" s="80"/>
      <c r="CO33" s="81" t="s">
        <v>598</v>
      </c>
      <c r="CP33" s="81"/>
      <c r="CQ33" s="81" t="s">
        <v>565</v>
      </c>
      <c r="CR33" s="81" t="s">
        <v>590</v>
      </c>
      <c r="CS33" s="81"/>
      <c r="CT33" s="81"/>
      <c r="CU33" s="81" t="s">
        <v>621</v>
      </c>
      <c r="CV33" s="80"/>
      <c r="CW33" s="80" t="s">
        <v>578</v>
      </c>
      <c r="CX33" s="80"/>
      <c r="CY33" s="80" t="s">
        <v>612</v>
      </c>
      <c r="CZ33" s="80"/>
      <c r="DA33" s="80" t="s">
        <v>582</v>
      </c>
      <c r="DB33" s="80"/>
      <c r="DC33" s="81" t="s">
        <v>581</v>
      </c>
      <c r="DD33" s="81"/>
      <c r="DE33" s="81"/>
      <c r="DF33" s="81"/>
      <c r="DG33" s="81" t="s">
        <v>607</v>
      </c>
      <c r="DH33" s="81"/>
      <c r="DI33" s="81" t="s">
        <v>610</v>
      </c>
      <c r="DJ33" s="82"/>
      <c r="DK33" s="82" t="s">
        <v>568</v>
      </c>
      <c r="DL33" s="82" t="s">
        <v>587</v>
      </c>
      <c r="DM33" s="82"/>
      <c r="DN33" s="82"/>
      <c r="DO33" s="82"/>
      <c r="DP33" s="82"/>
      <c r="DQ33" s="82"/>
      <c r="DR33" s="82"/>
      <c r="DS33" s="82"/>
      <c r="DT33" s="82"/>
      <c r="DU33" s="82" t="s">
        <v>613</v>
      </c>
      <c r="DV33" s="82"/>
      <c r="DW33" s="82" t="s">
        <v>584</v>
      </c>
      <c r="DX33" s="80" t="s">
        <v>575</v>
      </c>
      <c r="DY33" s="80"/>
      <c r="DZ33" s="80" t="s">
        <v>582</v>
      </c>
      <c r="EA33" s="80"/>
      <c r="EB33" s="80" t="s">
        <v>618</v>
      </c>
      <c r="EC33" s="80"/>
      <c r="ED33" s="80" t="s">
        <v>616</v>
      </c>
      <c r="EE33" s="81"/>
      <c r="EF33" s="81" t="s">
        <v>617</v>
      </c>
      <c r="EG33" s="81" t="s">
        <v>570</v>
      </c>
      <c r="EH33" s="81"/>
      <c r="EI33" s="81" t="s">
        <v>620</v>
      </c>
      <c r="EJ33" s="81"/>
      <c r="EK33" s="81" t="s">
        <v>566</v>
      </c>
      <c r="EL33" s="80"/>
      <c r="EM33" s="80" t="s">
        <v>606</v>
      </c>
      <c r="EN33" s="80"/>
      <c r="EO33" s="80"/>
      <c r="EP33" s="80" t="s">
        <v>592</v>
      </c>
      <c r="EQ33" s="80"/>
      <c r="ER33" s="80" t="s">
        <v>615</v>
      </c>
      <c r="ES33" s="81" t="s">
        <v>608</v>
      </c>
      <c r="ET33" s="81"/>
      <c r="EU33" s="81" t="s">
        <v>589</v>
      </c>
      <c r="EV33" s="81"/>
      <c r="EW33" s="81" t="s">
        <v>621</v>
      </c>
      <c r="EX33" s="81" t="s">
        <v>575</v>
      </c>
      <c r="EY33" s="81"/>
      <c r="EZ33" s="80" t="s">
        <v>604</v>
      </c>
      <c r="FA33" s="80"/>
      <c r="FB33" s="80" t="s">
        <v>596</v>
      </c>
      <c r="FC33" s="80"/>
      <c r="FD33" s="80" t="s">
        <v>578</v>
      </c>
      <c r="FE33" s="80" t="s">
        <v>586</v>
      </c>
      <c r="FF33" s="80"/>
      <c r="FG33" s="81"/>
      <c r="FH33" s="81"/>
      <c r="FI33" s="81" t="s">
        <v>619</v>
      </c>
      <c r="FJ33" s="81"/>
      <c r="FK33" s="81" t="s">
        <v>564</v>
      </c>
      <c r="FL33" s="81"/>
      <c r="FM33" s="81" t="s">
        <v>579</v>
      </c>
      <c r="FN33" s="80"/>
      <c r="FO33" s="80" t="s">
        <v>576</v>
      </c>
      <c r="FP33" s="80"/>
      <c r="FQ33" s="80"/>
      <c r="FR33" s="80" t="s">
        <v>580</v>
      </c>
      <c r="FS33" s="80" t="s">
        <v>583</v>
      </c>
      <c r="FT33" s="80"/>
      <c r="FU33" s="83" t="s">
        <v>614</v>
      </c>
      <c r="FV33" s="83"/>
      <c r="FW33" s="83" t="s">
        <v>585</v>
      </c>
    </row>
  </sheetData>
  <mergeCells count="25">
    <mergeCell ref="AK1:AQ1"/>
    <mergeCell ref="B1:H1"/>
    <mergeCell ref="I1:O1"/>
    <mergeCell ref="P1:V1"/>
    <mergeCell ref="W1:AC1"/>
    <mergeCell ref="AD1:AJ1"/>
    <mergeCell ref="DX1:ED1"/>
    <mergeCell ref="AR1:AX1"/>
    <mergeCell ref="AY1:BE1"/>
    <mergeCell ref="BF1:BL1"/>
    <mergeCell ref="BM1:BS1"/>
    <mergeCell ref="BT1:BZ1"/>
    <mergeCell ref="CA1:CG1"/>
    <mergeCell ref="CH1:CN1"/>
    <mergeCell ref="CO1:CU1"/>
    <mergeCell ref="CV1:DB1"/>
    <mergeCell ref="DC1:DI1"/>
    <mergeCell ref="DJ1:DW1"/>
    <mergeCell ref="FU1:FW1"/>
    <mergeCell ref="EE1:EK1"/>
    <mergeCell ref="EL1:ER1"/>
    <mergeCell ref="ES1:EY1"/>
    <mergeCell ref="EZ1:FF1"/>
    <mergeCell ref="FG1:FM1"/>
    <mergeCell ref="FN1:FT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17</vt:i4>
      </vt:variant>
      <vt:variant>
        <vt:lpstr>Named Ranges</vt:lpstr>
      </vt:variant>
      <vt:variant>
        <vt:i4>1</vt:i4>
      </vt:variant>
    </vt:vector>
  </HeadingPairs>
  <TitlesOfParts>
    <vt:vector size="18" baseType="lpstr">
      <vt:lpstr>All</vt:lpstr>
      <vt:lpstr>All Teams</vt:lpstr>
      <vt:lpstr>Joban</vt:lpstr>
      <vt:lpstr>Arsh</vt:lpstr>
      <vt:lpstr>Angad</vt:lpstr>
      <vt:lpstr>Ajay</vt:lpstr>
      <vt:lpstr>Sartaj</vt:lpstr>
      <vt:lpstr>Harvir</vt:lpstr>
      <vt:lpstr>Jatin</vt:lpstr>
      <vt:lpstr>Karnvir</vt:lpstr>
      <vt:lpstr>Harman</vt:lpstr>
      <vt:lpstr>Justin</vt:lpstr>
      <vt:lpstr>Rankings</vt:lpstr>
      <vt:lpstr>Trade Ting</vt:lpstr>
      <vt:lpstr>Bball ref</vt:lpstr>
      <vt:lpstr>Math</vt:lpstr>
      <vt:lpstr>Schedule</vt:lpstr>
      <vt:lpstr>'Bball ref'!projections.iqy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Joban Dhindsa</dc:creator>
  <cp:lastModifiedBy>Joban Dhindsa</cp:lastModifiedBy>
  <dcterms:created xsi:type="dcterms:W3CDTF">2019-10-11T13:19:00Z</dcterms:created>
  <dcterms:modified xsi:type="dcterms:W3CDTF">2019-10-22T23:09:13Z</dcterms:modified>
</cp:coreProperties>
</file>